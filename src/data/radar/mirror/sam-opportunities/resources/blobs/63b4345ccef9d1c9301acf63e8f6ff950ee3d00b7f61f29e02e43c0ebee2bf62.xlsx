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https://ustsa-my.sharepoint.com/personal/siobhan_mullen_tsa_dhs_gov/Documents/Documents/1-2026/Transactions/OPS BAA/FY2026 BAA/"/>
    </mc:Choice>
  </mc:AlternateContent>
  <xr:revisionPtr revIDLastSave="0" documentId="8_{583EA1EE-9BDD-439F-8FF5-BCD7824FEF6A}" xr6:coauthVersionLast="47" xr6:coauthVersionMax="47" xr10:uidLastSave="{00000000-0000-0000-0000-000000000000}"/>
  <bookViews>
    <workbookView xWindow="-120" yWindow="-120" windowWidth="29040" windowHeight="15720" xr2:uid="{00000000-000D-0000-FFFF-FFFF00000000}"/>
  </bookViews>
  <sheets>
    <sheet name="Cover Sheet" sheetId="3" r:id="rId1"/>
    <sheet name="Labor, travel, materials" sheetId="1" r:id="rId2"/>
    <sheet name="Material support" sheetId="6" r:id="rId3"/>
    <sheet name="Travel Basis of Estimate" sheetId="5" r:id="rId4"/>
    <sheet name="Labor Basis of Estimate" sheetId="4" r:id="rId5"/>
  </sheets>
  <externalReferences>
    <externalReference r:id="rId6"/>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3" l="1"/>
  <c r="G31" i="3"/>
  <c r="C31" i="3"/>
  <c r="P10" i="5"/>
  <c r="H10" i="5"/>
  <c r="P9" i="5"/>
  <c r="H9" i="5"/>
  <c r="P8" i="5"/>
  <c r="H8" i="5"/>
  <c r="P7" i="5"/>
  <c r="P14" i="5" s="1"/>
  <c r="H7" i="5"/>
  <c r="F26" i="1"/>
  <c r="E26" i="1"/>
  <c r="D26" i="1"/>
  <c r="C26" i="1"/>
  <c r="G26" i="1" s="1"/>
  <c r="I26" i="1" s="1"/>
  <c r="F25" i="1"/>
  <c r="E25" i="1"/>
  <c r="D25" i="1"/>
  <c r="C25" i="1"/>
  <c r="F24" i="1"/>
  <c r="E24" i="1"/>
  <c r="D24" i="1"/>
  <c r="C24" i="1"/>
  <c r="F23" i="1"/>
  <c r="E23" i="1"/>
  <c r="D23" i="1"/>
  <c r="C23" i="1"/>
  <c r="F22" i="1"/>
  <c r="E22" i="1"/>
  <c r="D22" i="1"/>
  <c r="C22" i="1"/>
  <c r="G22" i="1" s="1"/>
  <c r="I22" i="1" s="1"/>
  <c r="F21" i="1"/>
  <c r="E21" i="1"/>
  <c r="D21" i="1"/>
  <c r="C21" i="1"/>
  <c r="G21" i="1" s="1"/>
  <c r="I21" i="1" s="1"/>
  <c r="F20" i="1"/>
  <c r="E20" i="1"/>
  <c r="D20" i="1"/>
  <c r="C20" i="1"/>
  <c r="G20" i="1" s="1"/>
  <c r="I20" i="1" s="1"/>
  <c r="F14" i="1"/>
  <c r="E14" i="1"/>
  <c r="D14" i="1"/>
  <c r="C14" i="1"/>
  <c r="F13" i="1"/>
  <c r="E13" i="1"/>
  <c r="D13" i="1"/>
  <c r="C13" i="1"/>
  <c r="F12" i="1"/>
  <c r="E12" i="1"/>
  <c r="D12" i="1"/>
  <c r="C12" i="1"/>
  <c r="F11" i="1"/>
  <c r="E11" i="1"/>
  <c r="D11" i="1"/>
  <c r="C11" i="1"/>
  <c r="F10" i="1"/>
  <c r="E10" i="1"/>
  <c r="D10" i="1"/>
  <c r="C10" i="1"/>
  <c r="F9" i="1"/>
  <c r="E9" i="1"/>
  <c r="D9" i="1"/>
  <c r="C9" i="1"/>
  <c r="C8" i="1"/>
  <c r="F8" i="1"/>
  <c r="E8" i="1"/>
  <c r="D8" i="1"/>
  <c r="G41" i="1"/>
  <c r="H41" i="1" s="1"/>
  <c r="G40" i="1"/>
  <c r="H40" i="1" s="1"/>
  <c r="G36" i="1"/>
  <c r="H36" i="1" s="1"/>
  <c r="G35" i="1"/>
  <c r="H35" i="1" s="1"/>
  <c r="H37" i="1" s="1"/>
  <c r="G24" i="1" l="1"/>
  <c r="I24" i="1" s="1"/>
  <c r="G25" i="1"/>
  <c r="I25" i="1" s="1"/>
  <c r="G23" i="1"/>
  <c r="I23" i="1" s="1"/>
  <c r="H42" i="1"/>
  <c r="H14" i="5"/>
  <c r="H15" i="1"/>
  <c r="E53" i="1" l="1"/>
  <c r="E48" i="1"/>
  <c r="G27" i="1"/>
  <c r="G9" i="1"/>
  <c r="I9" i="1" s="1"/>
  <c r="G10" i="1"/>
  <c r="I10" i="1" s="1"/>
  <c r="G11" i="1"/>
  <c r="I11" i="1" s="1"/>
  <c r="G12" i="1"/>
  <c r="I12" i="1" s="1"/>
  <c r="G13" i="1"/>
  <c r="I13" i="1" s="1"/>
  <c r="G14" i="1"/>
  <c r="I14" i="1" s="1"/>
  <c r="G15" i="1"/>
  <c r="H27" i="1"/>
  <c r="I27" i="1" l="1"/>
  <c r="B57" i="1" s="1"/>
  <c r="G8" i="1"/>
  <c r="I8" i="1" s="1"/>
  <c r="I15" i="1" s="1"/>
  <c r="B56" i="1" s="1"/>
  <c r="B58" i="1" l="1"/>
</calcChain>
</file>

<file path=xl/sharedStrings.xml><?xml version="1.0" encoding="utf-8"?>
<sst xmlns="http://schemas.openxmlformats.org/spreadsheetml/2006/main" count="219" uniqueCount="130">
  <si>
    <t>General Instructions:  Fill in all of the cells below.</t>
  </si>
  <si>
    <t xml:space="preserve">PART A - All CLINs </t>
  </si>
  <si>
    <t>Instructions</t>
  </si>
  <si>
    <t>1.</t>
  </si>
  <si>
    <r>
      <t>Solicitation/Contract Modification No.:</t>
    </r>
    <r>
      <rPr>
        <sz val="11"/>
        <rFont val="Calibri"/>
        <family val="2"/>
        <scheme val="minor"/>
      </rPr>
      <t xml:space="preserve">  __________________________</t>
    </r>
  </si>
  <si>
    <t>Put the solicitation number to which you are responding</t>
  </si>
  <si>
    <t>2.</t>
  </si>
  <si>
    <t>Put your company name and address</t>
  </si>
  <si>
    <t>3.</t>
  </si>
  <si>
    <t>Point of Contact</t>
  </si>
  <si>
    <t>Put your company POC</t>
  </si>
  <si>
    <t>4.</t>
  </si>
  <si>
    <t>Contract Administration Office</t>
  </si>
  <si>
    <t>Audit Office</t>
  </si>
  <si>
    <t>Put your companies Contract Administration Office and Audit Office</t>
  </si>
  <si>
    <t>If you do not have one or both of these put none.</t>
  </si>
  <si>
    <t>5.</t>
  </si>
  <si>
    <r>
      <t>Type of Contract Action</t>
    </r>
    <r>
      <rPr>
        <sz val="11"/>
        <rFont val="Calibri"/>
        <family val="2"/>
        <scheme val="minor"/>
      </rPr>
      <t>:  New Contract.</t>
    </r>
  </si>
  <si>
    <t>New contract unless you have an existing contract then contract modification</t>
  </si>
  <si>
    <t>6.</t>
  </si>
  <si>
    <t>Proposed Cost</t>
  </si>
  <si>
    <t>+</t>
  </si>
  <si>
    <t>Profit or Fee</t>
  </si>
  <si>
    <t>=</t>
  </si>
  <si>
    <t>Total:</t>
  </si>
  <si>
    <t>Put your proposed cost, profit/fee and total</t>
  </si>
  <si>
    <t>7.</t>
  </si>
  <si>
    <t>Government Property</t>
  </si>
  <si>
    <t xml:space="preserve">Let us know if you will or  will you not need Government Property. </t>
  </si>
  <si>
    <t>We will/will not require the use of any Government property in the performance of this work.</t>
  </si>
  <si>
    <t xml:space="preserve"> If you do need Government Propoerty state what property is needed.</t>
  </si>
  <si>
    <t>8.</t>
  </si>
  <si>
    <t>This is your declaration of of consistancy within this proposal</t>
  </si>
  <si>
    <t>9.</t>
  </si>
  <si>
    <t>This proposal reflects our estimates and/or actual costs as of this date and conforms with</t>
  </si>
  <si>
    <t>the instructions in FAR 15.403-5(b)(1) and FAR 15.408, Table 15-2.  By submitting</t>
  </si>
  <si>
    <t>this proposal, we grant the Contracting Officer and authorized representative(s) the right</t>
  </si>
  <si>
    <t>to examine, at any time before award, those records, which include books, documents,</t>
  </si>
  <si>
    <t>accounting procedures and practices, and other data, regardless of type and form or</t>
  </si>
  <si>
    <t>whether such supporting information is specifically referenced or included in the proposal</t>
  </si>
  <si>
    <t>as the basis of pricing, that will permit an adequate evaluation of the proposed price.</t>
  </si>
  <si>
    <t>10.</t>
  </si>
  <si>
    <t>November 21, 2001</t>
  </si>
  <si>
    <t>Date of proposal</t>
  </si>
  <si>
    <t xml:space="preserve">John Smith </t>
  </si>
  <si>
    <t>Signature of company person empowered to enter into a contract.</t>
  </si>
  <si>
    <t>John Smith, President</t>
  </si>
  <si>
    <t>Name of company person empowered to enter into a contract.</t>
  </si>
  <si>
    <t>Section A Labor</t>
  </si>
  <si>
    <r>
      <rPr>
        <i/>
        <sz val="11"/>
        <color theme="1"/>
        <rFont val="Calibri"/>
        <family val="2"/>
        <scheme val="minor"/>
      </rPr>
      <t>Instructions</t>
    </r>
    <r>
      <rPr>
        <sz val="11"/>
        <color theme="1"/>
        <rFont val="Calibri"/>
        <family val="2"/>
        <scheme val="minor"/>
      </rPr>
      <t>: Fill in all fields below: Labor Category, Direct Rate per hour, the percentages for each indirect, the fully burdened rate calculated, number of hours and the extended price for both the Base Year Labor and Year 1 Labor. In the option year, if applicable, include any escalation percentage.</t>
    </r>
  </si>
  <si>
    <t>Base Year - CLIN 1001</t>
  </si>
  <si>
    <t>Labor (FFP)</t>
  </si>
  <si>
    <t>Labor Category</t>
  </si>
  <si>
    <t>Direct Rate/Hr</t>
  </si>
  <si>
    <t>Indirect %</t>
  </si>
  <si>
    <t>Fully Burdened Rate</t>
  </si>
  <si>
    <t>Hours</t>
  </si>
  <si>
    <t>Extended Price</t>
  </si>
  <si>
    <t xml:space="preserve">Total Direct Labor - </t>
  </si>
  <si>
    <t>Year 1- CLIN 2001</t>
  </si>
  <si>
    <t>Labor (FFP) - % escalation</t>
  </si>
  <si>
    <t>Section B Material</t>
  </si>
  <si>
    <r>
      <rPr>
        <i/>
        <sz val="11"/>
        <rFont val="Calibri"/>
        <family val="2"/>
        <scheme val="minor"/>
      </rPr>
      <t>Instructions</t>
    </r>
    <r>
      <rPr>
        <sz val="11"/>
        <rFont val="Calibri"/>
        <family val="2"/>
        <scheme val="minor"/>
      </rPr>
      <t>: Fill in any materials, the direct cost, the indirect costs with the %, quantity, and extended price.</t>
    </r>
  </si>
  <si>
    <t>Base Year- CLIN 1002</t>
  </si>
  <si>
    <t>Materials (FFP)</t>
  </si>
  <si>
    <t>Description</t>
  </si>
  <si>
    <t>QTY</t>
  </si>
  <si>
    <t>Total material Price</t>
  </si>
  <si>
    <t>Full price</t>
  </si>
  <si>
    <t>Year 1- CLIN 2002</t>
  </si>
  <si>
    <t>Section C Travel</t>
  </si>
  <si>
    <r>
      <rPr>
        <i/>
        <sz val="11"/>
        <rFont val="Calibri"/>
        <family val="2"/>
        <scheme val="minor"/>
      </rPr>
      <t>Instructions</t>
    </r>
    <r>
      <rPr>
        <sz val="11"/>
        <rFont val="Calibri"/>
        <family val="2"/>
        <scheme val="minor"/>
      </rPr>
      <t>: Fill in any travel locations, the total travel price from the Travel BOE tab, the indirect costs with the %, select the CLIN type (FFP or ODC) and the extended price .</t>
    </r>
  </si>
  <si>
    <t>Base Year CLIN 1003</t>
  </si>
  <si>
    <t>Travel (FFP/ODC)</t>
  </si>
  <si>
    <t>Total Travel Price</t>
  </si>
  <si>
    <t>Base Year Price</t>
  </si>
  <si>
    <t>Year 1 Price</t>
  </si>
  <si>
    <t xml:space="preserve">TOTAL PRICE </t>
  </si>
  <si>
    <t>Section B Material Support</t>
  </si>
  <si>
    <r>
      <rPr>
        <i/>
        <sz val="11"/>
        <color theme="1"/>
        <rFont val="Calibri"/>
        <family val="2"/>
        <scheme val="minor"/>
      </rPr>
      <t>instructions:</t>
    </r>
    <r>
      <rPr>
        <sz val="11"/>
        <color theme="1"/>
        <rFont val="Calibri"/>
        <family val="2"/>
        <scheme val="minor"/>
      </rPr>
      <t xml:space="preserve"> Offerors shall provie explantory notes of how the prices are supported. </t>
    </r>
  </si>
  <si>
    <t>Base Year</t>
  </si>
  <si>
    <t>Fully Burdened Extended Price</t>
  </si>
  <si>
    <t>Notes</t>
  </si>
  <si>
    <t>(1)</t>
  </si>
  <si>
    <t>(2)</t>
  </si>
  <si>
    <t>(3)</t>
  </si>
  <si>
    <t>Year 1</t>
  </si>
  <si>
    <t>Explanatory Notes</t>
  </si>
  <si>
    <t>Provide explanatory notes of how the prices are supported</t>
  </si>
  <si>
    <t>These prices are supported by multiple vendor quotes.  The proposed prices are those</t>
  </si>
  <si>
    <t>provided by the low bidder who was the ACME Corporation in their quotation dated October</t>
  </si>
  <si>
    <t>21, 2009.  The quotations are included in file ___________________.</t>
  </si>
  <si>
    <t>These prices are supported by the Halloween edition of the Springs R Us Catalog.  This</t>
  </si>
  <si>
    <t xml:space="preserve">catalog is available ________. </t>
  </si>
  <si>
    <t xml:space="preserve">The proposed quantities are from the engineering drawings for the shock absorber.  This </t>
  </si>
  <si>
    <t>drawing is located in file ______________________ .</t>
  </si>
  <si>
    <t>Section C- Travel Basis of Estimate</t>
  </si>
  <si>
    <t>Instructions: All of the amounts below are samples for reference, Offerors shall update all sections applicable to its submission</t>
  </si>
  <si>
    <t>Base</t>
  </si>
  <si>
    <t>Support</t>
  </si>
  <si>
    <t>Qty</t>
  </si>
  <si>
    <t>Unit Price</t>
  </si>
  <si>
    <t>Total</t>
  </si>
  <si>
    <t>airfare</t>
  </si>
  <si>
    <t>travelers</t>
  </si>
  <si>
    <t>to DC</t>
  </si>
  <si>
    <t>lodging</t>
  </si>
  <si>
    <t>2 nights per traveler</t>
  </si>
  <si>
    <t>car rental</t>
  </si>
  <si>
    <t>1 car 4 days</t>
  </si>
  <si>
    <t>per day</t>
  </si>
  <si>
    <t>perdiem</t>
  </si>
  <si>
    <t>3 people 4 days</t>
  </si>
  <si>
    <t>Total ODC's</t>
  </si>
  <si>
    <t>These prices are supported by current airfare rates, car rental rates and per diem rates.</t>
  </si>
  <si>
    <t>Part A Labor Categoy, Mapping, and Basis of Estimate</t>
  </si>
  <si>
    <t>Instructions: Offeror shall create a table mapping labor categories and rates to corresponding TSA/GSA contracts in addition to providing a basis of estimate for each labor category proposed</t>
  </si>
  <si>
    <t>Number of Hours</t>
  </si>
  <si>
    <t>Cooresponding TSA/GSA Contract Rate</t>
  </si>
  <si>
    <t>Deliverables supported in the SOW</t>
  </si>
  <si>
    <t xml:space="preserve">Labor (FFP) </t>
  </si>
  <si>
    <t>BAA_Cost_Proposal_Template</t>
  </si>
  <si>
    <t>OPS BAA 70T04026BAA7573N001</t>
  </si>
  <si>
    <t>company name</t>
  </si>
  <si>
    <t>company address</t>
  </si>
  <si>
    <t>city, state, zip code</t>
  </si>
  <si>
    <t>name</t>
  </si>
  <si>
    <t>title</t>
  </si>
  <si>
    <t>phone number, email address</t>
  </si>
  <si>
    <t>phone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</si>
</sst>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_);[Red]\(&quot;$&quot;#,##0.00\)"/>
    <numFmt numFmtId="44" formatCode="_(&quot;$&quot;* #,##0.00_);_(&quot;$&quot;* \(#,##0.00\);_(&quot;$&quot;* &quot;-&quot;??_);_(@_)"/>
    <numFmt numFmtId="43" formatCode="_(* #,##0.00_);_(* \(#,##0.00\);_(* &quot;-&quot;??_);_(@_)"/>
    <numFmt numFmtId="164" formatCode="_(* #,##0_);_(* \(#,##0\);_(* &quot;-&quot;??_);_(@_)"/>
    <numFmt numFmtId="165" formatCode="&quot;$&quot;#,##0.00"/>
    <numFmt numFmtId="166" formatCode="_(&quot;$&quot;* #,##0_);_(&quot;$&quot;* \(#,##0\);_(&quot;$&quot;* &quot;-&quot;??_);_(@_)"/>
  </numFmts>
  <fonts count="21" x14ac:knownFonts="1">
    <font>
      <sz val="11"/>
      <color theme="1"/>
      <name val="Calibri"/>
      <family val="2"/>
      <scheme val="minor"/>
    </font>
    <font>
      <sz val="11"/>
      <color theme="1"/>
      <name val="Calibri"/>
      <family val="2"/>
      <scheme val="minor"/>
    </font>
    <font>
      <b/>
      <sz val="11"/>
      <color theme="1"/>
      <name val="Calibri"/>
      <family val="2"/>
      <scheme val="minor"/>
    </font>
    <font>
      <u/>
      <sz val="10"/>
      <name val="Times New Roman"/>
      <family val="1"/>
    </font>
    <font>
      <sz val="10"/>
      <name val="Times New Roman"/>
      <family val="1"/>
    </font>
    <font>
      <u val="singleAccounting"/>
      <sz val="10"/>
      <name val="Times New Roman"/>
      <family val="1"/>
    </font>
    <font>
      <b/>
      <sz val="10"/>
      <name val="Times New Roman"/>
      <family val="1"/>
    </font>
    <font>
      <b/>
      <u/>
      <sz val="10"/>
      <name val="Times New Roman"/>
      <family val="1"/>
    </font>
    <font>
      <b/>
      <u/>
      <sz val="11"/>
      <color theme="1"/>
      <name val="Calibri"/>
      <family val="2"/>
      <scheme val="minor"/>
    </font>
    <font>
      <i/>
      <sz val="11"/>
      <color theme="1"/>
      <name val="Calibri"/>
      <family val="2"/>
      <scheme val="minor"/>
    </font>
    <font>
      <b/>
      <sz val="11"/>
      <name val="Calibri"/>
      <family val="2"/>
      <scheme val="minor"/>
    </font>
    <font>
      <sz val="11"/>
      <name val="Calibri"/>
      <family val="2"/>
      <scheme val="minor"/>
    </font>
    <font>
      <b/>
      <sz val="10"/>
      <color theme="1"/>
      <name val="Calibri"/>
      <family val="2"/>
      <scheme val="minor"/>
    </font>
    <font>
      <i/>
      <sz val="11"/>
      <name val="Calibri"/>
      <family val="2"/>
      <scheme val="minor"/>
    </font>
    <font>
      <b/>
      <sz val="14"/>
      <color theme="1"/>
      <name val="Calibri"/>
      <family val="2"/>
      <scheme val="minor"/>
    </font>
    <font>
      <b/>
      <u/>
      <sz val="11"/>
      <name val="Calibri"/>
      <family val="2"/>
      <scheme val="minor"/>
    </font>
    <font>
      <sz val="12"/>
      <name val="Times New Roman"/>
      <family val="1"/>
    </font>
    <font>
      <u/>
      <sz val="12"/>
      <name val="Times New Roman"/>
      <family val="1"/>
    </font>
    <font>
      <u val="doubleAccounting"/>
      <sz val="12"/>
      <name val="Times New Roman"/>
      <family val="1"/>
    </font>
    <font>
      <u/>
      <sz val="11"/>
      <name val="Calibri"/>
      <family val="2"/>
      <scheme val="minor"/>
    </font>
    <font>
      <u val="doubleAccounting"/>
      <sz val="11"/>
      <name val="Calibri"/>
      <family val="2"/>
      <scheme val="min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s>
  <cellStyleXfs count="3">
    <xf numFmtId="0" fontId="0" fillId="0" borderId="0"/>
    <xf numFmtId="43" fontId="1" fillId="0" borderId="0" applyFont="0" applyFill="0" applyBorder="0" applyAlignment="0" applyProtection="0"/>
    <xf numFmtId="44" fontId="1" fillId="0" borderId="0" applyFont="0" applyFill="0" applyBorder="0" applyAlignment="0" applyProtection="0"/>
  </cellStyleXfs>
  <cellXfs count="83">
    <xf numFmtId="0" fontId="0" fillId="0" borderId="0" xfId="0"/>
    <xf numFmtId="0" fontId="3" fillId="0" borderId="1" xfId="0" applyFont="1" applyBorder="1"/>
    <xf numFmtId="0" fontId="4" fillId="0" borderId="1" xfId="0" applyFont="1" applyBorder="1"/>
    <xf numFmtId="0" fontId="3" fillId="0" borderId="1" xfId="0" applyFont="1" applyBorder="1" applyAlignment="1">
      <alignment horizontal="center"/>
    </xf>
    <xf numFmtId="44" fontId="4" fillId="0" borderId="1" xfId="2" applyFont="1" applyFill="1" applyBorder="1"/>
    <xf numFmtId="164" fontId="4" fillId="0" borderId="1" xfId="1" applyNumberFormat="1" applyFont="1" applyBorder="1"/>
    <xf numFmtId="43" fontId="4" fillId="0" borderId="1" xfId="1" applyFont="1" applyFill="1" applyBorder="1"/>
    <xf numFmtId="164" fontId="5" fillId="0" borderId="1" xfId="1" applyNumberFormat="1" applyFont="1" applyBorder="1"/>
    <xf numFmtId="164" fontId="5" fillId="0" borderId="1" xfId="0" applyNumberFormat="1" applyFont="1" applyBorder="1"/>
    <xf numFmtId="0" fontId="0" fillId="0" borderId="1" xfId="0" applyBorder="1"/>
    <xf numFmtId="0" fontId="3" fillId="0" borderId="1" xfId="0" applyFont="1" applyFill="1" applyBorder="1" applyAlignment="1">
      <alignment horizontal="center"/>
    </xf>
    <xf numFmtId="44" fontId="4" fillId="0" borderId="1" xfId="2" applyFont="1" applyBorder="1"/>
    <xf numFmtId="165" fontId="0" fillId="0" borderId="1" xfId="0" applyNumberFormat="1" applyBorder="1"/>
    <xf numFmtId="165" fontId="0" fillId="0" borderId="0" xfId="0" applyNumberFormat="1"/>
    <xf numFmtId="0" fontId="2" fillId="0" borderId="0" xfId="0" applyFont="1" applyAlignment="1">
      <alignment wrapText="1"/>
    </xf>
    <xf numFmtId="0" fontId="2" fillId="0" borderId="0" xfId="0" applyFont="1"/>
    <xf numFmtId="0" fontId="7" fillId="0" borderId="0" xfId="0" applyFont="1" applyFill="1" applyBorder="1"/>
    <xf numFmtId="0" fontId="8" fillId="0" borderId="0" xfId="0" applyFont="1"/>
    <xf numFmtId="0" fontId="2" fillId="0" borderId="1" xfId="0" applyFont="1" applyBorder="1"/>
    <xf numFmtId="0" fontId="2" fillId="0" borderId="1" xfId="0" applyFont="1" applyBorder="1" applyAlignment="1">
      <alignment wrapText="1"/>
    </xf>
    <xf numFmtId="0" fontId="4" fillId="0" borderId="1" xfId="0" applyFont="1" applyFill="1" applyBorder="1"/>
    <xf numFmtId="8" fontId="0" fillId="0" borderId="1" xfId="0" applyNumberFormat="1" applyBorder="1"/>
    <xf numFmtId="0" fontId="6" fillId="0" borderId="1" xfId="0" applyFont="1" applyFill="1" applyBorder="1"/>
    <xf numFmtId="44" fontId="0" fillId="0" borderId="1" xfId="2" applyFont="1" applyBorder="1"/>
    <xf numFmtId="0" fontId="0" fillId="0" borderId="0" xfId="0" applyFill="1" applyBorder="1"/>
    <xf numFmtId="0" fontId="4" fillId="0" borderId="2" xfId="0" applyFont="1" applyFill="1" applyBorder="1"/>
    <xf numFmtId="44" fontId="4" fillId="0" borderId="1" xfId="0" applyNumberFormat="1" applyFont="1" applyBorder="1"/>
    <xf numFmtId="0" fontId="4" fillId="0" borderId="0" xfId="0" applyFont="1" applyBorder="1"/>
    <xf numFmtId="44" fontId="4" fillId="0" borderId="0" xfId="2" applyFont="1" applyFill="1" applyBorder="1"/>
    <xf numFmtId="164" fontId="5" fillId="0" borderId="0" xfId="0" applyNumberFormat="1" applyFont="1" applyBorder="1"/>
    <xf numFmtId="165" fontId="0" fillId="0" borderId="0" xfId="0" applyNumberFormat="1" applyBorder="1"/>
    <xf numFmtId="0" fontId="10" fillId="0" borderId="0" xfId="0" applyFont="1" applyBorder="1"/>
    <xf numFmtId="0" fontId="11" fillId="0" borderId="0" xfId="0" applyFont="1" applyBorder="1"/>
    <xf numFmtId="0" fontId="4" fillId="0" borderId="0" xfId="0" applyFont="1" applyFill="1" applyBorder="1"/>
    <xf numFmtId="8" fontId="0" fillId="0" borderId="0" xfId="0" applyNumberFormat="1" applyBorder="1"/>
    <xf numFmtId="0" fontId="0" fillId="0" borderId="0" xfId="0" applyBorder="1"/>
    <xf numFmtId="0" fontId="12" fillId="0" borderId="1" xfId="0" applyFont="1" applyBorder="1"/>
    <xf numFmtId="0" fontId="7" fillId="0" borderId="1" xfId="0" applyFont="1" applyBorder="1"/>
    <xf numFmtId="0" fontId="6" fillId="0" borderId="1" xfId="0" applyFont="1" applyBorder="1"/>
    <xf numFmtId="0" fontId="7" fillId="0" borderId="1" xfId="0" applyFont="1" applyBorder="1" applyAlignment="1">
      <alignment horizontal="center"/>
    </xf>
    <xf numFmtId="165" fontId="7" fillId="0" borderId="1" xfId="0" applyNumberFormat="1" applyFont="1" applyFill="1" applyBorder="1" applyAlignment="1">
      <alignment horizontal="center"/>
    </xf>
    <xf numFmtId="0" fontId="9" fillId="0" borderId="0" xfId="0" applyFont="1"/>
    <xf numFmtId="0" fontId="14" fillId="0" borderId="0" xfId="0" applyFont="1" applyAlignment="1" applyProtection="1">
      <alignment horizontal="left"/>
    </xf>
    <xf numFmtId="0" fontId="0" fillId="0" borderId="0" xfId="0" applyFont="1" applyProtection="1"/>
    <xf numFmtId="0" fontId="14" fillId="0" borderId="0" xfId="0" applyFont="1" applyProtection="1"/>
    <xf numFmtId="0" fontId="2" fillId="0" borderId="0" xfId="0" applyFont="1" applyProtection="1"/>
    <xf numFmtId="0" fontId="9" fillId="0" borderId="0" xfId="0" applyFont="1" applyProtection="1"/>
    <xf numFmtId="0" fontId="15" fillId="0" borderId="0" xfId="0" applyFont="1" applyFill="1" applyBorder="1"/>
    <xf numFmtId="0" fontId="10" fillId="0" borderId="0" xfId="0" applyFont="1" applyFill="1" applyBorder="1"/>
    <xf numFmtId="0" fontId="2" fillId="0" borderId="1" xfId="0" applyFont="1" applyFill="1" applyBorder="1"/>
    <xf numFmtId="8" fontId="2" fillId="0" borderId="0" xfId="0" applyNumberFormat="1" applyFont="1"/>
    <xf numFmtId="0" fontId="16" fillId="0" borderId="0" xfId="0" applyFont="1"/>
    <xf numFmtId="0" fontId="17" fillId="0" borderId="0" xfId="0" applyFont="1"/>
    <xf numFmtId="0" fontId="17" fillId="0" borderId="0" xfId="0" applyFont="1" applyAlignment="1">
      <alignment horizontal="center"/>
    </xf>
    <xf numFmtId="164" fontId="16" fillId="0" borderId="0" xfId="1" applyNumberFormat="1" applyFont="1"/>
    <xf numFmtId="44" fontId="16" fillId="0" borderId="0" xfId="2" applyFont="1"/>
    <xf numFmtId="166" fontId="16" fillId="0" borderId="0" xfId="2" applyNumberFormat="1" applyFont="1"/>
    <xf numFmtId="0" fontId="16" fillId="0" borderId="0" xfId="0" quotePrefix="1" applyFont="1" applyAlignment="1">
      <alignment horizontal="center"/>
    </xf>
    <xf numFmtId="43" fontId="16" fillId="0" borderId="0" xfId="1" applyFont="1"/>
    <xf numFmtId="166" fontId="18" fillId="0" borderId="0" xfId="0" applyNumberFormat="1" applyFont="1"/>
    <xf numFmtId="0" fontId="16" fillId="0" borderId="0" xfId="0" quotePrefix="1" applyFont="1"/>
    <xf numFmtId="0" fontId="16" fillId="0" borderId="0" xfId="0" applyFont="1" applyBorder="1" applyAlignment="1"/>
    <xf numFmtId="49" fontId="0" fillId="0" borderId="1" xfId="0" applyNumberFormat="1" applyBorder="1"/>
    <xf numFmtId="49" fontId="0" fillId="0" borderId="0" xfId="0" applyNumberFormat="1" applyBorder="1"/>
    <xf numFmtId="0" fontId="2" fillId="0" borderId="0" xfId="0" applyFont="1" applyBorder="1"/>
    <xf numFmtId="0" fontId="10" fillId="0" borderId="1" xfId="0" applyFont="1" applyBorder="1"/>
    <xf numFmtId="0" fontId="0" fillId="0" borderId="0" xfId="0" applyFont="1"/>
    <xf numFmtId="0" fontId="11" fillId="0" borderId="0" xfId="0" applyFont="1"/>
    <xf numFmtId="0" fontId="19" fillId="0" borderId="0" xfId="0" applyFont="1"/>
    <xf numFmtId="0" fontId="19" fillId="0" borderId="0" xfId="0" applyFont="1" applyAlignment="1">
      <alignment horizontal="center"/>
    </xf>
    <xf numFmtId="164" fontId="11" fillId="0" borderId="0" xfId="1" applyNumberFormat="1" applyFont="1"/>
    <xf numFmtId="44" fontId="11" fillId="0" borderId="0" xfId="2" applyFont="1"/>
    <xf numFmtId="166" fontId="11" fillId="0" borderId="0" xfId="2" applyNumberFormat="1" applyFont="1"/>
    <xf numFmtId="0" fontId="11" fillId="0" borderId="0" xfId="0" quotePrefix="1" applyFont="1" applyAlignment="1">
      <alignment horizontal="center"/>
    </xf>
    <xf numFmtId="43" fontId="11" fillId="0" borderId="0" xfId="1" applyFont="1"/>
    <xf numFmtId="166" fontId="20" fillId="0" borderId="0" xfId="0" applyNumberFormat="1" applyFont="1"/>
    <xf numFmtId="0" fontId="11" fillId="0" borderId="0" xfId="0" quotePrefix="1" applyFont="1"/>
    <xf numFmtId="0" fontId="10" fillId="0" borderId="0" xfId="0" applyFont="1"/>
    <xf numFmtId="0" fontId="15" fillId="0" borderId="0" xfId="0" applyFont="1"/>
    <xf numFmtId="15" fontId="11" fillId="0" borderId="0" xfId="0" quotePrefix="1" applyNumberFormat="1" applyFont="1"/>
    <xf numFmtId="0" fontId="14" fillId="0" borderId="0" xfId="0" applyFont="1"/>
    <xf numFmtId="0" fontId="0" fillId="0" borderId="0" xfId="0" applyAlignment="1">
      <alignment wrapText="1"/>
    </xf>
    <xf numFmtId="0" fontId="11" fillId="0" borderId="3" xfId="0" applyFont="1" applyBorder="1" applyAlignment="1">
      <alignment horizontal="center"/>
    </xf>
  </cellXfs>
  <cellStyles count="3">
    <cellStyle name="Comma" xfId="1" builtinId="3"/>
    <cellStyle name="Currency" xfId="2"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melyssa.bertucci\OneDrive%20-%20US%20DHS%20Transportation%20Security%20Administration%20(TSA)\Documents\OPS%20RFI\BAA%20docs\BAA_Cost_Proposal_Templat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Proposal Summary"/>
      <sheetName val="Schedule 1"/>
      <sheetName val="Schedule 2"/>
      <sheetName val="Schedule 3"/>
    </sheetNames>
    <sheetDataSet>
      <sheetData sheetId="0"/>
      <sheetData sheetId="1"/>
      <sheetData sheetId="2"/>
      <sheetData sheetId="3"/>
      <sheetData sheetId="4"/>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5"/>
  <sheetViews>
    <sheetView tabSelected="1" workbookViewId="0">
      <selection activeCell="C44" sqref="C44"/>
    </sheetView>
  </sheetViews>
  <sheetFormatPr defaultRowHeight="15" x14ac:dyDescent="0.25"/>
  <cols>
    <col min="2" max="2" width="11.28515625" customWidth="1"/>
    <col min="4" max="4" width="11.42578125" customWidth="1"/>
    <col min="7" max="7" width="14.5703125" customWidth="1"/>
  </cols>
  <sheetData>
    <row r="1" spans="1:23" ht="18.75" x14ac:dyDescent="0.3">
      <c r="A1" s="42" t="s">
        <v>122</v>
      </c>
      <c r="B1" s="43"/>
      <c r="C1" s="43"/>
      <c r="D1" s="43"/>
      <c r="E1" s="43"/>
      <c r="F1" s="43"/>
      <c r="G1" s="43"/>
    </row>
    <row r="2" spans="1:23" ht="18.75" x14ac:dyDescent="0.3">
      <c r="A2" s="80" t="s">
        <v>121</v>
      </c>
      <c r="B2" s="43"/>
      <c r="C2" s="43"/>
      <c r="D2" s="43"/>
      <c r="E2" s="43"/>
      <c r="F2" s="43"/>
      <c r="G2" s="43"/>
    </row>
    <row r="3" spans="1:23" ht="18.75" x14ac:dyDescent="0.3">
      <c r="A3" s="44"/>
      <c r="B3" s="43"/>
      <c r="C3" s="43"/>
      <c r="D3" s="43"/>
      <c r="E3" s="43"/>
      <c r="F3" s="43"/>
      <c r="G3" s="43"/>
    </row>
    <row r="4" spans="1:23" x14ac:dyDescent="0.25">
      <c r="A4" s="45"/>
      <c r="B4" s="43"/>
      <c r="C4" s="43"/>
      <c r="D4" s="43"/>
      <c r="E4" s="43"/>
      <c r="F4" s="43"/>
      <c r="G4" s="43"/>
    </row>
    <row r="5" spans="1:23" x14ac:dyDescent="0.25">
      <c r="A5" s="46" t="s">
        <v>0</v>
      </c>
      <c r="B5" s="43"/>
      <c r="C5" s="43"/>
      <c r="D5" s="43"/>
      <c r="E5" s="43"/>
      <c r="F5" s="43"/>
      <c r="G5" s="43"/>
    </row>
    <row r="6" spans="1:23" x14ac:dyDescent="0.25">
      <c r="A6" s="46"/>
      <c r="B6" s="43"/>
      <c r="C6" s="43"/>
      <c r="D6" s="43"/>
      <c r="E6" s="43"/>
      <c r="F6" s="43"/>
      <c r="G6" s="43"/>
    </row>
    <row r="7" spans="1:23" x14ac:dyDescent="0.25">
      <c r="A7" s="45"/>
      <c r="B7" s="43"/>
      <c r="C7" s="43"/>
      <c r="D7" s="43"/>
      <c r="E7" s="43"/>
      <c r="F7" s="43"/>
      <c r="G7" s="43"/>
    </row>
    <row r="8" spans="1:23" ht="18.75" x14ac:dyDescent="0.3">
      <c r="A8" s="44" t="s">
        <v>1</v>
      </c>
      <c r="B8" s="43"/>
      <c r="C8" s="43"/>
      <c r="D8" s="43"/>
      <c r="E8" s="43"/>
      <c r="F8" s="43"/>
      <c r="G8" s="43"/>
    </row>
    <row r="9" spans="1:23" x14ac:dyDescent="0.25">
      <c r="A9" s="67"/>
      <c r="B9" s="67"/>
      <c r="C9" s="67"/>
      <c r="D9" s="67"/>
      <c r="E9" s="67"/>
      <c r="F9" s="67"/>
      <c r="G9" s="67"/>
      <c r="H9" s="67"/>
      <c r="I9" s="67"/>
      <c r="J9" s="67"/>
      <c r="K9" s="67"/>
      <c r="L9" s="67"/>
      <c r="M9" s="67"/>
      <c r="N9" s="67" t="s">
        <v>2</v>
      </c>
      <c r="O9" s="67"/>
      <c r="P9" s="67"/>
      <c r="Q9" s="67"/>
      <c r="R9" s="67"/>
      <c r="S9" s="67"/>
      <c r="T9" s="66"/>
      <c r="U9" s="66"/>
      <c r="V9" s="66"/>
      <c r="W9" s="66"/>
    </row>
    <row r="10" spans="1:23" x14ac:dyDescent="0.25">
      <c r="A10" s="67"/>
      <c r="B10" s="67"/>
      <c r="C10" s="67"/>
      <c r="D10" s="67"/>
      <c r="E10" s="67"/>
      <c r="F10" s="67"/>
      <c r="G10" s="67"/>
      <c r="H10" s="67"/>
      <c r="I10" s="67"/>
      <c r="J10" s="67"/>
      <c r="K10" s="67"/>
      <c r="L10" s="67"/>
      <c r="M10" s="67"/>
      <c r="N10" s="67"/>
      <c r="O10" s="67"/>
      <c r="P10" s="67"/>
      <c r="Q10" s="67"/>
      <c r="R10" s="67"/>
      <c r="S10" s="67"/>
      <c r="T10" s="66"/>
      <c r="U10" s="66"/>
      <c r="V10" s="66"/>
      <c r="W10" s="66"/>
    </row>
    <row r="11" spans="1:23" x14ac:dyDescent="0.25">
      <c r="A11" s="76" t="s">
        <v>3</v>
      </c>
      <c r="B11" s="77" t="s">
        <v>4</v>
      </c>
      <c r="C11" s="67"/>
      <c r="D11" s="67"/>
      <c r="E11" s="67"/>
      <c r="F11" s="67"/>
      <c r="G11" s="67"/>
      <c r="H11" s="67"/>
      <c r="I11" s="67"/>
      <c r="J11" s="67"/>
      <c r="K11" s="67"/>
      <c r="L11" s="67"/>
      <c r="M11" s="67"/>
      <c r="N11" s="67" t="s">
        <v>5</v>
      </c>
      <c r="O11" s="67"/>
      <c r="P11" s="67"/>
      <c r="Q11" s="67"/>
      <c r="R11" s="67"/>
      <c r="S11" s="67"/>
      <c r="T11" s="66"/>
      <c r="U11" s="66"/>
      <c r="V11" s="66"/>
      <c r="W11" s="66"/>
    </row>
    <row r="12" spans="1:23" x14ac:dyDescent="0.25">
      <c r="A12" s="67"/>
      <c r="B12" s="67"/>
      <c r="C12" s="67"/>
      <c r="D12" s="67"/>
      <c r="E12" s="67"/>
      <c r="F12" s="67"/>
      <c r="G12" s="67"/>
      <c r="H12" s="67"/>
      <c r="I12" s="67"/>
      <c r="J12" s="67"/>
      <c r="K12" s="67"/>
      <c r="L12" s="67"/>
      <c r="M12" s="67"/>
      <c r="N12" s="67"/>
      <c r="O12" s="67"/>
      <c r="P12" s="67"/>
      <c r="Q12" s="67"/>
      <c r="R12" s="67"/>
      <c r="S12" s="67"/>
      <c r="T12" s="66"/>
      <c r="U12" s="66"/>
      <c r="V12" s="66"/>
      <c r="W12" s="66"/>
    </row>
    <row r="13" spans="1:23" x14ac:dyDescent="0.25">
      <c r="A13" s="76" t="s">
        <v>6</v>
      </c>
      <c r="B13" s="67" t="s">
        <v>123</v>
      </c>
      <c r="C13" s="67"/>
      <c r="D13" s="67"/>
      <c r="E13" s="67"/>
      <c r="F13" s="67"/>
      <c r="G13" s="67"/>
      <c r="H13" s="67"/>
      <c r="I13" s="67"/>
      <c r="J13" s="67"/>
      <c r="K13" s="67"/>
      <c r="L13" s="67"/>
      <c r="M13" s="67"/>
      <c r="N13" s="67" t="s">
        <v>7</v>
      </c>
      <c r="O13" s="67"/>
      <c r="P13" s="67"/>
      <c r="Q13" s="67"/>
      <c r="R13" s="67"/>
      <c r="S13" s="67"/>
      <c r="T13" s="66"/>
      <c r="U13" s="66"/>
      <c r="V13" s="66"/>
      <c r="W13" s="66"/>
    </row>
    <row r="14" spans="1:23" x14ac:dyDescent="0.25">
      <c r="A14" s="67"/>
      <c r="B14" s="67" t="s">
        <v>124</v>
      </c>
      <c r="C14" s="67"/>
      <c r="D14" s="67"/>
      <c r="E14" s="67"/>
      <c r="F14" s="67"/>
      <c r="G14" s="67"/>
      <c r="H14" s="67"/>
      <c r="I14" s="67"/>
      <c r="J14" s="67"/>
      <c r="K14" s="67"/>
      <c r="L14" s="67"/>
      <c r="M14" s="67"/>
      <c r="N14" s="67"/>
      <c r="O14" s="67"/>
      <c r="P14" s="67"/>
      <c r="Q14" s="67"/>
      <c r="R14" s="67"/>
      <c r="S14" s="67"/>
      <c r="T14" s="66"/>
      <c r="U14" s="66"/>
      <c r="V14" s="66"/>
      <c r="W14" s="66"/>
    </row>
    <row r="15" spans="1:23" x14ac:dyDescent="0.25">
      <c r="A15" s="67"/>
      <c r="B15" s="67" t="s">
        <v>125</v>
      </c>
      <c r="C15" s="67"/>
      <c r="D15" s="67"/>
      <c r="E15" s="67"/>
      <c r="F15" s="67"/>
      <c r="G15" s="67"/>
      <c r="H15" s="67"/>
      <c r="I15" s="67"/>
      <c r="J15" s="67"/>
      <c r="K15" s="67"/>
      <c r="L15" s="67"/>
      <c r="M15" s="67"/>
      <c r="N15" s="67"/>
      <c r="O15" s="67"/>
      <c r="P15" s="67"/>
      <c r="Q15" s="67"/>
      <c r="R15" s="67"/>
      <c r="S15" s="67"/>
      <c r="T15" s="66"/>
      <c r="U15" s="66"/>
      <c r="V15" s="66"/>
      <c r="W15" s="66"/>
    </row>
    <row r="16" spans="1:23" x14ac:dyDescent="0.25">
      <c r="A16" s="67"/>
      <c r="B16" s="67"/>
      <c r="C16" s="67"/>
      <c r="D16" s="67"/>
      <c r="E16" s="67"/>
      <c r="F16" s="67"/>
      <c r="G16" s="67"/>
      <c r="H16" s="67"/>
      <c r="I16" s="67"/>
      <c r="J16" s="67"/>
      <c r="K16" s="67"/>
      <c r="L16" s="67"/>
      <c r="M16" s="67"/>
      <c r="N16" s="67"/>
      <c r="O16" s="67"/>
      <c r="P16" s="67"/>
      <c r="Q16" s="67"/>
      <c r="R16" s="67"/>
      <c r="S16" s="67"/>
      <c r="T16" s="66"/>
      <c r="U16" s="66"/>
      <c r="V16" s="66"/>
      <c r="W16" s="66"/>
    </row>
    <row r="17" spans="1:23" x14ac:dyDescent="0.25">
      <c r="A17" s="76" t="s">
        <v>8</v>
      </c>
      <c r="B17" s="77" t="s">
        <v>9</v>
      </c>
      <c r="C17" s="67"/>
      <c r="D17" s="67"/>
      <c r="E17" s="67"/>
      <c r="F17" s="67"/>
      <c r="G17" s="67"/>
      <c r="H17" s="67"/>
      <c r="I17" s="67"/>
      <c r="J17" s="67"/>
      <c r="K17" s="67"/>
      <c r="L17" s="67"/>
      <c r="M17" s="67"/>
      <c r="N17" s="67" t="s">
        <v>10</v>
      </c>
      <c r="O17" s="67"/>
      <c r="P17" s="67"/>
      <c r="Q17" s="67"/>
      <c r="R17" s="67"/>
      <c r="S17" s="67"/>
      <c r="T17" s="66"/>
      <c r="U17" s="66"/>
      <c r="V17" s="66"/>
      <c r="W17" s="66"/>
    </row>
    <row r="18" spans="1:23" x14ac:dyDescent="0.25">
      <c r="A18" s="67"/>
      <c r="B18" s="67" t="s">
        <v>126</v>
      </c>
      <c r="C18" s="67"/>
      <c r="D18" s="67"/>
      <c r="E18" s="67"/>
      <c r="F18" s="67"/>
      <c r="G18" s="67"/>
      <c r="H18" s="67"/>
      <c r="I18" s="67"/>
      <c r="J18" s="67"/>
      <c r="K18" s="67"/>
      <c r="L18" s="67"/>
      <c r="M18" s="67"/>
      <c r="N18" s="67"/>
      <c r="O18" s="67"/>
      <c r="P18" s="67"/>
      <c r="Q18" s="67"/>
      <c r="R18" s="67"/>
      <c r="S18" s="67"/>
      <c r="T18" s="66"/>
      <c r="U18" s="66"/>
      <c r="V18" s="66"/>
      <c r="W18" s="66"/>
    </row>
    <row r="19" spans="1:23" x14ac:dyDescent="0.25">
      <c r="A19" s="67"/>
      <c r="B19" s="67" t="s">
        <v>127</v>
      </c>
      <c r="C19" s="67"/>
      <c r="D19" s="67"/>
      <c r="E19" s="67"/>
      <c r="F19" s="67"/>
      <c r="G19" s="67"/>
      <c r="H19" s="67"/>
      <c r="I19" s="67"/>
      <c r="J19" s="67"/>
      <c r="K19" s="67"/>
      <c r="L19" s="67"/>
      <c r="M19" s="67"/>
      <c r="N19" s="67"/>
      <c r="O19" s="67"/>
      <c r="P19" s="67"/>
      <c r="Q19" s="67"/>
      <c r="R19" s="67"/>
      <c r="S19" s="67"/>
      <c r="T19" s="66"/>
      <c r="U19" s="66"/>
      <c r="V19" s="66"/>
      <c r="W19" s="66"/>
    </row>
    <row r="20" spans="1:23" x14ac:dyDescent="0.25">
      <c r="A20" s="67"/>
      <c r="B20" s="67" t="s">
        <v>128</v>
      </c>
      <c r="C20" s="67"/>
      <c r="D20" s="67"/>
      <c r="E20" s="67"/>
      <c r="F20" s="67"/>
      <c r="G20" s="67"/>
      <c r="H20" s="67"/>
      <c r="I20" s="67"/>
      <c r="J20" s="67"/>
      <c r="K20" s="67"/>
      <c r="L20" s="67"/>
      <c r="M20" s="67"/>
      <c r="N20" s="67"/>
      <c r="O20" s="67"/>
      <c r="P20" s="67"/>
      <c r="Q20" s="67"/>
      <c r="R20" s="67"/>
      <c r="S20" s="67"/>
      <c r="T20" s="66"/>
      <c r="U20" s="66"/>
      <c r="V20" s="66"/>
      <c r="W20" s="66"/>
    </row>
    <row r="21" spans="1:23" x14ac:dyDescent="0.25">
      <c r="A21" s="67"/>
      <c r="B21" s="67"/>
      <c r="C21" s="67"/>
      <c r="D21" s="67"/>
      <c r="E21" s="67"/>
      <c r="F21" s="67"/>
      <c r="G21" s="67"/>
      <c r="H21" s="67"/>
      <c r="I21" s="67"/>
      <c r="J21" s="67"/>
      <c r="K21" s="67"/>
      <c r="L21" s="67"/>
      <c r="M21" s="67"/>
      <c r="N21" s="67"/>
      <c r="O21" s="67"/>
      <c r="P21" s="67"/>
      <c r="Q21" s="67"/>
      <c r="R21" s="67"/>
      <c r="S21" s="67"/>
      <c r="T21" s="66"/>
      <c r="U21" s="66"/>
      <c r="V21" s="66"/>
      <c r="W21" s="66"/>
    </row>
    <row r="22" spans="1:23" x14ac:dyDescent="0.25">
      <c r="A22" s="76" t="s">
        <v>11</v>
      </c>
      <c r="B22" s="78" t="s">
        <v>12</v>
      </c>
      <c r="C22" s="67"/>
      <c r="D22" s="67"/>
      <c r="E22" s="67"/>
      <c r="F22" s="67"/>
      <c r="G22" s="67"/>
      <c r="H22" s="67"/>
      <c r="I22" s="78" t="s">
        <v>13</v>
      </c>
      <c r="J22" s="67"/>
      <c r="K22" s="67"/>
      <c r="L22" s="67"/>
      <c r="M22" s="67"/>
      <c r="N22" s="67" t="s">
        <v>14</v>
      </c>
      <c r="O22" s="67"/>
      <c r="P22" s="67"/>
      <c r="Q22" s="67"/>
      <c r="R22" s="67"/>
      <c r="S22" s="67"/>
      <c r="T22" s="66"/>
      <c r="U22" s="66"/>
      <c r="V22" s="66"/>
      <c r="W22" s="66"/>
    </row>
    <row r="23" spans="1:23" x14ac:dyDescent="0.25">
      <c r="A23" s="67"/>
      <c r="B23" s="67" t="s">
        <v>123</v>
      </c>
      <c r="C23" s="67"/>
      <c r="D23" s="67"/>
      <c r="E23" s="67"/>
      <c r="F23" s="67"/>
      <c r="G23" s="67"/>
      <c r="H23" s="67"/>
      <c r="I23" s="67" t="s">
        <v>123</v>
      </c>
      <c r="J23" s="67"/>
      <c r="K23" s="67"/>
      <c r="L23" s="67"/>
      <c r="M23" s="67"/>
      <c r="N23" s="67" t="s">
        <v>15</v>
      </c>
      <c r="O23" s="67"/>
      <c r="P23" s="67"/>
      <c r="Q23" s="67"/>
      <c r="R23" s="67"/>
      <c r="S23" s="67"/>
      <c r="T23" s="66"/>
      <c r="U23" s="66"/>
      <c r="V23" s="66"/>
      <c r="W23" s="66"/>
    </row>
    <row r="24" spans="1:23" x14ac:dyDescent="0.25">
      <c r="A24" s="67"/>
      <c r="B24" s="67" t="s">
        <v>124</v>
      </c>
      <c r="C24" s="67"/>
      <c r="D24" s="67"/>
      <c r="E24" s="67"/>
      <c r="F24" s="67"/>
      <c r="G24" s="67"/>
      <c r="H24" s="67"/>
      <c r="I24" s="67" t="s">
        <v>124</v>
      </c>
      <c r="J24" s="67"/>
      <c r="K24" s="67"/>
      <c r="L24" s="67"/>
      <c r="M24" s="67"/>
      <c r="N24" s="67"/>
      <c r="O24" s="67"/>
      <c r="P24" s="67"/>
      <c r="Q24" s="67"/>
      <c r="R24" s="67"/>
      <c r="S24" s="67"/>
      <c r="T24" s="66"/>
      <c r="U24" s="66"/>
      <c r="V24" s="66"/>
      <c r="W24" s="66"/>
    </row>
    <row r="25" spans="1:23" x14ac:dyDescent="0.25">
      <c r="A25" s="67"/>
      <c r="B25" s="67" t="s">
        <v>125</v>
      </c>
      <c r="C25" s="67"/>
      <c r="D25" s="67"/>
      <c r="E25" s="67"/>
      <c r="F25" s="67"/>
      <c r="G25" s="67"/>
      <c r="H25" s="67"/>
      <c r="I25" s="67" t="s">
        <v>125</v>
      </c>
      <c r="J25" s="67"/>
      <c r="K25" s="67"/>
      <c r="L25" s="67"/>
      <c r="M25" s="67"/>
      <c r="N25" s="67"/>
      <c r="O25" s="67"/>
      <c r="P25" s="67"/>
      <c r="Q25" s="67"/>
      <c r="R25" s="67"/>
      <c r="S25" s="67"/>
      <c r="T25" s="66"/>
      <c r="U25" s="66"/>
      <c r="V25" s="66"/>
      <c r="W25" s="66"/>
    </row>
    <row r="26" spans="1:23" x14ac:dyDescent="0.25">
      <c r="A26" s="67"/>
      <c r="B26" s="67" t="s">
        <v>129</v>
      </c>
      <c r="C26" s="67"/>
      <c r="D26" s="67"/>
      <c r="E26" s="67"/>
      <c r="F26" s="67"/>
      <c r="G26" s="67"/>
      <c r="H26" s="67"/>
      <c r="I26" s="67" t="s">
        <v>129</v>
      </c>
      <c r="J26" s="67"/>
      <c r="K26" s="67"/>
      <c r="L26" s="67"/>
      <c r="M26" s="67"/>
      <c r="N26" s="67"/>
      <c r="O26" s="67"/>
      <c r="P26" s="67"/>
      <c r="Q26" s="67"/>
      <c r="R26" s="67"/>
      <c r="S26" s="67"/>
      <c r="T26" s="66"/>
      <c r="U26" s="66"/>
      <c r="V26" s="66"/>
      <c r="W26" s="66"/>
    </row>
    <row r="27" spans="1:23" x14ac:dyDescent="0.25">
      <c r="A27" s="67"/>
      <c r="B27" s="67"/>
      <c r="C27" s="67"/>
      <c r="D27" s="67"/>
      <c r="E27" s="67"/>
      <c r="F27" s="67"/>
      <c r="G27" s="67"/>
      <c r="H27" s="67"/>
      <c r="I27" s="67"/>
      <c r="J27" s="67"/>
      <c r="K27" s="67"/>
      <c r="L27" s="67"/>
      <c r="M27" s="67"/>
      <c r="N27" s="67"/>
      <c r="O27" s="67"/>
      <c r="P27" s="67"/>
      <c r="Q27" s="67"/>
      <c r="R27" s="67"/>
      <c r="S27" s="67"/>
      <c r="T27" s="66"/>
      <c r="U27" s="66"/>
      <c r="V27" s="66"/>
      <c r="W27" s="66"/>
    </row>
    <row r="28" spans="1:23" x14ac:dyDescent="0.25">
      <c r="A28" s="76" t="s">
        <v>16</v>
      </c>
      <c r="B28" s="77" t="s">
        <v>17</v>
      </c>
      <c r="C28" s="67"/>
      <c r="D28" s="67"/>
      <c r="E28" s="67"/>
      <c r="F28" s="67"/>
      <c r="G28" s="67"/>
      <c r="H28" s="67"/>
      <c r="I28" s="67"/>
      <c r="J28" s="67"/>
      <c r="K28" s="67"/>
      <c r="L28" s="67"/>
      <c r="M28" s="67"/>
      <c r="N28" s="67" t="s">
        <v>18</v>
      </c>
      <c r="O28" s="67"/>
      <c r="P28" s="67"/>
      <c r="Q28" s="67"/>
      <c r="R28" s="67"/>
      <c r="S28" s="67"/>
      <c r="T28" s="66"/>
      <c r="U28" s="66"/>
      <c r="V28" s="66"/>
      <c r="W28" s="66"/>
    </row>
    <row r="29" spans="1:23" x14ac:dyDescent="0.25">
      <c r="A29" s="67"/>
      <c r="B29" s="67"/>
      <c r="C29" s="67"/>
      <c r="D29" s="67"/>
      <c r="E29" s="67"/>
      <c r="F29" s="67"/>
      <c r="G29" s="67"/>
      <c r="H29" s="67"/>
      <c r="I29" s="67"/>
      <c r="J29" s="67"/>
      <c r="K29" s="67"/>
      <c r="L29" s="67"/>
      <c r="M29" s="67"/>
      <c r="N29" s="67"/>
      <c r="O29" s="67"/>
      <c r="P29" s="67"/>
      <c r="Q29" s="67"/>
      <c r="R29" s="67"/>
      <c r="S29" s="67"/>
      <c r="T29" s="66"/>
      <c r="U29" s="66"/>
      <c r="V29" s="66"/>
      <c r="W29" s="66"/>
    </row>
    <row r="30" spans="1:23" x14ac:dyDescent="0.25">
      <c r="A30" s="76" t="s">
        <v>19</v>
      </c>
      <c r="B30" s="67" t="s">
        <v>20</v>
      </c>
      <c r="C30" s="67"/>
      <c r="D30" s="67"/>
      <c r="E30" s="73" t="s">
        <v>21</v>
      </c>
      <c r="F30" s="73"/>
      <c r="G30" s="67" t="s">
        <v>22</v>
      </c>
      <c r="H30" s="67"/>
      <c r="I30" s="73" t="s">
        <v>23</v>
      </c>
      <c r="J30" s="67" t="s">
        <v>24</v>
      </c>
      <c r="K30" s="67"/>
      <c r="L30" s="67"/>
      <c r="M30" s="67"/>
      <c r="N30" s="67" t="s">
        <v>25</v>
      </c>
      <c r="O30" s="67"/>
      <c r="P30" s="67"/>
      <c r="Q30" s="67"/>
      <c r="R30" s="67"/>
      <c r="S30" s="67"/>
      <c r="T30" s="66"/>
      <c r="U30" s="66"/>
      <c r="V30" s="66"/>
      <c r="W30" s="66"/>
    </row>
    <row r="31" spans="1:23" x14ac:dyDescent="0.25">
      <c r="A31" s="67"/>
      <c r="B31" s="67"/>
      <c r="C31" s="72">
        <f>+'[1]Proposal Summary'!G32</f>
        <v>0</v>
      </c>
      <c r="D31" s="67"/>
      <c r="E31" s="73" t="s">
        <v>21</v>
      </c>
      <c r="F31" s="67"/>
      <c r="G31" s="72">
        <f>+'[1]Proposal Summary'!G34</f>
        <v>0</v>
      </c>
      <c r="H31" s="67"/>
      <c r="I31" s="73" t="s">
        <v>23</v>
      </c>
      <c r="J31" s="72">
        <f>'[1]Proposal Summary'!G36</f>
        <v>0</v>
      </c>
      <c r="K31" s="67"/>
      <c r="L31" s="67"/>
      <c r="M31" s="67"/>
      <c r="N31" s="67"/>
      <c r="O31" s="67"/>
      <c r="P31" s="67"/>
      <c r="Q31" s="67"/>
      <c r="R31" s="67"/>
      <c r="S31" s="67"/>
      <c r="T31" s="66"/>
      <c r="U31" s="66"/>
      <c r="V31" s="66"/>
      <c r="W31" s="66"/>
    </row>
    <row r="32" spans="1:23" x14ac:dyDescent="0.25">
      <c r="A32" s="67"/>
      <c r="B32" s="67"/>
      <c r="C32" s="67"/>
      <c r="D32" s="67"/>
      <c r="E32" s="67"/>
      <c r="F32" s="67"/>
      <c r="G32" s="67"/>
      <c r="H32" s="67"/>
      <c r="I32" s="67"/>
      <c r="J32" s="67"/>
      <c r="K32" s="67"/>
      <c r="L32" s="67"/>
      <c r="M32" s="67"/>
      <c r="N32" s="67"/>
      <c r="O32" s="67"/>
      <c r="P32" s="67"/>
      <c r="Q32" s="67"/>
      <c r="R32" s="67"/>
      <c r="S32" s="67"/>
      <c r="T32" s="66"/>
      <c r="U32" s="66"/>
      <c r="V32" s="66"/>
      <c r="W32" s="66"/>
    </row>
    <row r="33" spans="1:23" x14ac:dyDescent="0.25">
      <c r="A33" s="76" t="s">
        <v>26</v>
      </c>
      <c r="B33" s="77" t="s">
        <v>27</v>
      </c>
      <c r="C33" s="67"/>
      <c r="D33" s="67"/>
      <c r="E33" s="67"/>
      <c r="F33" s="67"/>
      <c r="G33" s="67"/>
      <c r="H33" s="67"/>
      <c r="I33" s="67"/>
      <c r="J33" s="67"/>
      <c r="K33" s="67"/>
      <c r="L33" s="67"/>
      <c r="M33" s="67"/>
      <c r="N33" s="67" t="s">
        <v>28</v>
      </c>
      <c r="O33" s="67"/>
      <c r="P33" s="67"/>
      <c r="Q33" s="67"/>
      <c r="R33" s="67"/>
      <c r="S33" s="67"/>
      <c r="T33" s="66"/>
      <c r="U33" s="66"/>
      <c r="V33" s="66"/>
      <c r="W33" s="66"/>
    </row>
    <row r="34" spans="1:23" x14ac:dyDescent="0.25">
      <c r="A34" s="67"/>
      <c r="B34" s="67" t="s">
        <v>29</v>
      </c>
      <c r="C34" s="67"/>
      <c r="D34" s="67"/>
      <c r="E34" s="67"/>
      <c r="F34" s="67"/>
      <c r="G34" s="67"/>
      <c r="H34" s="67"/>
      <c r="I34" s="67"/>
      <c r="J34" s="67"/>
      <c r="K34" s="67"/>
      <c r="L34" s="67"/>
      <c r="M34" s="67"/>
      <c r="N34" s="67" t="s">
        <v>30</v>
      </c>
      <c r="O34" s="67"/>
      <c r="P34" s="67"/>
      <c r="Q34" s="67"/>
      <c r="R34" s="67"/>
      <c r="S34" s="67"/>
      <c r="T34" s="66"/>
      <c r="U34" s="66"/>
      <c r="V34" s="66"/>
      <c r="W34" s="66"/>
    </row>
    <row r="35" spans="1:23" x14ac:dyDescent="0.25">
      <c r="A35" s="67"/>
      <c r="B35" s="67"/>
      <c r="C35" s="67"/>
      <c r="D35" s="67"/>
      <c r="E35" s="67"/>
      <c r="F35" s="67"/>
      <c r="G35" s="67"/>
      <c r="H35" s="67"/>
      <c r="I35" s="67"/>
      <c r="J35" s="67"/>
      <c r="K35" s="67"/>
      <c r="L35" s="67"/>
      <c r="M35" s="67"/>
      <c r="N35" s="67"/>
      <c r="O35" s="67"/>
      <c r="P35" s="67"/>
      <c r="Q35" s="67"/>
      <c r="R35" s="67"/>
      <c r="S35" s="67"/>
      <c r="T35" s="66"/>
      <c r="U35" s="66"/>
      <c r="V35" s="66"/>
      <c r="W35" s="66"/>
    </row>
    <row r="36" spans="1:23" x14ac:dyDescent="0.25">
      <c r="A36" s="67"/>
      <c r="B36" s="67"/>
      <c r="C36" s="67"/>
      <c r="D36" s="67"/>
      <c r="E36" s="67"/>
      <c r="F36" s="67"/>
      <c r="G36" s="67"/>
      <c r="H36" s="67"/>
      <c r="I36" s="67"/>
      <c r="J36" s="67"/>
      <c r="K36" s="67"/>
      <c r="L36" s="67"/>
      <c r="M36" s="67"/>
      <c r="N36" s="67"/>
      <c r="O36" s="67"/>
      <c r="P36" s="67"/>
      <c r="Q36" s="67"/>
      <c r="R36" s="67"/>
      <c r="S36" s="67"/>
      <c r="T36" s="66"/>
      <c r="U36" s="66"/>
      <c r="V36" s="66"/>
      <c r="W36" s="66"/>
    </row>
    <row r="37" spans="1:23" x14ac:dyDescent="0.25">
      <c r="A37" s="67"/>
      <c r="B37" s="67"/>
      <c r="C37" s="67"/>
      <c r="D37" s="67"/>
      <c r="E37" s="67"/>
      <c r="F37" s="67"/>
      <c r="G37" s="67"/>
      <c r="H37" s="67"/>
      <c r="I37" s="67"/>
      <c r="J37" s="67"/>
      <c r="K37" s="67"/>
      <c r="L37" s="67"/>
      <c r="M37" s="67"/>
      <c r="N37" s="67"/>
      <c r="O37" s="67"/>
      <c r="P37" s="67"/>
      <c r="Q37" s="67"/>
      <c r="R37" s="67"/>
      <c r="S37" s="67"/>
      <c r="T37" s="66"/>
      <c r="U37" s="66"/>
      <c r="V37" s="66"/>
      <c r="W37" s="66"/>
    </row>
    <row r="38" spans="1:23" x14ac:dyDescent="0.25">
      <c r="A38" s="67"/>
      <c r="B38" s="67"/>
      <c r="C38" s="67"/>
      <c r="D38" s="67"/>
      <c r="E38" s="67"/>
      <c r="F38" s="67"/>
      <c r="G38" s="67"/>
      <c r="H38" s="67"/>
      <c r="I38" s="67"/>
      <c r="J38" s="67"/>
      <c r="K38" s="67"/>
      <c r="L38" s="67"/>
      <c r="M38" s="67"/>
      <c r="S38" s="67"/>
      <c r="T38" s="66"/>
      <c r="U38" s="66"/>
      <c r="V38" s="66"/>
      <c r="W38" s="66"/>
    </row>
    <row r="39" spans="1:23" x14ac:dyDescent="0.25">
      <c r="A39" s="67"/>
      <c r="B39" s="67"/>
      <c r="C39" s="67"/>
      <c r="D39" s="67"/>
      <c r="E39" s="67"/>
      <c r="F39" s="67"/>
      <c r="G39" s="67"/>
      <c r="H39" s="67"/>
      <c r="I39" s="67"/>
      <c r="J39" s="67"/>
      <c r="K39" s="67"/>
      <c r="L39" s="67"/>
      <c r="M39" s="67"/>
      <c r="S39" s="67"/>
      <c r="T39" s="66"/>
      <c r="U39" s="66"/>
      <c r="V39" s="66"/>
      <c r="W39" s="66"/>
    </row>
    <row r="40" spans="1:23" x14ac:dyDescent="0.25">
      <c r="A40" s="67"/>
      <c r="B40" s="67"/>
      <c r="C40" s="67"/>
      <c r="D40" s="67"/>
      <c r="E40" s="67"/>
      <c r="F40" s="67"/>
      <c r="G40" s="67"/>
      <c r="H40" s="67"/>
      <c r="I40" s="67"/>
      <c r="J40" s="67"/>
      <c r="K40" s="67"/>
      <c r="L40" s="67"/>
      <c r="M40" s="67"/>
      <c r="S40" s="67"/>
      <c r="T40" s="66"/>
      <c r="U40" s="66"/>
      <c r="V40" s="66"/>
      <c r="W40" s="66"/>
    </row>
    <row r="41" spans="1:23" x14ac:dyDescent="0.25">
      <c r="A41" s="67"/>
      <c r="B41" s="67"/>
      <c r="C41" s="67"/>
      <c r="D41" s="67"/>
      <c r="E41" s="67"/>
      <c r="F41" s="67"/>
      <c r="G41" s="67"/>
      <c r="H41" s="67"/>
      <c r="I41" s="67"/>
      <c r="J41" s="67"/>
      <c r="K41" s="67"/>
      <c r="L41" s="67"/>
      <c r="M41" s="67"/>
      <c r="N41" s="67"/>
      <c r="O41" s="67"/>
      <c r="P41" s="67"/>
      <c r="Q41" s="67"/>
      <c r="R41" s="67"/>
      <c r="S41" s="67"/>
      <c r="T41" s="66"/>
      <c r="U41" s="66"/>
      <c r="V41" s="66"/>
      <c r="W41" s="66"/>
    </row>
    <row r="42" spans="1:23" x14ac:dyDescent="0.25">
      <c r="A42" s="67"/>
      <c r="B42" s="67"/>
      <c r="C42" s="67"/>
      <c r="D42" s="67"/>
      <c r="E42" s="67"/>
      <c r="F42" s="67"/>
      <c r="G42" s="67"/>
      <c r="H42" s="67"/>
      <c r="I42" s="67"/>
      <c r="J42" s="67"/>
      <c r="K42" s="67"/>
      <c r="L42" s="67"/>
      <c r="M42" s="67"/>
      <c r="N42" s="67"/>
      <c r="O42" s="67"/>
      <c r="P42" s="67"/>
      <c r="Q42" s="67"/>
      <c r="R42" s="67"/>
      <c r="S42" s="67"/>
      <c r="T42" s="66"/>
      <c r="U42" s="66"/>
      <c r="V42" s="66"/>
      <c r="W42" s="66"/>
    </row>
    <row r="43" spans="1:23" x14ac:dyDescent="0.25">
      <c r="A43" s="76" t="s">
        <v>31</v>
      </c>
      <c r="B43" s="67"/>
      <c r="C43" s="67" t="s">
        <v>34</v>
      </c>
      <c r="D43" s="67"/>
      <c r="E43" s="67"/>
      <c r="F43" s="67"/>
      <c r="G43" s="67"/>
      <c r="H43" s="67"/>
      <c r="I43" s="67"/>
      <c r="J43" s="67"/>
      <c r="K43" s="67"/>
      <c r="L43" s="67"/>
      <c r="M43" s="67"/>
      <c r="N43" s="67" t="s">
        <v>32</v>
      </c>
      <c r="O43" s="67"/>
      <c r="P43" s="67"/>
      <c r="Q43" s="67"/>
      <c r="R43" s="67"/>
      <c r="S43" s="67"/>
      <c r="T43" s="66"/>
      <c r="U43" s="66"/>
      <c r="V43" s="66"/>
      <c r="W43" s="66"/>
    </row>
    <row r="44" spans="1:23" x14ac:dyDescent="0.25">
      <c r="A44" s="67"/>
      <c r="B44" s="67"/>
      <c r="C44" s="67" t="s">
        <v>35</v>
      </c>
      <c r="D44" s="67"/>
      <c r="E44" s="67"/>
      <c r="F44" s="67"/>
      <c r="G44" s="67"/>
      <c r="H44" s="67"/>
      <c r="I44" s="67"/>
      <c r="J44" s="67"/>
      <c r="K44" s="67"/>
      <c r="L44" s="67"/>
      <c r="M44" s="67"/>
      <c r="N44" s="67"/>
      <c r="O44" s="67"/>
      <c r="P44" s="67"/>
      <c r="Q44" s="67"/>
      <c r="R44" s="67"/>
      <c r="S44" s="67"/>
      <c r="T44" s="66"/>
      <c r="U44" s="66"/>
      <c r="V44" s="66"/>
      <c r="W44" s="66"/>
    </row>
    <row r="45" spans="1:23" x14ac:dyDescent="0.25">
      <c r="A45" s="67"/>
      <c r="B45" s="67"/>
      <c r="C45" s="67" t="s">
        <v>36</v>
      </c>
      <c r="D45" s="67"/>
      <c r="E45" s="67"/>
      <c r="F45" s="67"/>
      <c r="G45" s="67"/>
      <c r="H45" s="67"/>
      <c r="I45" s="67"/>
      <c r="J45" s="67"/>
      <c r="K45" s="67"/>
      <c r="L45" s="67"/>
      <c r="M45" s="67"/>
      <c r="N45" s="67" t="s">
        <v>32</v>
      </c>
      <c r="O45" s="67"/>
      <c r="P45" s="67"/>
      <c r="Q45" s="67"/>
      <c r="R45" s="67"/>
      <c r="S45" s="67"/>
      <c r="T45" s="66"/>
      <c r="U45" s="66"/>
      <c r="V45" s="66"/>
      <c r="W45" s="66"/>
    </row>
    <row r="46" spans="1:23" x14ac:dyDescent="0.25">
      <c r="A46" s="67"/>
      <c r="B46" s="67"/>
      <c r="C46" s="67" t="s">
        <v>37</v>
      </c>
      <c r="D46" s="67"/>
      <c r="E46" s="67"/>
      <c r="F46" s="67"/>
      <c r="G46" s="67"/>
      <c r="H46" s="67"/>
      <c r="I46" s="67"/>
      <c r="J46" s="67"/>
      <c r="K46" s="67"/>
      <c r="L46" s="67"/>
      <c r="M46" s="67"/>
      <c r="N46" s="67"/>
      <c r="O46" s="67"/>
      <c r="P46" s="67"/>
      <c r="Q46" s="67"/>
      <c r="R46" s="67"/>
      <c r="S46" s="67"/>
      <c r="T46" s="66"/>
      <c r="U46" s="66"/>
      <c r="V46" s="66"/>
      <c r="W46" s="66"/>
    </row>
    <row r="47" spans="1:23" x14ac:dyDescent="0.25">
      <c r="A47" s="67"/>
      <c r="B47" s="67"/>
      <c r="C47" s="67" t="s">
        <v>38</v>
      </c>
      <c r="D47" s="67"/>
      <c r="E47" s="67"/>
      <c r="F47" s="67"/>
      <c r="G47" s="67"/>
      <c r="H47" s="67"/>
      <c r="I47" s="67"/>
      <c r="J47" s="67"/>
      <c r="K47" s="67"/>
      <c r="L47" s="67"/>
      <c r="M47" s="67"/>
      <c r="N47" s="67"/>
      <c r="O47" s="67"/>
      <c r="P47" s="67"/>
      <c r="Q47" s="67"/>
      <c r="R47" s="67"/>
      <c r="S47" s="67"/>
      <c r="T47" s="66"/>
      <c r="U47" s="66"/>
      <c r="V47" s="66"/>
      <c r="W47" s="66"/>
    </row>
    <row r="48" spans="1:23" x14ac:dyDescent="0.25">
      <c r="A48" s="67"/>
      <c r="B48" s="67"/>
      <c r="C48" s="67" t="s">
        <v>39</v>
      </c>
      <c r="D48" s="67"/>
      <c r="E48" s="67"/>
      <c r="F48" s="67"/>
      <c r="G48" s="67"/>
      <c r="H48" s="67"/>
      <c r="I48" s="67"/>
      <c r="J48" s="67"/>
      <c r="K48" s="67"/>
      <c r="L48" s="67"/>
      <c r="M48" s="67"/>
      <c r="N48" s="67"/>
      <c r="O48" s="67"/>
      <c r="P48" s="67"/>
      <c r="Q48" s="67"/>
      <c r="R48" s="67"/>
      <c r="S48" s="67"/>
      <c r="T48" s="66"/>
      <c r="U48" s="66"/>
      <c r="V48" s="66"/>
      <c r="W48" s="66"/>
    </row>
    <row r="49" spans="1:23" x14ac:dyDescent="0.25">
      <c r="A49" s="67"/>
      <c r="B49" s="67"/>
      <c r="C49" s="67" t="s">
        <v>40</v>
      </c>
      <c r="D49" s="67"/>
      <c r="E49" s="67"/>
      <c r="F49" s="67"/>
      <c r="G49" s="67"/>
      <c r="H49" s="67"/>
      <c r="I49" s="67"/>
      <c r="J49" s="67"/>
      <c r="K49" s="67"/>
      <c r="L49" s="67"/>
      <c r="M49" s="67"/>
      <c r="N49" s="67"/>
      <c r="O49" s="67"/>
      <c r="P49" s="67"/>
      <c r="Q49" s="67"/>
      <c r="R49" s="67"/>
      <c r="S49" s="67"/>
      <c r="T49" s="66"/>
      <c r="U49" s="66"/>
      <c r="V49" s="66"/>
      <c r="W49" s="66"/>
    </row>
    <row r="50" spans="1:23" x14ac:dyDescent="0.25">
      <c r="A50" s="67"/>
      <c r="B50" s="67"/>
      <c r="C50" s="67"/>
      <c r="D50" s="67"/>
      <c r="E50" s="67"/>
      <c r="F50" s="67"/>
      <c r="G50" s="67"/>
      <c r="H50" s="67"/>
      <c r="I50" s="67"/>
      <c r="J50" s="67"/>
      <c r="K50" s="67"/>
      <c r="L50" s="67"/>
      <c r="M50" s="67"/>
      <c r="N50" s="67"/>
      <c r="O50" s="67"/>
      <c r="P50" s="67"/>
      <c r="Q50" s="67"/>
      <c r="R50" s="67"/>
      <c r="S50" s="67"/>
      <c r="T50" s="66"/>
      <c r="U50" s="66"/>
      <c r="V50" s="66"/>
      <c r="W50" s="66"/>
    </row>
    <row r="51" spans="1:23" x14ac:dyDescent="0.25">
      <c r="A51" s="76" t="s">
        <v>33</v>
      </c>
      <c r="B51" s="67"/>
      <c r="C51" s="79" t="s">
        <v>42</v>
      </c>
      <c r="D51" s="67"/>
      <c r="E51" s="67"/>
      <c r="F51" s="67"/>
      <c r="G51" s="67"/>
      <c r="H51" s="67"/>
      <c r="I51" s="67"/>
      <c r="J51" s="67"/>
      <c r="K51" s="67"/>
      <c r="L51" s="67"/>
      <c r="M51" s="67"/>
      <c r="N51" s="67" t="s">
        <v>43</v>
      </c>
      <c r="O51" s="67"/>
      <c r="P51" s="67"/>
      <c r="Q51" s="67"/>
      <c r="R51" s="67"/>
      <c r="S51" s="67"/>
      <c r="T51" s="66"/>
      <c r="U51" s="66"/>
      <c r="V51" s="66"/>
      <c r="W51" s="66"/>
    </row>
    <row r="52" spans="1:23" x14ac:dyDescent="0.25">
      <c r="A52" s="67"/>
      <c r="B52" s="67"/>
      <c r="C52" s="67" t="s">
        <v>44</v>
      </c>
      <c r="D52" s="67"/>
      <c r="E52" s="67"/>
      <c r="F52" s="67"/>
      <c r="G52" s="67"/>
      <c r="H52" s="67"/>
      <c r="I52" s="67"/>
      <c r="J52" s="67"/>
      <c r="K52" s="67"/>
      <c r="L52" s="67"/>
      <c r="M52" s="67"/>
      <c r="N52" s="67" t="s">
        <v>45</v>
      </c>
      <c r="O52" s="67"/>
      <c r="P52" s="67"/>
      <c r="Q52" s="67"/>
      <c r="R52" s="67"/>
      <c r="S52" s="67"/>
      <c r="T52" s="66"/>
      <c r="U52" s="66"/>
      <c r="V52" s="66"/>
      <c r="W52" s="66"/>
    </row>
    <row r="53" spans="1:23" x14ac:dyDescent="0.25">
      <c r="A53" s="67"/>
      <c r="B53" s="67"/>
      <c r="C53" s="67"/>
      <c r="D53" s="67"/>
      <c r="E53" s="67"/>
      <c r="F53" s="67"/>
      <c r="G53" s="67"/>
      <c r="H53" s="67"/>
      <c r="I53" s="67"/>
      <c r="J53" s="67"/>
      <c r="K53" s="67"/>
      <c r="L53" s="67"/>
      <c r="M53" s="67"/>
      <c r="N53" s="67"/>
      <c r="O53" s="67"/>
      <c r="P53" s="67"/>
      <c r="Q53" s="67"/>
      <c r="R53" s="67"/>
      <c r="S53" s="67"/>
      <c r="T53" s="66"/>
      <c r="U53" s="66"/>
      <c r="V53" s="66"/>
      <c r="W53" s="66"/>
    </row>
    <row r="54" spans="1:23" x14ac:dyDescent="0.25">
      <c r="A54" s="76" t="s">
        <v>41</v>
      </c>
      <c r="B54" s="67"/>
      <c r="C54" s="67" t="s">
        <v>46</v>
      </c>
      <c r="D54" s="67"/>
      <c r="E54" s="67"/>
      <c r="F54" s="67"/>
      <c r="G54" s="67"/>
      <c r="H54" s="67"/>
      <c r="I54" s="67"/>
      <c r="J54" s="67"/>
      <c r="K54" s="67"/>
      <c r="L54" s="67"/>
      <c r="M54" s="67"/>
      <c r="N54" s="67" t="s">
        <v>47</v>
      </c>
      <c r="O54" s="67"/>
      <c r="P54" s="67"/>
      <c r="Q54" s="67"/>
      <c r="R54" s="67"/>
      <c r="S54" s="67"/>
      <c r="T54" s="66"/>
      <c r="U54" s="66"/>
      <c r="V54" s="66"/>
      <c r="W54" s="66"/>
    </row>
    <row r="55" spans="1:23" x14ac:dyDescent="0.25">
      <c r="A55" s="67"/>
      <c r="B55" s="67"/>
      <c r="C55" s="67"/>
      <c r="D55" s="67"/>
      <c r="E55" s="67"/>
      <c r="F55" s="67"/>
      <c r="G55" s="67"/>
      <c r="H55" s="67"/>
      <c r="I55" s="67"/>
      <c r="J55" s="67"/>
      <c r="K55" s="67"/>
      <c r="L55" s="67"/>
      <c r="M55" s="67"/>
      <c r="N55" s="67"/>
      <c r="O55" s="67"/>
      <c r="P55" s="67"/>
      <c r="Q55" s="67"/>
      <c r="R55" s="67"/>
      <c r="S55" s="67"/>
      <c r="T55" s="66"/>
      <c r="U55" s="66"/>
      <c r="V55" s="66"/>
      <c r="W55" s="6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J58"/>
  <sheetViews>
    <sheetView workbookViewId="0">
      <selection activeCell="B58" sqref="B58"/>
    </sheetView>
  </sheetViews>
  <sheetFormatPr defaultRowHeight="15" x14ac:dyDescent="0.25"/>
  <cols>
    <col min="1" max="1" width="24.85546875" customWidth="1"/>
    <col min="2" max="2" width="12.7109375" bestFit="1" customWidth="1"/>
    <col min="3" max="3" width="11.7109375" bestFit="1" customWidth="1"/>
    <col min="4" max="4" width="10.5703125" customWidth="1"/>
    <col min="5" max="5" width="14" customWidth="1"/>
    <col min="6" max="6" width="9.85546875" customWidth="1"/>
    <col min="7" max="7" width="16.7109375" bestFit="1" customWidth="1"/>
    <col min="8" max="8" width="14" customWidth="1"/>
    <col min="9" max="9" width="12.7109375" bestFit="1" customWidth="1"/>
  </cols>
  <sheetData>
    <row r="2" spans="1:10" x14ac:dyDescent="0.25">
      <c r="A2" s="15" t="s">
        <v>48</v>
      </c>
    </row>
    <row r="3" spans="1:10" ht="33.75" customHeight="1" x14ac:dyDescent="0.25">
      <c r="A3" s="81" t="s">
        <v>49</v>
      </c>
      <c r="B3" s="81"/>
      <c r="C3" s="81"/>
      <c r="D3" s="81"/>
      <c r="E3" s="81"/>
      <c r="F3" s="81"/>
      <c r="G3" s="81"/>
      <c r="H3" s="81"/>
      <c r="I3" s="81"/>
      <c r="J3" s="81"/>
    </row>
    <row r="5" spans="1:10" x14ac:dyDescent="0.25">
      <c r="A5" s="17" t="s">
        <v>50</v>
      </c>
    </row>
    <row r="6" spans="1:10" x14ac:dyDescent="0.25">
      <c r="A6" s="15" t="s">
        <v>51</v>
      </c>
    </row>
    <row r="7" spans="1:10" x14ac:dyDescent="0.25">
      <c r="A7" s="1" t="s">
        <v>52</v>
      </c>
      <c r="B7" s="2" t="s">
        <v>53</v>
      </c>
      <c r="C7" s="36" t="s">
        <v>54</v>
      </c>
      <c r="D7" s="36" t="s">
        <v>54</v>
      </c>
      <c r="E7" s="36" t="s">
        <v>54</v>
      </c>
      <c r="F7" s="36" t="s">
        <v>54</v>
      </c>
      <c r="G7" s="3" t="s">
        <v>55</v>
      </c>
      <c r="H7" s="3" t="s">
        <v>56</v>
      </c>
      <c r="I7" s="10" t="s">
        <v>57</v>
      </c>
    </row>
    <row r="8" spans="1:10" x14ac:dyDescent="0.25">
      <c r="A8" s="2"/>
      <c r="B8" s="4"/>
      <c r="C8" s="26">
        <f>B8*0</f>
        <v>0</v>
      </c>
      <c r="D8" s="26">
        <f>B8*0</f>
        <v>0</v>
      </c>
      <c r="E8" s="4">
        <f>B8*0</f>
        <v>0</v>
      </c>
      <c r="F8" s="4">
        <f>B8*0</f>
        <v>0</v>
      </c>
      <c r="G8" s="4">
        <f>SUM(B8:F8)</f>
        <v>0</v>
      </c>
      <c r="H8" s="5"/>
      <c r="I8" s="12">
        <f>G8*H8</f>
        <v>0</v>
      </c>
    </row>
    <row r="9" spans="1:10" x14ac:dyDescent="0.25">
      <c r="A9" s="2"/>
      <c r="B9" s="6"/>
      <c r="C9" s="26">
        <f t="shared" ref="C9:C14" si="0">B9*0</f>
        <v>0</v>
      </c>
      <c r="D9" s="26">
        <f t="shared" ref="D9:D14" si="1">B9*0</f>
        <v>0</v>
      </c>
      <c r="E9" s="4">
        <f t="shared" ref="E9:E14" si="2">B9*0</f>
        <v>0</v>
      </c>
      <c r="F9" s="4">
        <f t="shared" ref="F9:F14" si="3">B9*0</f>
        <v>0</v>
      </c>
      <c r="G9" s="4">
        <f t="shared" ref="G9:G15" si="4">SUM(B9:F9)</f>
        <v>0</v>
      </c>
      <c r="H9" s="5"/>
      <c r="I9" s="12">
        <f t="shared" ref="I9:I14" si="5">G9*H9</f>
        <v>0</v>
      </c>
    </row>
    <row r="10" spans="1:10" x14ac:dyDescent="0.25">
      <c r="A10" s="2"/>
      <c r="B10" s="6"/>
      <c r="C10" s="26">
        <f t="shared" si="0"/>
        <v>0</v>
      </c>
      <c r="D10" s="26">
        <f t="shared" si="1"/>
        <v>0</v>
      </c>
      <c r="E10" s="4">
        <f t="shared" si="2"/>
        <v>0</v>
      </c>
      <c r="F10" s="4">
        <f t="shared" si="3"/>
        <v>0</v>
      </c>
      <c r="G10" s="4">
        <f t="shared" si="4"/>
        <v>0</v>
      </c>
      <c r="H10" s="5"/>
      <c r="I10" s="12">
        <f t="shared" si="5"/>
        <v>0</v>
      </c>
    </row>
    <row r="11" spans="1:10" x14ac:dyDescent="0.25">
      <c r="A11" s="2"/>
      <c r="B11" s="6"/>
      <c r="C11" s="26">
        <f t="shared" si="0"/>
        <v>0</v>
      </c>
      <c r="D11" s="26">
        <f t="shared" si="1"/>
        <v>0</v>
      </c>
      <c r="E11" s="4">
        <f t="shared" si="2"/>
        <v>0</v>
      </c>
      <c r="F11" s="4">
        <f t="shared" si="3"/>
        <v>0</v>
      </c>
      <c r="G11" s="4">
        <f t="shared" si="4"/>
        <v>0</v>
      </c>
      <c r="H11" s="5"/>
      <c r="I11" s="12">
        <f t="shared" si="5"/>
        <v>0</v>
      </c>
    </row>
    <row r="12" spans="1:10" x14ac:dyDescent="0.25">
      <c r="A12" s="2"/>
      <c r="B12" s="6"/>
      <c r="C12" s="26">
        <f t="shared" si="0"/>
        <v>0</v>
      </c>
      <c r="D12" s="26">
        <f t="shared" si="1"/>
        <v>0</v>
      </c>
      <c r="E12" s="4">
        <f t="shared" si="2"/>
        <v>0</v>
      </c>
      <c r="F12" s="4">
        <f t="shared" si="3"/>
        <v>0</v>
      </c>
      <c r="G12" s="4">
        <f t="shared" si="4"/>
        <v>0</v>
      </c>
      <c r="H12" s="5"/>
      <c r="I12" s="12">
        <f t="shared" si="5"/>
        <v>0</v>
      </c>
    </row>
    <row r="13" spans="1:10" x14ac:dyDescent="0.25">
      <c r="A13" s="2"/>
      <c r="B13" s="6"/>
      <c r="C13" s="26">
        <f t="shared" si="0"/>
        <v>0</v>
      </c>
      <c r="D13" s="26">
        <f t="shared" si="1"/>
        <v>0</v>
      </c>
      <c r="E13" s="4">
        <f t="shared" si="2"/>
        <v>0</v>
      </c>
      <c r="F13" s="4">
        <f t="shared" si="3"/>
        <v>0</v>
      </c>
      <c r="G13" s="4">
        <f t="shared" si="4"/>
        <v>0</v>
      </c>
      <c r="H13" s="5"/>
      <c r="I13" s="12">
        <f t="shared" si="5"/>
        <v>0</v>
      </c>
    </row>
    <row r="14" spans="1:10" ht="16.5" x14ac:dyDescent="0.35">
      <c r="A14" s="2"/>
      <c r="B14" s="6"/>
      <c r="C14" s="26">
        <f t="shared" si="0"/>
        <v>0</v>
      </c>
      <c r="D14" s="26">
        <f t="shared" si="1"/>
        <v>0</v>
      </c>
      <c r="E14" s="4">
        <f t="shared" si="2"/>
        <v>0</v>
      </c>
      <c r="F14" s="4">
        <f t="shared" si="3"/>
        <v>0</v>
      </c>
      <c r="G14" s="4">
        <f t="shared" si="4"/>
        <v>0</v>
      </c>
      <c r="H14" s="7"/>
      <c r="I14" s="12">
        <f t="shared" si="5"/>
        <v>0</v>
      </c>
    </row>
    <row r="15" spans="1:10" ht="16.5" x14ac:dyDescent="0.35">
      <c r="A15" s="2" t="s">
        <v>58</v>
      </c>
      <c r="B15" s="2"/>
      <c r="C15" s="2"/>
      <c r="D15" s="2"/>
      <c r="E15" s="2"/>
      <c r="F15" s="2"/>
      <c r="G15" s="4">
        <f t="shared" si="4"/>
        <v>0</v>
      </c>
      <c r="H15" s="8">
        <f>SUM(H8:H14)</f>
        <v>0</v>
      </c>
      <c r="I15" s="12">
        <f>SUM(I8:I14)</f>
        <v>0</v>
      </c>
    </row>
    <row r="16" spans="1:10" x14ac:dyDescent="0.25">
      <c r="A16" s="25"/>
      <c r="I16" s="13"/>
    </row>
    <row r="17" spans="1:9" x14ac:dyDescent="0.25">
      <c r="A17" s="47" t="s">
        <v>59</v>
      </c>
      <c r="I17" s="13"/>
    </row>
    <row r="18" spans="1:9" x14ac:dyDescent="0.25">
      <c r="A18" s="48" t="s">
        <v>60</v>
      </c>
      <c r="I18" s="13"/>
    </row>
    <row r="19" spans="1:9" x14ac:dyDescent="0.25">
      <c r="A19" s="37" t="s">
        <v>52</v>
      </c>
      <c r="B19" s="38" t="s">
        <v>53</v>
      </c>
      <c r="C19" s="36" t="s">
        <v>54</v>
      </c>
      <c r="D19" s="36" t="s">
        <v>54</v>
      </c>
      <c r="E19" s="36" t="s">
        <v>54</v>
      </c>
      <c r="F19" s="36" t="s">
        <v>54</v>
      </c>
      <c r="G19" s="39" t="s">
        <v>55</v>
      </c>
      <c r="H19" s="39" t="s">
        <v>56</v>
      </c>
      <c r="I19" s="40" t="s">
        <v>57</v>
      </c>
    </row>
    <row r="20" spans="1:9" x14ac:dyDescent="0.25">
      <c r="A20" s="2"/>
      <c r="B20" s="11"/>
      <c r="C20" s="26">
        <f t="shared" ref="C20:C26" si="6">B20*0</f>
        <v>0</v>
      </c>
      <c r="D20" s="26">
        <f t="shared" ref="D20:D25" si="7">B20*0</f>
        <v>0</v>
      </c>
      <c r="E20" s="4">
        <f t="shared" ref="E20:E25" si="8">B20*0</f>
        <v>0</v>
      </c>
      <c r="F20" s="4">
        <f t="shared" ref="F20:F25" si="9">B20*0</f>
        <v>0</v>
      </c>
      <c r="G20" s="4">
        <f>SUM(B20:F20)</f>
        <v>0</v>
      </c>
      <c r="H20" s="5"/>
      <c r="I20" s="12">
        <f>G20*H20</f>
        <v>0</v>
      </c>
    </row>
    <row r="21" spans="1:9" x14ac:dyDescent="0.25">
      <c r="A21" s="2"/>
      <c r="B21" s="11"/>
      <c r="C21" s="26">
        <f t="shared" si="6"/>
        <v>0</v>
      </c>
      <c r="D21" s="26">
        <f t="shared" si="7"/>
        <v>0</v>
      </c>
      <c r="E21" s="4">
        <f t="shared" si="8"/>
        <v>0</v>
      </c>
      <c r="F21" s="4">
        <f t="shared" si="9"/>
        <v>0</v>
      </c>
      <c r="G21" s="4">
        <f>SUM(B21:F21)</f>
        <v>0</v>
      </c>
      <c r="H21" s="5"/>
      <c r="I21" s="12">
        <f t="shared" ref="I21:I26" si="10">G21*H21</f>
        <v>0</v>
      </c>
    </row>
    <row r="22" spans="1:9" x14ac:dyDescent="0.25">
      <c r="A22" s="2"/>
      <c r="B22" s="11"/>
      <c r="C22" s="26">
        <f t="shared" si="6"/>
        <v>0</v>
      </c>
      <c r="D22" s="26">
        <f t="shared" si="7"/>
        <v>0</v>
      </c>
      <c r="E22" s="4">
        <f t="shared" si="8"/>
        <v>0</v>
      </c>
      <c r="F22" s="4">
        <f t="shared" si="9"/>
        <v>0</v>
      </c>
      <c r="G22" s="4">
        <f>SUM(B22:F22)</f>
        <v>0</v>
      </c>
      <c r="H22" s="5"/>
      <c r="I22" s="12">
        <f t="shared" si="10"/>
        <v>0</v>
      </c>
    </row>
    <row r="23" spans="1:9" x14ac:dyDescent="0.25">
      <c r="A23" s="2"/>
      <c r="B23" s="11"/>
      <c r="C23" s="26">
        <f t="shared" si="6"/>
        <v>0</v>
      </c>
      <c r="D23" s="26">
        <f t="shared" si="7"/>
        <v>0</v>
      </c>
      <c r="E23" s="4">
        <f t="shared" si="8"/>
        <v>0</v>
      </c>
      <c r="F23" s="4">
        <f t="shared" si="9"/>
        <v>0</v>
      </c>
      <c r="G23" s="4">
        <f t="shared" ref="G23:G26" si="11">SUM(B23:F23)</f>
        <v>0</v>
      </c>
      <c r="H23" s="5"/>
      <c r="I23" s="12">
        <f t="shared" si="10"/>
        <v>0</v>
      </c>
    </row>
    <row r="24" spans="1:9" x14ac:dyDescent="0.25">
      <c r="A24" s="2"/>
      <c r="B24" s="11"/>
      <c r="C24" s="26">
        <f t="shared" si="6"/>
        <v>0</v>
      </c>
      <c r="D24" s="26">
        <f t="shared" si="7"/>
        <v>0</v>
      </c>
      <c r="E24" s="4">
        <f t="shared" si="8"/>
        <v>0</v>
      </c>
      <c r="F24" s="4">
        <f t="shared" si="9"/>
        <v>0</v>
      </c>
      <c r="G24" s="4">
        <f t="shared" si="11"/>
        <v>0</v>
      </c>
      <c r="H24" s="5"/>
      <c r="I24" s="12">
        <f t="shared" si="10"/>
        <v>0</v>
      </c>
    </row>
    <row r="25" spans="1:9" x14ac:dyDescent="0.25">
      <c r="A25" s="2"/>
      <c r="B25" s="11"/>
      <c r="C25" s="26">
        <f t="shared" si="6"/>
        <v>0</v>
      </c>
      <c r="D25" s="26">
        <f t="shared" si="7"/>
        <v>0</v>
      </c>
      <c r="E25" s="4">
        <f t="shared" si="8"/>
        <v>0</v>
      </c>
      <c r="F25" s="4">
        <f t="shared" si="9"/>
        <v>0</v>
      </c>
      <c r="G25" s="4">
        <f t="shared" si="11"/>
        <v>0</v>
      </c>
      <c r="H25" s="5"/>
      <c r="I25" s="12">
        <f t="shared" si="10"/>
        <v>0</v>
      </c>
    </row>
    <row r="26" spans="1:9" ht="16.5" x14ac:dyDescent="0.35">
      <c r="A26" s="2"/>
      <c r="B26" s="11"/>
      <c r="C26" s="26">
        <f t="shared" si="6"/>
        <v>0</v>
      </c>
      <c r="D26" s="26">
        <f t="shared" ref="D26" si="12">B26*0</f>
        <v>0</v>
      </c>
      <c r="E26" s="4">
        <f t="shared" ref="E26" si="13">B26*0</f>
        <v>0</v>
      </c>
      <c r="F26" s="4">
        <f t="shared" ref="F26" si="14">B26*0</f>
        <v>0</v>
      </c>
      <c r="G26" s="4">
        <f t="shared" si="11"/>
        <v>0</v>
      </c>
      <c r="H26" s="7"/>
      <c r="I26" s="12">
        <f t="shared" si="10"/>
        <v>0</v>
      </c>
    </row>
    <row r="27" spans="1:9" ht="16.5" x14ac:dyDescent="0.35">
      <c r="A27" s="2" t="s">
        <v>58</v>
      </c>
      <c r="B27" s="2"/>
      <c r="C27" s="2"/>
      <c r="D27" s="2"/>
      <c r="E27" s="2"/>
      <c r="F27" s="2"/>
      <c r="G27" s="4">
        <f t="shared" ref="G27" si="15">SUM(B27:F27)</f>
        <v>0</v>
      </c>
      <c r="H27" s="8">
        <f>SUM(H20:H26)</f>
        <v>0</v>
      </c>
      <c r="I27" s="12">
        <f>SUM(I20:I26)</f>
        <v>0</v>
      </c>
    </row>
    <row r="28" spans="1:9" ht="16.5" x14ac:dyDescent="0.35">
      <c r="A28" s="27"/>
      <c r="B28" s="27"/>
      <c r="C28" s="27"/>
      <c r="D28" s="27"/>
      <c r="E28" s="27"/>
      <c r="F28" s="27"/>
      <c r="G28" s="28"/>
      <c r="H28" s="29"/>
      <c r="I28" s="30"/>
    </row>
    <row r="29" spans="1:9" ht="16.5" x14ac:dyDescent="0.35">
      <c r="A29" s="27"/>
      <c r="B29" s="27"/>
      <c r="C29" s="27"/>
      <c r="D29" s="27"/>
      <c r="E29" s="27"/>
      <c r="F29" s="27"/>
      <c r="G29" s="28"/>
      <c r="H29" s="29"/>
      <c r="I29" s="30"/>
    </row>
    <row r="30" spans="1:9" ht="16.5" x14ac:dyDescent="0.35">
      <c r="A30" s="31" t="s">
        <v>61</v>
      </c>
      <c r="B30" s="27"/>
      <c r="C30" s="27"/>
      <c r="D30" s="27"/>
      <c r="E30" s="27"/>
      <c r="F30" s="27"/>
      <c r="G30" s="28"/>
      <c r="H30" s="29"/>
      <c r="I30" s="30"/>
    </row>
    <row r="31" spans="1:9" ht="16.5" x14ac:dyDescent="0.35">
      <c r="A31" s="32" t="s">
        <v>62</v>
      </c>
      <c r="B31" s="27"/>
      <c r="C31" s="27"/>
      <c r="D31" s="27"/>
      <c r="E31" s="27"/>
      <c r="F31" s="27"/>
      <c r="G31" s="28"/>
      <c r="H31" s="29"/>
      <c r="I31" s="30"/>
    </row>
    <row r="33" spans="1:8" x14ac:dyDescent="0.25">
      <c r="A33" s="16" t="s">
        <v>63</v>
      </c>
    </row>
    <row r="34" spans="1:8" ht="45" x14ac:dyDescent="0.25">
      <c r="A34" s="22" t="s">
        <v>64</v>
      </c>
      <c r="B34" s="18" t="s">
        <v>65</v>
      </c>
      <c r="C34" s="18" t="s">
        <v>66</v>
      </c>
      <c r="D34" s="19" t="s">
        <v>67</v>
      </c>
      <c r="E34" s="18" t="s">
        <v>54</v>
      </c>
      <c r="F34" s="18" t="s">
        <v>54</v>
      </c>
      <c r="G34" s="18" t="s">
        <v>68</v>
      </c>
      <c r="H34" s="49" t="s">
        <v>57</v>
      </c>
    </row>
    <row r="35" spans="1:8" x14ac:dyDescent="0.25">
      <c r="A35" s="20"/>
      <c r="B35" s="21"/>
      <c r="C35" s="9"/>
      <c r="D35" s="9"/>
      <c r="E35" s="21"/>
      <c r="F35" s="9"/>
      <c r="G35" s="21">
        <f>D35+E35+F35</f>
        <v>0</v>
      </c>
      <c r="H35" s="21">
        <f>C35*G35</f>
        <v>0</v>
      </c>
    </row>
    <row r="36" spans="1:8" x14ac:dyDescent="0.25">
      <c r="A36" s="20"/>
      <c r="B36" s="21"/>
      <c r="C36" s="9"/>
      <c r="D36" s="9"/>
      <c r="E36" s="21"/>
      <c r="F36" s="9"/>
      <c r="G36" s="21">
        <f>D36+E36+F36</f>
        <v>0</v>
      </c>
      <c r="H36" s="21">
        <f>C36*G36</f>
        <v>0</v>
      </c>
    </row>
    <row r="37" spans="1:8" x14ac:dyDescent="0.25">
      <c r="G37" s="15" t="s">
        <v>24</v>
      </c>
      <c r="H37" s="50">
        <f>SUM(H35:H36)</f>
        <v>0</v>
      </c>
    </row>
    <row r="38" spans="1:8" x14ac:dyDescent="0.25">
      <c r="A38" s="17" t="s">
        <v>69</v>
      </c>
      <c r="B38" s="14"/>
      <c r="C38" s="15"/>
      <c r="D38" s="15"/>
      <c r="E38" s="15"/>
    </row>
    <row r="39" spans="1:8" ht="45" x14ac:dyDescent="0.25">
      <c r="A39" s="22" t="s">
        <v>64</v>
      </c>
      <c r="B39" s="18" t="s">
        <v>65</v>
      </c>
      <c r="C39" s="18" t="s">
        <v>66</v>
      </c>
      <c r="D39" s="19" t="s">
        <v>67</v>
      </c>
      <c r="E39" s="18" t="s">
        <v>54</v>
      </c>
      <c r="F39" s="18" t="s">
        <v>54</v>
      </c>
      <c r="G39" s="18" t="s">
        <v>68</v>
      </c>
      <c r="H39" s="49" t="s">
        <v>57</v>
      </c>
    </row>
    <row r="40" spans="1:8" x14ac:dyDescent="0.25">
      <c r="A40" s="20"/>
      <c r="B40" s="21"/>
      <c r="C40" s="9"/>
      <c r="D40" s="9"/>
      <c r="E40" s="21"/>
      <c r="F40" s="9"/>
      <c r="G40" s="21">
        <f>D40+E40+F40</f>
        <v>0</v>
      </c>
      <c r="H40" s="21">
        <f>C40*G40</f>
        <v>0</v>
      </c>
    </row>
    <row r="41" spans="1:8" x14ac:dyDescent="0.25">
      <c r="A41" s="20"/>
      <c r="B41" s="21"/>
      <c r="C41" s="9"/>
      <c r="D41" s="9"/>
      <c r="E41" s="21"/>
      <c r="F41" s="9"/>
      <c r="G41" s="21">
        <f>D41+E41+F41</f>
        <v>0</v>
      </c>
      <c r="H41" s="21">
        <f>C41*G41</f>
        <v>0</v>
      </c>
    </row>
    <row r="42" spans="1:8" x14ac:dyDescent="0.25">
      <c r="A42" s="33"/>
      <c r="B42" s="34"/>
      <c r="C42" s="35"/>
      <c r="D42" s="35"/>
      <c r="E42" s="34"/>
      <c r="G42" s="15" t="s">
        <v>24</v>
      </c>
      <c r="H42" s="50">
        <f>SUM(H40:H41)</f>
        <v>0</v>
      </c>
    </row>
    <row r="43" spans="1:8" x14ac:dyDescent="0.25">
      <c r="A43" s="31" t="s">
        <v>70</v>
      </c>
    </row>
    <row r="44" spans="1:8" x14ac:dyDescent="0.25">
      <c r="A44" s="32" t="s">
        <v>71</v>
      </c>
    </row>
    <row r="45" spans="1:8" x14ac:dyDescent="0.25">
      <c r="A45" s="32"/>
    </row>
    <row r="46" spans="1:8" x14ac:dyDescent="0.25">
      <c r="A46" s="17" t="s">
        <v>72</v>
      </c>
    </row>
    <row r="47" spans="1:8" ht="30" x14ac:dyDescent="0.25">
      <c r="A47" s="18" t="s">
        <v>73</v>
      </c>
      <c r="B47" s="19" t="s">
        <v>74</v>
      </c>
      <c r="C47" s="18" t="s">
        <v>54</v>
      </c>
      <c r="D47" s="18" t="s">
        <v>54</v>
      </c>
      <c r="E47" s="18" t="s">
        <v>57</v>
      </c>
    </row>
    <row r="48" spans="1:8" x14ac:dyDescent="0.25">
      <c r="A48" s="9"/>
      <c r="B48" s="23"/>
      <c r="C48" s="9"/>
      <c r="D48" s="9"/>
      <c r="E48" s="23">
        <f>B48+C48+D48</f>
        <v>0</v>
      </c>
    </row>
    <row r="49" spans="1:5" x14ac:dyDescent="0.25">
      <c r="A49" s="24"/>
    </row>
    <row r="51" spans="1:5" x14ac:dyDescent="0.25">
      <c r="A51" s="17" t="s">
        <v>69</v>
      </c>
    </row>
    <row r="52" spans="1:5" ht="30" x14ac:dyDescent="0.25">
      <c r="A52" s="18" t="s">
        <v>73</v>
      </c>
      <c r="B52" s="19" t="s">
        <v>74</v>
      </c>
      <c r="C52" s="18" t="s">
        <v>54</v>
      </c>
      <c r="D52" s="18" t="s">
        <v>54</v>
      </c>
      <c r="E52" s="18" t="s">
        <v>57</v>
      </c>
    </row>
    <row r="53" spans="1:5" x14ac:dyDescent="0.25">
      <c r="A53" s="9"/>
      <c r="B53" s="12"/>
      <c r="C53" s="9"/>
      <c r="D53" s="9">
        <v>0</v>
      </c>
      <c r="E53" s="12">
        <f>B53+C53+D53</f>
        <v>0</v>
      </c>
    </row>
    <row r="56" spans="1:5" x14ac:dyDescent="0.25">
      <c r="A56" s="15" t="s">
        <v>75</v>
      </c>
      <c r="B56" s="13">
        <f>E48+H37+I15</f>
        <v>0</v>
      </c>
    </row>
    <row r="57" spans="1:5" x14ac:dyDescent="0.25">
      <c r="A57" s="15" t="s">
        <v>76</v>
      </c>
      <c r="B57" s="13">
        <f>E53+H42+I27</f>
        <v>0</v>
      </c>
    </row>
    <row r="58" spans="1:5" x14ac:dyDescent="0.25">
      <c r="A58" s="15" t="s">
        <v>77</v>
      </c>
      <c r="B58" s="13">
        <f>B56+B57</f>
        <v>0</v>
      </c>
    </row>
  </sheetData>
  <mergeCells count="1">
    <mergeCell ref="A3:J3"/>
  </mergeCells>
  <pageMargins left="0.7" right="0.7" top="0.75" bottom="0.75" header="0.3" footer="0.3"/>
  <pageSetup orientation="portrait" horizontalDpi="4294967294" verticalDpi="4294967294"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28"/>
  <sheetViews>
    <sheetView workbookViewId="0">
      <selection activeCell="I24" sqref="I24"/>
    </sheetView>
  </sheetViews>
  <sheetFormatPr defaultRowHeight="15" x14ac:dyDescent="0.25"/>
  <cols>
    <col min="1" max="1" width="16.7109375" customWidth="1"/>
    <col min="2" max="2" width="20.7109375" customWidth="1"/>
    <col min="4" max="4" width="20.85546875" customWidth="1"/>
  </cols>
  <sheetData>
    <row r="1" spans="1:19" x14ac:dyDescent="0.25">
      <c r="A1" s="15" t="s">
        <v>78</v>
      </c>
    </row>
    <row r="2" spans="1:19" x14ac:dyDescent="0.25">
      <c r="A2" t="s">
        <v>79</v>
      </c>
    </row>
    <row r="4" spans="1:19" x14ac:dyDescent="0.25">
      <c r="A4" s="15" t="s">
        <v>80</v>
      </c>
    </row>
    <row r="5" spans="1:19" ht="30" x14ac:dyDescent="0.25">
      <c r="A5" s="22" t="s">
        <v>64</v>
      </c>
      <c r="B5" s="18" t="s">
        <v>65</v>
      </c>
      <c r="C5" s="18" t="s">
        <v>66</v>
      </c>
      <c r="D5" s="19" t="s">
        <v>81</v>
      </c>
      <c r="E5" s="9" t="s">
        <v>82</v>
      </c>
    </row>
    <row r="6" spans="1:19" x14ac:dyDescent="0.25">
      <c r="A6" s="20"/>
      <c r="B6" s="21"/>
      <c r="C6" s="9"/>
      <c r="D6" s="9"/>
      <c r="E6" s="62" t="s">
        <v>83</v>
      </c>
    </row>
    <row r="7" spans="1:19" x14ac:dyDescent="0.25">
      <c r="A7" s="20"/>
      <c r="B7" s="21"/>
      <c r="C7" s="9"/>
      <c r="D7" s="9"/>
      <c r="E7" s="62" t="s">
        <v>84</v>
      </c>
    </row>
    <row r="8" spans="1:19" x14ac:dyDescent="0.25">
      <c r="A8" s="9"/>
      <c r="B8" s="9"/>
      <c r="C8" s="9"/>
      <c r="D8" s="9"/>
      <c r="E8" s="62" t="s">
        <v>85</v>
      </c>
    </row>
    <row r="9" spans="1:19" x14ac:dyDescent="0.25">
      <c r="A9" s="35"/>
      <c r="B9" s="35"/>
      <c r="C9" s="35"/>
      <c r="D9" s="35"/>
      <c r="E9" s="63"/>
    </row>
    <row r="10" spans="1:19" x14ac:dyDescent="0.25">
      <c r="A10" s="64" t="s">
        <v>86</v>
      </c>
      <c r="B10" s="35"/>
      <c r="C10" s="35"/>
      <c r="D10" s="35"/>
      <c r="E10" s="63"/>
    </row>
    <row r="11" spans="1:19" ht="30" x14ac:dyDescent="0.25">
      <c r="A11" s="22" t="s">
        <v>64</v>
      </c>
      <c r="B11" s="18" t="s">
        <v>65</v>
      </c>
      <c r="C11" s="18" t="s">
        <v>66</v>
      </c>
      <c r="D11" s="19" t="s">
        <v>81</v>
      </c>
      <c r="E11" s="9" t="s">
        <v>82</v>
      </c>
    </row>
    <row r="12" spans="1:19" x14ac:dyDescent="0.25">
      <c r="A12" s="20"/>
      <c r="B12" s="21"/>
      <c r="C12" s="9"/>
      <c r="D12" s="9"/>
      <c r="E12" s="62" t="s">
        <v>83</v>
      </c>
    </row>
    <row r="13" spans="1:19" x14ac:dyDescent="0.25">
      <c r="A13" s="20"/>
      <c r="B13" s="21"/>
      <c r="C13" s="9"/>
      <c r="D13" s="9"/>
      <c r="E13" s="62" t="s">
        <v>84</v>
      </c>
    </row>
    <row r="14" spans="1:19" x14ac:dyDescent="0.25">
      <c r="A14" s="9"/>
      <c r="B14" s="9"/>
      <c r="C14" s="9"/>
      <c r="D14" s="9"/>
      <c r="E14" s="62" t="s">
        <v>85</v>
      </c>
    </row>
    <row r="16" spans="1:19" ht="15.75" x14ac:dyDescent="0.25">
      <c r="A16" s="68" t="s">
        <v>87</v>
      </c>
      <c r="B16" s="67"/>
      <c r="C16" s="67"/>
      <c r="D16" s="67"/>
      <c r="E16" s="67"/>
      <c r="F16" s="67"/>
      <c r="G16" s="67"/>
      <c r="H16" s="67"/>
      <c r="I16" s="67"/>
      <c r="J16" s="67"/>
      <c r="K16" s="67"/>
      <c r="L16" s="67"/>
      <c r="M16" s="67" t="s">
        <v>88</v>
      </c>
      <c r="N16" s="67"/>
      <c r="O16" s="67"/>
      <c r="P16" s="67"/>
      <c r="Q16" s="51"/>
      <c r="R16" s="51"/>
      <c r="S16" s="51"/>
    </row>
    <row r="17" spans="1:19" ht="15.75" x14ac:dyDescent="0.25">
      <c r="A17" s="67"/>
      <c r="B17" s="67"/>
      <c r="C17" s="67"/>
      <c r="D17" s="67"/>
      <c r="E17" s="67"/>
      <c r="F17" s="67"/>
      <c r="G17" s="67"/>
      <c r="H17" s="67"/>
      <c r="I17" s="67"/>
      <c r="J17" s="67"/>
      <c r="K17" s="67"/>
      <c r="L17" s="67"/>
      <c r="M17" s="67"/>
      <c r="N17" s="67"/>
      <c r="O17" s="67"/>
      <c r="P17" s="67"/>
      <c r="Q17" s="51"/>
      <c r="R17" s="51"/>
      <c r="S17" s="51"/>
    </row>
    <row r="18" spans="1:19" ht="15.75" x14ac:dyDescent="0.25">
      <c r="A18" s="76" t="s">
        <v>83</v>
      </c>
      <c r="B18" s="67" t="s">
        <v>89</v>
      </c>
      <c r="C18" s="67"/>
      <c r="D18" s="67"/>
      <c r="E18" s="67"/>
      <c r="F18" s="67"/>
      <c r="G18" s="67"/>
      <c r="H18" s="67"/>
      <c r="I18" s="67"/>
      <c r="J18" s="67"/>
      <c r="K18" s="67"/>
      <c r="L18" s="67"/>
      <c r="M18" s="67"/>
      <c r="N18" s="67"/>
      <c r="O18" s="67"/>
      <c r="P18" s="67"/>
      <c r="Q18" s="51"/>
      <c r="R18" s="51"/>
      <c r="S18" s="51"/>
    </row>
    <row r="19" spans="1:19" ht="15.75" x14ac:dyDescent="0.25">
      <c r="A19" s="67"/>
      <c r="B19" s="67" t="s">
        <v>90</v>
      </c>
      <c r="C19" s="67"/>
      <c r="D19" s="67"/>
      <c r="E19" s="67"/>
      <c r="F19" s="67"/>
      <c r="G19" s="67"/>
      <c r="H19" s="67"/>
      <c r="I19" s="67"/>
      <c r="J19" s="67"/>
      <c r="K19" s="67"/>
      <c r="L19" s="67"/>
      <c r="M19" s="67"/>
      <c r="N19" s="67"/>
      <c r="O19" s="67"/>
      <c r="P19" s="67"/>
      <c r="Q19" s="51"/>
      <c r="R19" s="51"/>
      <c r="S19" s="51"/>
    </row>
    <row r="20" spans="1:19" ht="15.75" x14ac:dyDescent="0.25">
      <c r="A20" s="67"/>
      <c r="B20" s="67" t="s">
        <v>91</v>
      </c>
      <c r="C20" s="67"/>
      <c r="D20" s="67"/>
      <c r="E20" s="67"/>
      <c r="F20" s="67"/>
      <c r="G20" s="67"/>
      <c r="H20" s="67"/>
      <c r="I20" s="67"/>
      <c r="J20" s="67"/>
      <c r="K20" s="67"/>
      <c r="L20" s="67"/>
      <c r="M20" s="67"/>
      <c r="N20" s="67"/>
      <c r="O20" s="67"/>
      <c r="P20" s="67"/>
      <c r="Q20" s="51"/>
      <c r="R20" s="51"/>
      <c r="S20" s="51"/>
    </row>
    <row r="21" spans="1:19" ht="15.75" x14ac:dyDescent="0.25">
      <c r="A21" s="67"/>
      <c r="B21" s="67"/>
      <c r="C21" s="67"/>
      <c r="D21" s="67"/>
      <c r="E21" s="67"/>
      <c r="F21" s="67"/>
      <c r="G21" s="67"/>
      <c r="H21" s="67"/>
      <c r="I21" s="67"/>
      <c r="J21" s="67"/>
      <c r="K21" s="67"/>
      <c r="L21" s="67"/>
      <c r="M21" s="67"/>
      <c r="N21" s="67"/>
      <c r="O21" s="67"/>
      <c r="P21" s="67"/>
      <c r="Q21" s="51"/>
      <c r="R21" s="51"/>
      <c r="S21" s="51"/>
    </row>
    <row r="22" spans="1:19" ht="15.75" x14ac:dyDescent="0.25">
      <c r="A22" s="67"/>
      <c r="B22" s="67"/>
      <c r="C22" s="67"/>
      <c r="D22" s="67"/>
      <c r="E22" s="67"/>
      <c r="F22" s="67"/>
      <c r="G22" s="67"/>
      <c r="H22" s="67"/>
      <c r="I22" s="67"/>
      <c r="J22" s="67"/>
      <c r="K22" s="67"/>
      <c r="L22" s="67"/>
      <c r="M22" s="67"/>
      <c r="N22" s="67"/>
      <c r="O22" s="67"/>
      <c r="P22" s="67"/>
      <c r="Q22" s="51"/>
      <c r="R22" s="51"/>
      <c r="S22" s="51"/>
    </row>
    <row r="23" spans="1:19" ht="15.75" x14ac:dyDescent="0.25">
      <c r="A23" s="76" t="s">
        <v>84</v>
      </c>
      <c r="B23" s="67" t="s">
        <v>92</v>
      </c>
      <c r="C23" s="67"/>
      <c r="D23" s="67"/>
      <c r="E23" s="67"/>
      <c r="F23" s="67"/>
      <c r="G23" s="67"/>
      <c r="H23" s="67"/>
      <c r="I23" s="67"/>
      <c r="J23" s="67"/>
      <c r="K23" s="67"/>
      <c r="L23" s="67"/>
      <c r="M23" s="67"/>
      <c r="N23" s="67"/>
      <c r="O23" s="67"/>
      <c r="P23" s="67"/>
      <c r="Q23" s="51"/>
      <c r="R23" s="51"/>
      <c r="S23" s="51"/>
    </row>
    <row r="24" spans="1:19" ht="15.75" x14ac:dyDescent="0.25">
      <c r="A24" s="67"/>
      <c r="B24" s="67" t="s">
        <v>93</v>
      </c>
      <c r="C24" s="67"/>
      <c r="D24" s="67"/>
      <c r="E24" s="67"/>
      <c r="F24" s="67"/>
      <c r="G24" s="67"/>
      <c r="H24" s="67"/>
      <c r="I24" s="67"/>
      <c r="J24" s="67"/>
      <c r="K24" s="67"/>
      <c r="L24" s="67"/>
      <c r="M24" s="67"/>
      <c r="N24" s="67"/>
      <c r="O24" s="67"/>
      <c r="P24" s="67"/>
      <c r="Q24" s="51"/>
      <c r="R24" s="51"/>
      <c r="S24" s="51"/>
    </row>
    <row r="25" spans="1:19" ht="15.75" x14ac:dyDescent="0.25">
      <c r="A25" s="67"/>
      <c r="B25" s="67"/>
      <c r="C25" s="67"/>
      <c r="D25" s="67"/>
      <c r="E25" s="67"/>
      <c r="F25" s="67"/>
      <c r="G25" s="67"/>
      <c r="H25" s="67"/>
      <c r="I25" s="67"/>
      <c r="J25" s="67"/>
      <c r="K25" s="67"/>
      <c r="L25" s="67"/>
      <c r="M25" s="67"/>
      <c r="N25" s="67"/>
      <c r="O25" s="67"/>
      <c r="P25" s="67"/>
      <c r="Q25" s="51"/>
      <c r="R25" s="51"/>
      <c r="S25" s="51"/>
    </row>
    <row r="26" spans="1:19" ht="15.75" x14ac:dyDescent="0.25">
      <c r="A26" s="76" t="s">
        <v>85</v>
      </c>
      <c r="B26" s="67" t="s">
        <v>94</v>
      </c>
      <c r="C26" s="67"/>
      <c r="D26" s="67"/>
      <c r="E26" s="67"/>
      <c r="F26" s="67"/>
      <c r="G26" s="67"/>
      <c r="H26" s="67"/>
      <c r="I26" s="67"/>
      <c r="J26" s="67"/>
      <c r="K26" s="67"/>
      <c r="L26" s="67"/>
      <c r="M26" s="67"/>
      <c r="N26" s="67"/>
      <c r="O26" s="67"/>
      <c r="P26" s="67"/>
      <c r="Q26" s="51"/>
      <c r="R26" s="51"/>
      <c r="S26" s="51"/>
    </row>
    <row r="27" spans="1:19" ht="15.75" x14ac:dyDescent="0.25">
      <c r="A27" s="67"/>
      <c r="B27" s="67" t="s">
        <v>95</v>
      </c>
      <c r="C27" s="67"/>
      <c r="D27" s="67"/>
      <c r="E27" s="67"/>
      <c r="F27" s="67"/>
      <c r="G27" s="67"/>
      <c r="H27" s="67"/>
      <c r="I27" s="67"/>
      <c r="J27" s="67"/>
      <c r="K27" s="67"/>
      <c r="L27" s="67"/>
      <c r="M27" s="67"/>
      <c r="N27" s="67"/>
      <c r="O27" s="67"/>
      <c r="P27" s="67"/>
      <c r="Q27" s="51"/>
      <c r="R27" s="51"/>
      <c r="S27" s="51"/>
    </row>
    <row r="28" spans="1:19" ht="15.75" x14ac:dyDescent="0.25">
      <c r="A28" s="67"/>
      <c r="B28" s="67"/>
      <c r="C28" s="67"/>
      <c r="D28" s="67"/>
      <c r="E28" s="67"/>
      <c r="F28" s="67"/>
      <c r="G28" s="67"/>
      <c r="H28" s="67"/>
      <c r="I28" s="67"/>
      <c r="J28" s="67"/>
      <c r="K28" s="67"/>
      <c r="L28" s="67"/>
      <c r="M28" s="67"/>
      <c r="N28" s="67"/>
      <c r="O28" s="67"/>
      <c r="P28" s="67"/>
      <c r="Q28" s="51"/>
      <c r="R28" s="51"/>
      <c r="S28" s="5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25"/>
  <sheetViews>
    <sheetView workbookViewId="0">
      <selection activeCell="D15" sqref="D15"/>
    </sheetView>
  </sheetViews>
  <sheetFormatPr defaultRowHeight="15" x14ac:dyDescent="0.25"/>
  <cols>
    <col min="6" max="6" width="9.85546875" bestFit="1" customWidth="1"/>
    <col min="14" max="14" width="9.85546875" bestFit="1" customWidth="1"/>
  </cols>
  <sheetData>
    <row r="1" spans="1:25" x14ac:dyDescent="0.25">
      <c r="A1" s="15" t="s">
        <v>96</v>
      </c>
    </row>
    <row r="2" spans="1:25" x14ac:dyDescent="0.25">
      <c r="A2" s="41" t="s">
        <v>97</v>
      </c>
    </row>
    <row r="4" spans="1:25" ht="15.75" x14ac:dyDescent="0.25">
      <c r="A4" s="67"/>
      <c r="B4" s="67"/>
      <c r="C4" s="67"/>
      <c r="D4" s="82" t="s">
        <v>98</v>
      </c>
      <c r="E4" s="82"/>
      <c r="F4" s="82"/>
      <c r="G4" s="82"/>
      <c r="H4" s="82"/>
      <c r="I4" s="82"/>
      <c r="J4" s="67"/>
      <c r="K4" s="67"/>
      <c r="L4" s="82" t="s">
        <v>86</v>
      </c>
      <c r="M4" s="82"/>
      <c r="N4" s="82"/>
      <c r="O4" s="82"/>
      <c r="P4" s="82"/>
      <c r="Q4" s="82"/>
      <c r="R4" s="67"/>
      <c r="S4" s="51"/>
      <c r="T4" s="61"/>
      <c r="U4" s="61"/>
      <c r="V4" s="61"/>
      <c r="W4" s="61"/>
      <c r="X4" s="61"/>
      <c r="Y4" s="61"/>
    </row>
    <row r="5" spans="1:25" ht="15.75" x14ac:dyDescent="0.25">
      <c r="A5" s="68" t="s">
        <v>99</v>
      </c>
      <c r="B5" s="67"/>
      <c r="C5" s="67"/>
      <c r="D5" s="69" t="s">
        <v>100</v>
      </c>
      <c r="E5" s="67"/>
      <c r="F5" s="68" t="s">
        <v>101</v>
      </c>
      <c r="G5" s="67"/>
      <c r="H5" s="69" t="s">
        <v>102</v>
      </c>
      <c r="I5" s="69" t="s">
        <v>82</v>
      </c>
      <c r="J5" s="67"/>
      <c r="K5" s="67"/>
      <c r="L5" s="69" t="s">
        <v>100</v>
      </c>
      <c r="M5" s="67"/>
      <c r="N5" s="68" t="s">
        <v>101</v>
      </c>
      <c r="O5" s="67"/>
      <c r="P5" s="69" t="s">
        <v>102</v>
      </c>
      <c r="Q5" s="69" t="s">
        <v>82</v>
      </c>
      <c r="R5" s="67"/>
      <c r="S5" s="51"/>
      <c r="T5" s="53"/>
      <c r="U5" s="51"/>
      <c r="V5" s="52"/>
      <c r="W5" s="51"/>
      <c r="X5" s="53"/>
      <c r="Y5" s="53"/>
    </row>
    <row r="6" spans="1:25" ht="15.75" x14ac:dyDescent="0.25">
      <c r="A6" s="67"/>
      <c r="B6" s="67"/>
      <c r="C6" s="67"/>
      <c r="D6" s="67"/>
      <c r="E6" s="67"/>
      <c r="F6" s="67"/>
      <c r="G6" s="67"/>
      <c r="H6" s="67"/>
      <c r="I6" s="67"/>
      <c r="J6" s="67"/>
      <c r="K6" s="67"/>
      <c r="L6" s="67"/>
      <c r="M6" s="67"/>
      <c r="N6" s="67"/>
      <c r="O6" s="67"/>
      <c r="P6" s="67"/>
      <c r="Q6" s="67"/>
      <c r="R6" s="67"/>
      <c r="S6" s="51"/>
      <c r="T6" s="51"/>
      <c r="U6" s="51"/>
      <c r="V6" s="51"/>
      <c r="W6" s="51"/>
      <c r="X6" s="51"/>
      <c r="Y6" s="51"/>
    </row>
    <row r="7" spans="1:25" ht="15.75" x14ac:dyDescent="0.25">
      <c r="A7" s="67" t="s">
        <v>103</v>
      </c>
      <c r="B7" s="67"/>
      <c r="C7" s="67"/>
      <c r="D7" s="70">
        <v>3</v>
      </c>
      <c r="E7" s="67" t="s">
        <v>104</v>
      </c>
      <c r="F7" s="71">
        <v>525</v>
      </c>
      <c r="G7" s="67" t="s">
        <v>105</v>
      </c>
      <c r="H7" s="72">
        <f>+F7*D7</f>
        <v>1575</v>
      </c>
      <c r="I7" s="73" t="s">
        <v>83</v>
      </c>
      <c r="J7" s="67"/>
      <c r="K7" s="67"/>
      <c r="L7" s="70">
        <v>3</v>
      </c>
      <c r="M7" s="67" t="s">
        <v>104</v>
      </c>
      <c r="N7" s="71">
        <v>525</v>
      </c>
      <c r="O7" s="67" t="s">
        <v>105</v>
      </c>
      <c r="P7" s="72">
        <f>+N7*L7</f>
        <v>1575</v>
      </c>
      <c r="Q7" s="73" t="s">
        <v>83</v>
      </c>
      <c r="R7" s="67"/>
      <c r="S7" s="51"/>
      <c r="T7" s="54"/>
      <c r="U7" s="51"/>
      <c r="V7" s="55"/>
      <c r="W7" s="51"/>
      <c r="X7" s="56"/>
      <c r="Y7" s="57"/>
    </row>
    <row r="8" spans="1:25" ht="15.75" x14ac:dyDescent="0.25">
      <c r="A8" s="67" t="s">
        <v>106</v>
      </c>
      <c r="B8" s="67"/>
      <c r="C8" s="67"/>
      <c r="D8" s="70">
        <v>6</v>
      </c>
      <c r="E8" s="67" t="s">
        <v>107</v>
      </c>
      <c r="F8" s="71">
        <v>108</v>
      </c>
      <c r="G8" s="67"/>
      <c r="H8" s="72">
        <f>+F8*D8</f>
        <v>648</v>
      </c>
      <c r="I8" s="73" t="s">
        <v>83</v>
      </c>
      <c r="J8" s="67"/>
      <c r="K8" s="67"/>
      <c r="L8" s="70">
        <v>6</v>
      </c>
      <c r="M8" s="67" t="s">
        <v>107</v>
      </c>
      <c r="N8" s="71">
        <v>108</v>
      </c>
      <c r="O8" s="67"/>
      <c r="P8" s="72">
        <f>+N8*L8</f>
        <v>648</v>
      </c>
      <c r="Q8" s="73"/>
      <c r="R8" s="67"/>
      <c r="S8" s="51"/>
      <c r="T8" s="54"/>
      <c r="U8" s="51"/>
      <c r="V8" s="55"/>
      <c r="W8" s="51"/>
      <c r="X8" s="56"/>
      <c r="Y8" s="57"/>
    </row>
    <row r="9" spans="1:25" ht="15.75" x14ac:dyDescent="0.25">
      <c r="A9" s="67" t="s">
        <v>108</v>
      </c>
      <c r="B9" s="67"/>
      <c r="C9" s="67"/>
      <c r="D9" s="70">
        <v>4</v>
      </c>
      <c r="E9" s="67" t="s">
        <v>109</v>
      </c>
      <c r="F9" s="71">
        <v>52</v>
      </c>
      <c r="G9" s="67" t="s">
        <v>110</v>
      </c>
      <c r="H9" s="72">
        <f>+F9*D9</f>
        <v>208</v>
      </c>
      <c r="I9" s="73" t="s">
        <v>83</v>
      </c>
      <c r="J9" s="67"/>
      <c r="K9" s="67"/>
      <c r="L9" s="70">
        <v>4</v>
      </c>
      <c r="M9" s="67" t="s">
        <v>109</v>
      </c>
      <c r="N9" s="71">
        <v>52</v>
      </c>
      <c r="O9" s="67" t="s">
        <v>110</v>
      </c>
      <c r="P9" s="72">
        <f>+N9*L9</f>
        <v>208</v>
      </c>
      <c r="Q9" s="73"/>
      <c r="R9" s="67"/>
      <c r="S9" s="51"/>
      <c r="T9" s="54"/>
      <c r="U9" s="51"/>
      <c r="V9" s="55"/>
      <c r="W9" s="51"/>
      <c r="X9" s="56"/>
      <c r="Y9" s="57"/>
    </row>
    <row r="10" spans="1:25" ht="15.75" x14ac:dyDescent="0.25">
      <c r="A10" s="67" t="s">
        <v>111</v>
      </c>
      <c r="B10" s="67"/>
      <c r="C10" s="67"/>
      <c r="D10" s="70">
        <v>12</v>
      </c>
      <c r="E10" s="67" t="s">
        <v>112</v>
      </c>
      <c r="F10" s="71">
        <v>36</v>
      </c>
      <c r="G10" s="67"/>
      <c r="H10" s="72">
        <f>+F10*D10</f>
        <v>432</v>
      </c>
      <c r="I10" s="73" t="s">
        <v>83</v>
      </c>
      <c r="J10" s="67"/>
      <c r="K10" s="67"/>
      <c r="L10" s="70">
        <v>12</v>
      </c>
      <c r="M10" s="67" t="s">
        <v>112</v>
      </c>
      <c r="N10" s="71">
        <v>36</v>
      </c>
      <c r="O10" s="67"/>
      <c r="P10" s="72">
        <f>+N10*L10</f>
        <v>432</v>
      </c>
      <c r="Q10" s="73"/>
      <c r="R10" s="67"/>
      <c r="S10" s="51"/>
      <c r="T10" s="54"/>
      <c r="U10" s="51"/>
      <c r="V10" s="55"/>
      <c r="W10" s="51"/>
      <c r="X10" s="56"/>
      <c r="Y10" s="57"/>
    </row>
    <row r="11" spans="1:25" ht="15.75" x14ac:dyDescent="0.25">
      <c r="A11" s="67"/>
      <c r="B11" s="67"/>
      <c r="C11" s="67"/>
      <c r="D11" s="70"/>
      <c r="E11" s="67"/>
      <c r="F11" s="71"/>
      <c r="G11" s="67"/>
      <c r="H11" s="72"/>
      <c r="I11" s="73"/>
      <c r="J11" s="67"/>
      <c r="K11" s="67"/>
      <c r="L11" s="70"/>
      <c r="M11" s="67"/>
      <c r="N11" s="71"/>
      <c r="O11" s="67"/>
      <c r="P11" s="72"/>
      <c r="Q11" s="73"/>
      <c r="R11" s="67"/>
      <c r="S11" s="51"/>
      <c r="T11" s="54"/>
      <c r="U11" s="51"/>
      <c r="V11" s="55"/>
      <c r="W11" s="51"/>
      <c r="X11" s="56"/>
      <c r="Y11" s="57"/>
    </row>
    <row r="12" spans="1:25" ht="15.75" x14ac:dyDescent="0.25">
      <c r="A12" s="67"/>
      <c r="B12" s="67"/>
      <c r="C12" s="67"/>
      <c r="D12" s="67"/>
      <c r="E12" s="67"/>
      <c r="F12" s="74"/>
      <c r="G12" s="67"/>
      <c r="H12" s="70"/>
      <c r="I12" s="73"/>
      <c r="J12" s="67"/>
      <c r="K12" s="67"/>
      <c r="L12" s="67"/>
      <c r="M12" s="67"/>
      <c r="N12" s="74"/>
      <c r="O12" s="67"/>
      <c r="P12" s="70"/>
      <c r="Q12" s="73"/>
      <c r="R12" s="67"/>
      <c r="S12" s="51"/>
      <c r="T12" s="51"/>
      <c r="U12" s="51"/>
      <c r="V12" s="58"/>
      <c r="W12" s="51"/>
      <c r="X12" s="54"/>
      <c r="Y12" s="57"/>
    </row>
    <row r="13" spans="1:25" ht="15.75" x14ac:dyDescent="0.25">
      <c r="A13" s="67"/>
      <c r="B13" s="67"/>
      <c r="C13" s="67"/>
      <c r="D13" s="67"/>
      <c r="E13" s="67"/>
      <c r="F13" s="67"/>
      <c r="G13" s="67"/>
      <c r="H13" s="67"/>
      <c r="I13" s="67"/>
      <c r="J13" s="67"/>
      <c r="K13" s="67"/>
      <c r="L13" s="67"/>
      <c r="M13" s="67"/>
      <c r="N13" s="67"/>
      <c r="O13" s="67"/>
      <c r="P13" s="67"/>
      <c r="Q13" s="67"/>
      <c r="R13" s="67"/>
      <c r="S13" s="51"/>
      <c r="T13" s="51"/>
      <c r="U13" s="51"/>
      <c r="V13" s="51"/>
      <c r="W13" s="51"/>
      <c r="X13" s="51"/>
      <c r="Y13" s="51"/>
    </row>
    <row r="14" spans="1:25" ht="18" x14ac:dyDescent="0.4">
      <c r="A14" s="67" t="s">
        <v>113</v>
      </c>
      <c r="B14" s="67"/>
      <c r="C14" s="67"/>
      <c r="D14" s="67"/>
      <c r="E14" s="67"/>
      <c r="F14" s="67"/>
      <c r="G14" s="67"/>
      <c r="H14" s="75">
        <f>SUM(H7:H12)</f>
        <v>2863</v>
      </c>
      <c r="I14" s="67"/>
      <c r="J14" s="67"/>
      <c r="K14" s="67"/>
      <c r="L14" s="67"/>
      <c r="M14" s="67"/>
      <c r="N14" s="67"/>
      <c r="O14" s="67"/>
      <c r="P14" s="75">
        <f>SUM(P7:P12)</f>
        <v>2863</v>
      </c>
      <c r="Q14" s="67"/>
      <c r="R14" s="67"/>
      <c r="S14" s="51"/>
      <c r="T14" s="51"/>
      <c r="U14" s="51"/>
      <c r="V14" s="51"/>
      <c r="W14" s="51"/>
      <c r="X14" s="59"/>
      <c r="Y14" s="51"/>
    </row>
    <row r="15" spans="1:25" ht="15.75" x14ac:dyDescent="0.25">
      <c r="A15" s="67"/>
      <c r="B15" s="67"/>
      <c r="C15" s="67"/>
      <c r="D15" s="67"/>
      <c r="E15" s="67"/>
      <c r="F15" s="67"/>
      <c r="G15" s="67"/>
      <c r="H15" s="67"/>
      <c r="I15" s="67"/>
      <c r="J15" s="67"/>
      <c r="K15" s="67"/>
      <c r="L15" s="67"/>
      <c r="M15" s="67"/>
      <c r="N15" s="67"/>
      <c r="O15" s="67"/>
      <c r="P15" s="67"/>
      <c r="Q15" s="67"/>
      <c r="R15" s="67"/>
      <c r="S15" s="51"/>
      <c r="T15" s="51"/>
      <c r="U15" s="51"/>
      <c r="V15" s="51"/>
      <c r="W15" s="51"/>
      <c r="X15" s="51"/>
      <c r="Y15" s="51"/>
    </row>
    <row r="16" spans="1:25" x14ac:dyDescent="0.25">
      <c r="A16" s="66"/>
      <c r="B16" s="66"/>
      <c r="C16" s="66"/>
      <c r="D16" s="66"/>
      <c r="E16" s="66"/>
      <c r="F16" s="66"/>
      <c r="G16" s="66"/>
      <c r="H16" s="66"/>
      <c r="I16" s="66"/>
      <c r="J16" s="66"/>
      <c r="K16" s="66"/>
      <c r="L16" s="66"/>
      <c r="M16" s="66"/>
      <c r="N16" s="66"/>
      <c r="O16" s="66"/>
      <c r="P16" s="66"/>
      <c r="Q16" s="66"/>
      <c r="R16" s="66"/>
    </row>
    <row r="17" spans="1:18" x14ac:dyDescent="0.25">
      <c r="A17" s="66"/>
      <c r="B17" s="66"/>
      <c r="C17" s="66"/>
      <c r="D17" s="66"/>
      <c r="E17" s="66"/>
      <c r="F17" s="66"/>
      <c r="G17" s="66"/>
      <c r="H17" s="66"/>
      <c r="I17" s="66"/>
      <c r="J17" s="66"/>
      <c r="K17" s="66"/>
      <c r="L17" s="66"/>
      <c r="M17" s="66"/>
      <c r="N17" s="66"/>
      <c r="O17" s="66"/>
      <c r="P17" s="66"/>
      <c r="Q17" s="66"/>
      <c r="R17" s="66"/>
    </row>
    <row r="18" spans="1:18" x14ac:dyDescent="0.25">
      <c r="A18" s="66"/>
      <c r="B18" s="66"/>
      <c r="C18" s="66"/>
      <c r="D18" s="66"/>
      <c r="E18" s="66"/>
      <c r="F18" s="66"/>
      <c r="G18" s="66"/>
      <c r="H18" s="66"/>
      <c r="I18" s="66"/>
      <c r="J18" s="66"/>
      <c r="K18" s="66"/>
      <c r="L18" s="66"/>
      <c r="M18" s="66"/>
      <c r="N18" s="66"/>
      <c r="O18" s="66"/>
      <c r="P18" s="66"/>
      <c r="Q18" s="66"/>
      <c r="R18" s="66"/>
    </row>
    <row r="19" spans="1:18" x14ac:dyDescent="0.25">
      <c r="A19" s="66"/>
      <c r="B19" s="66"/>
      <c r="C19" s="66"/>
      <c r="D19" s="67"/>
      <c r="E19" s="67"/>
      <c r="F19" s="67"/>
      <c r="G19" s="67"/>
      <c r="H19" s="67"/>
      <c r="I19" s="67"/>
      <c r="J19" s="67"/>
      <c r="K19" s="67"/>
      <c r="L19" s="67"/>
      <c r="M19" s="67"/>
      <c r="N19" s="67"/>
      <c r="O19" s="67"/>
      <c r="P19" s="67"/>
      <c r="Q19" s="66"/>
      <c r="R19" s="66"/>
    </row>
    <row r="20" spans="1:18" x14ac:dyDescent="0.25">
      <c r="A20" s="68" t="s">
        <v>87</v>
      </c>
      <c r="B20" s="67"/>
      <c r="C20" s="67"/>
      <c r="D20" s="67"/>
      <c r="E20" s="67"/>
      <c r="F20" s="67"/>
      <c r="G20" s="67"/>
      <c r="H20" s="67"/>
      <c r="I20" s="67"/>
      <c r="J20" s="67"/>
      <c r="K20" s="67"/>
      <c r="L20" s="67"/>
      <c r="M20" s="67" t="s">
        <v>88</v>
      </c>
      <c r="N20" s="66"/>
      <c r="O20" s="66"/>
      <c r="P20" s="66"/>
      <c r="Q20" s="66"/>
      <c r="R20" s="66"/>
    </row>
    <row r="21" spans="1:18" x14ac:dyDescent="0.25">
      <c r="A21" s="67"/>
      <c r="B21" s="67"/>
      <c r="C21" s="67"/>
      <c r="D21" s="67"/>
      <c r="E21" s="67"/>
      <c r="F21" s="67"/>
      <c r="G21" s="67"/>
      <c r="H21" s="67"/>
      <c r="I21" s="67"/>
      <c r="J21" s="67"/>
      <c r="K21" s="67"/>
      <c r="L21" s="67"/>
      <c r="M21" s="67"/>
      <c r="N21" s="66"/>
      <c r="O21" s="66"/>
      <c r="P21" s="66"/>
      <c r="Q21" s="66"/>
      <c r="R21" s="66"/>
    </row>
    <row r="22" spans="1:18" x14ac:dyDescent="0.25">
      <c r="A22" s="76" t="s">
        <v>83</v>
      </c>
      <c r="B22" s="67" t="s">
        <v>114</v>
      </c>
      <c r="C22" s="67"/>
      <c r="D22" s="67"/>
      <c r="E22" s="67"/>
      <c r="F22" s="67"/>
      <c r="G22" s="67"/>
      <c r="H22" s="67"/>
      <c r="I22" s="67"/>
      <c r="J22" s="67"/>
      <c r="K22" s="67"/>
      <c r="L22" s="67"/>
      <c r="M22" s="67"/>
      <c r="N22" s="66"/>
      <c r="O22" s="66"/>
      <c r="P22" s="66"/>
      <c r="Q22" s="66"/>
      <c r="R22" s="66"/>
    </row>
    <row r="23" spans="1:18" ht="15.75" x14ac:dyDescent="0.25">
      <c r="A23" s="51"/>
      <c r="B23" s="51"/>
      <c r="C23" s="51"/>
      <c r="D23" s="51"/>
      <c r="E23" s="51"/>
      <c r="F23" s="51"/>
      <c r="G23" s="51"/>
      <c r="H23" s="51"/>
      <c r="I23" s="51"/>
      <c r="J23" s="51"/>
      <c r="K23" s="51"/>
      <c r="L23" s="51"/>
      <c r="M23" s="51"/>
    </row>
    <row r="24" spans="1:18" ht="15.75" x14ac:dyDescent="0.25">
      <c r="A24" s="60"/>
      <c r="B24" s="51"/>
      <c r="C24" s="51"/>
      <c r="D24" s="51"/>
      <c r="E24" s="51"/>
      <c r="F24" s="51"/>
      <c r="G24" s="51"/>
      <c r="H24" s="51"/>
      <c r="I24" s="51"/>
      <c r="J24" s="51"/>
      <c r="K24" s="51"/>
      <c r="L24" s="51"/>
      <c r="M24" s="51"/>
    </row>
    <row r="25" spans="1:18" ht="15.75" x14ac:dyDescent="0.25">
      <c r="D25" s="51"/>
      <c r="E25" s="51"/>
      <c r="F25" s="51"/>
      <c r="G25" s="51"/>
      <c r="H25" s="51"/>
      <c r="I25" s="51"/>
      <c r="J25" s="51"/>
      <c r="K25" s="51"/>
      <c r="L25" s="51"/>
      <c r="M25" s="51"/>
      <c r="N25" s="51"/>
      <c r="O25" s="51"/>
      <c r="P25" s="51"/>
    </row>
  </sheetData>
  <mergeCells count="2">
    <mergeCell ref="D4:I4"/>
    <mergeCell ref="L4:Q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9"/>
  <sheetViews>
    <sheetView workbookViewId="0">
      <selection activeCell="F16" sqref="F16"/>
    </sheetView>
  </sheetViews>
  <sheetFormatPr defaultRowHeight="15" x14ac:dyDescent="0.25"/>
  <cols>
    <col min="1" max="1" width="16.140625" customWidth="1"/>
    <col min="2" max="2" width="20.140625" customWidth="1"/>
    <col min="3" max="3" width="33" customWidth="1"/>
    <col min="4" max="4" width="33.85546875" customWidth="1"/>
    <col min="5" max="5" width="32.140625" customWidth="1"/>
  </cols>
  <sheetData>
    <row r="1" spans="1:5" x14ac:dyDescent="0.25">
      <c r="A1" s="15" t="s">
        <v>115</v>
      </c>
    </row>
    <row r="3" spans="1:5" x14ac:dyDescent="0.25">
      <c r="A3" s="41" t="s">
        <v>116</v>
      </c>
    </row>
    <row r="7" spans="1:5" x14ac:dyDescent="0.25">
      <c r="A7" s="17" t="s">
        <v>50</v>
      </c>
    </row>
    <row r="8" spans="1:5" x14ac:dyDescent="0.25">
      <c r="A8" s="15" t="s">
        <v>51</v>
      </c>
    </row>
    <row r="9" spans="1:5" ht="30" x14ac:dyDescent="0.25">
      <c r="A9" s="65" t="s">
        <v>52</v>
      </c>
      <c r="B9" s="65" t="s">
        <v>65</v>
      </c>
      <c r="C9" s="18" t="s">
        <v>117</v>
      </c>
      <c r="D9" s="19" t="s">
        <v>118</v>
      </c>
      <c r="E9" s="18" t="s">
        <v>119</v>
      </c>
    </row>
    <row r="10" spans="1:5" x14ac:dyDescent="0.25">
      <c r="A10" s="2"/>
      <c r="B10" s="4"/>
      <c r="C10" s="26"/>
      <c r="D10" s="9"/>
      <c r="E10" s="9"/>
    </row>
    <row r="11" spans="1:5" x14ac:dyDescent="0.25">
      <c r="A11" s="2"/>
      <c r="B11" s="6"/>
      <c r="C11" s="26"/>
      <c r="D11" s="9"/>
      <c r="E11" s="9"/>
    </row>
    <row r="12" spans="1:5" x14ac:dyDescent="0.25">
      <c r="A12" s="2"/>
      <c r="B12" s="6"/>
      <c r="C12" s="26"/>
      <c r="D12" s="9"/>
      <c r="E12" s="9"/>
    </row>
    <row r="13" spans="1:5" x14ac:dyDescent="0.25">
      <c r="A13" s="2"/>
      <c r="B13" s="6"/>
      <c r="C13" s="26"/>
      <c r="D13" s="9"/>
      <c r="E13" s="9"/>
    </row>
    <row r="14" spans="1:5" x14ac:dyDescent="0.25">
      <c r="A14" s="2"/>
      <c r="B14" s="6"/>
      <c r="C14" s="26"/>
      <c r="D14" s="9"/>
      <c r="E14" s="9"/>
    </row>
    <row r="15" spans="1:5" x14ac:dyDescent="0.25">
      <c r="A15" s="2"/>
      <c r="B15" s="6"/>
      <c r="C15" s="26"/>
      <c r="D15" s="9"/>
      <c r="E15" s="9"/>
    </row>
    <row r="16" spans="1:5" x14ac:dyDescent="0.25">
      <c r="A16" s="2"/>
      <c r="B16" s="6"/>
      <c r="C16" s="26"/>
      <c r="D16" s="9"/>
      <c r="E16" s="9"/>
    </row>
    <row r="17" spans="1:5" x14ac:dyDescent="0.25">
      <c r="A17" s="2"/>
      <c r="B17" s="2"/>
      <c r="C17" s="2"/>
      <c r="D17" s="9"/>
      <c r="E17" s="9"/>
    </row>
    <row r="18" spans="1:5" x14ac:dyDescent="0.25">
      <c r="A18" s="25"/>
    </row>
    <row r="19" spans="1:5" x14ac:dyDescent="0.25">
      <c r="A19" s="47" t="s">
        <v>59</v>
      </c>
    </row>
    <row r="20" spans="1:5" x14ac:dyDescent="0.25">
      <c r="A20" s="48" t="s">
        <v>120</v>
      </c>
    </row>
    <row r="21" spans="1:5" ht="30" x14ac:dyDescent="0.25">
      <c r="A21" s="65" t="s">
        <v>52</v>
      </c>
      <c r="B21" s="65" t="s">
        <v>65</v>
      </c>
      <c r="C21" s="18" t="s">
        <v>117</v>
      </c>
      <c r="D21" s="19" t="s">
        <v>118</v>
      </c>
      <c r="E21" s="18" t="s">
        <v>119</v>
      </c>
    </row>
    <row r="22" spans="1:5" x14ac:dyDescent="0.25">
      <c r="A22" s="2"/>
      <c r="B22" s="4"/>
      <c r="C22" s="26"/>
      <c r="D22" s="9"/>
      <c r="E22" s="9"/>
    </row>
    <row r="23" spans="1:5" x14ac:dyDescent="0.25">
      <c r="A23" s="2"/>
      <c r="B23" s="6"/>
      <c r="C23" s="26"/>
      <c r="D23" s="9"/>
      <c r="E23" s="9"/>
    </row>
    <row r="24" spans="1:5" x14ac:dyDescent="0.25">
      <c r="A24" s="2"/>
      <c r="B24" s="6"/>
      <c r="C24" s="26"/>
      <c r="D24" s="9"/>
      <c r="E24" s="9"/>
    </row>
    <row r="25" spans="1:5" x14ac:dyDescent="0.25">
      <c r="A25" s="2"/>
      <c r="B25" s="6"/>
      <c r="C25" s="26"/>
      <c r="D25" s="9"/>
      <c r="E25" s="9"/>
    </row>
    <row r="26" spans="1:5" x14ac:dyDescent="0.25">
      <c r="A26" s="2"/>
      <c r="B26" s="6"/>
      <c r="C26" s="26"/>
      <c r="D26" s="9"/>
      <c r="E26" s="9"/>
    </row>
    <row r="27" spans="1:5" x14ac:dyDescent="0.25">
      <c r="A27" s="2"/>
      <c r="B27" s="6"/>
      <c r="C27" s="26"/>
      <c r="D27" s="9"/>
      <c r="E27" s="9"/>
    </row>
    <row r="28" spans="1:5" x14ac:dyDescent="0.25">
      <c r="A28" s="2"/>
      <c r="B28" s="6"/>
      <c r="C28" s="26"/>
      <c r="D28" s="9"/>
      <c r="E28" s="9"/>
    </row>
    <row r="29" spans="1:5" x14ac:dyDescent="0.25">
      <c r="A29" s="2"/>
      <c r="B29" s="2"/>
      <c r="C29" s="2"/>
      <c r="D29" s="9"/>
      <c r="E29" s="9"/>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68ef299-c7a4-412a-9b62-b6af9014033f">
      <Terms xmlns="http://schemas.microsoft.com/office/infopath/2007/PartnerControls"/>
    </lcf76f155ced4ddcb4097134ff3c332f>
    <TaxCatchAll xmlns="dd17e4fb-4bdd-4293-ad4f-49e43a11ed6e"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C3C82AE03FF334CA2ED938DB5AC2FEA" ma:contentTypeVersion="11" ma:contentTypeDescription="Create a new document." ma:contentTypeScope="" ma:versionID="27e818a30098e4cd5ceef06e9e6f39e1">
  <xsd:schema xmlns:xsd="http://www.w3.org/2001/XMLSchema" xmlns:xs="http://www.w3.org/2001/XMLSchema" xmlns:p="http://schemas.microsoft.com/office/2006/metadata/properties" xmlns:ns2="568ef299-c7a4-412a-9b62-b6af9014033f" xmlns:ns3="dd17e4fb-4bdd-4293-ad4f-49e43a11ed6e" targetNamespace="http://schemas.microsoft.com/office/2006/metadata/properties" ma:root="true" ma:fieldsID="c86422e3de0c997ba5ecf41f4ca9bac1" ns2:_="" ns3:_="">
    <xsd:import namespace="568ef299-c7a4-412a-9b62-b6af9014033f"/>
    <xsd:import namespace="dd17e4fb-4bdd-4293-ad4f-49e43a11ed6e"/>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8ef299-c7a4-412a-9b62-b6af9014033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36acea8e-d04a-430b-a9a7-7015c05d4b84"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d17e4fb-4bdd-4293-ad4f-49e43a11ed6e"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7795cddb-7d8e-4b0f-aab2-58b6cff427a0}" ma:internalName="TaxCatchAll" ma:showField="CatchAllData" ma:web="dd17e4fb-4bdd-4293-ad4f-49e43a11ed6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067D2E1-BB10-460F-A3B1-D277A8A48C38}">
  <ds:schemaRefs>
    <ds:schemaRef ds:uri="http://schemas.microsoft.com/office/infopath/2007/PartnerControls"/>
    <ds:schemaRef ds:uri="http://schemas.microsoft.com/office/2006/documentManagement/types"/>
    <ds:schemaRef ds:uri="http://schemas.microsoft.com/office/2006/metadata/properties"/>
    <ds:schemaRef ds:uri="http://purl.org/dc/elements/1.1/"/>
    <ds:schemaRef ds:uri="dd17e4fb-4bdd-4293-ad4f-49e43a11ed6e"/>
    <ds:schemaRef ds:uri="http://purl.org/dc/terms/"/>
    <ds:schemaRef ds:uri="568ef299-c7a4-412a-9b62-b6af9014033f"/>
    <ds:schemaRef ds:uri="http://schemas.openxmlformats.org/package/2006/metadata/core-properties"/>
    <ds:schemaRef ds:uri="http://www.w3.org/XML/1998/namespace"/>
    <ds:schemaRef ds:uri="http://purl.org/dc/dcmitype/"/>
  </ds:schemaRefs>
</ds:datastoreItem>
</file>

<file path=customXml/itemProps2.xml><?xml version="1.0" encoding="utf-8"?>
<ds:datastoreItem xmlns:ds="http://schemas.openxmlformats.org/officeDocument/2006/customXml" ds:itemID="{4D53E5D6-0CCC-4257-A3F8-9C0E6AF7F28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8ef299-c7a4-412a-9b62-b6af9014033f"/>
    <ds:schemaRef ds:uri="dd17e4fb-4bdd-4293-ad4f-49e43a11ed6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73F61CF-067C-46AC-BFC8-CD6C51D77DF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 Sheet</vt:lpstr>
      <vt:lpstr>Labor, travel, materials</vt:lpstr>
      <vt:lpstr>Material support</vt:lpstr>
      <vt:lpstr>Travel Basis of Estimate</vt:lpstr>
      <vt:lpstr>Labor Basis of Estimate</vt:lpstr>
    </vt:vector>
  </TitlesOfParts>
  <Manager/>
  <Company>Transportation Security Administration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Bertucci, Melyssa</dc:creator>
  <cp:keywords/>
  <dc:description/>
  <cp:lastModifiedBy>Mullen, Siobhan</cp:lastModifiedBy>
  <cp:revision/>
  <dcterms:created xsi:type="dcterms:W3CDTF">2020-05-19T13:19:50Z</dcterms:created>
  <dcterms:modified xsi:type="dcterms:W3CDTF">2026-04-29T14:17:55Z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0x0101006C3C82AE03FF334CA2ED938DB5AC2FEA</vt:lpwstr>
  </property>
  <property fmtid="{D5CDD505-2E9C-101B-9397-08002B2CF9AE}" pid="3" name="Order">
    <vt:r8>357200</vt:r8>
  </property>
</Properties>
</file>