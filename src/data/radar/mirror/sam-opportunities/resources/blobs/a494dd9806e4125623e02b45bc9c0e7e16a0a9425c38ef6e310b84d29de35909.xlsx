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omas.goldsmith\OneDrive - US Navy-flankspeed\Desktop\janitorial\"/>
    </mc:Choice>
  </mc:AlternateContent>
  <xr:revisionPtr revIDLastSave="0" documentId="13_ncr:1_{0188FCDB-48AE-4E9E-BEA6-A02CF00F6BE4}" xr6:coauthVersionLast="47" xr6:coauthVersionMax="47" xr10:uidLastSave="{00000000-0000-0000-0000-000000000000}"/>
  <bookViews>
    <workbookView xWindow="-28920" yWindow="-300" windowWidth="29040" windowHeight="15630" activeTab="3" xr2:uid="{00000000-000D-0000-FFFF-FFFF00000000}"/>
  </bookViews>
  <sheets>
    <sheet name="BLDG 111" sheetId="1" r:id="rId1"/>
    <sheet name="BLDG 113" sheetId="2" r:id="rId2"/>
    <sheet name="BLDG 115" sheetId="3" r:id="rId3"/>
    <sheet name="BLDG 314" sheetId="4" r:id="rId4"/>
    <sheet name="BLDG 510" sheetId="5" r:id="rId5"/>
    <sheet name="BLDG 1470" sheetId="6" r:id="rId6"/>
    <sheet name="BLDG 1703" sheetId="7" r:id="rId7"/>
    <sheet name="BLDG 3154" sheetId="8" r:id="rId8"/>
    <sheet name="BLDG 3162" sheetId="9" r:id="rId9"/>
    <sheet name="BLDG 3163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0" l="1"/>
  <c r="F9" i="9" l="1"/>
  <c r="F6" i="8"/>
  <c r="F7" i="7"/>
  <c r="F5" i="6"/>
  <c r="F8" i="5"/>
  <c r="F7" i="4"/>
  <c r="F7" i="3"/>
  <c r="F7" i="2"/>
  <c r="F9" i="1"/>
</calcChain>
</file>

<file path=xl/sharedStrings.xml><?xml version="1.0" encoding="utf-8"?>
<sst xmlns="http://schemas.openxmlformats.org/spreadsheetml/2006/main" count="234" uniqueCount="31">
  <si>
    <t>C</t>
  </si>
  <si>
    <t>Tile</t>
  </si>
  <si>
    <t>Kitchen</t>
  </si>
  <si>
    <t>Concrete</t>
  </si>
  <si>
    <t>Restroom</t>
  </si>
  <si>
    <t>Admin</t>
  </si>
  <si>
    <t>Carpet</t>
  </si>
  <si>
    <t>Service Class</t>
  </si>
  <si>
    <t>Security Requirements   Y/N</t>
  </si>
  <si>
    <t>Area (SF)</t>
  </si>
  <si>
    <t>Floor Type</t>
  </si>
  <si>
    <t>Type of Space</t>
  </si>
  <si>
    <t>Room No.</t>
  </si>
  <si>
    <t>Floor No.</t>
  </si>
  <si>
    <t>Building No.</t>
  </si>
  <si>
    <t>Customer:  NAVFAC INDIAN HEAD</t>
  </si>
  <si>
    <t>PWD SOUTH POTOMAC</t>
  </si>
  <si>
    <t>Restrooms</t>
  </si>
  <si>
    <t xml:space="preserve">Kitchen </t>
  </si>
  <si>
    <t>Admin Offices</t>
  </si>
  <si>
    <t>Admin Office</t>
  </si>
  <si>
    <t>Vinyl</t>
  </si>
  <si>
    <t xml:space="preserve">Admin </t>
  </si>
  <si>
    <t>Locker Room</t>
  </si>
  <si>
    <t>Vestibule</t>
  </si>
  <si>
    <t>Control Room</t>
  </si>
  <si>
    <t>Restroom (2)</t>
  </si>
  <si>
    <t>TOTAL SF</t>
  </si>
  <si>
    <t>Restroom (4)</t>
  </si>
  <si>
    <t>Restrooms (3)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</si>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</sst>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b/>
      <sz val="10"/>
      <color theme="1"/>
      <name val="Times New Roman"/>
      <family val="1"/>
    </font>
    <font>
      <b/>
      <sz val="10"/>
      <name val="Times New Roman"/>
      <family val="1"/>
    </font>
    <font>
      <sz val="10"/>
      <color indexed="8"/>
      <name val="Arial"/>
      <family val="2"/>
    </font>
    <font>
      <sz val="10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9">
    <xf numFmtId="0" fontId="0" fillId="0" borderId="0"/>
    <xf numFmtId="0" fontId="2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3" fillId="0" borderId="0"/>
    <xf numFmtId="0" fontId="1" fillId="0" borderId="0"/>
    <xf numFmtId="0" fontId="6" fillId="0" borderId="0"/>
    <xf numFmtId="0" fontId="2" fillId="0" borderId="0"/>
    <xf numFmtId="0" fontId="2" fillId="0" borderId="0"/>
  </cellStyleXfs>
  <cellXfs count="20">
    <xf numFmtId="0" fontId="0" fillId="0" borderId="0" xfId="0"/>
    <xf numFmtId="0" fontId="0" fillId="0" borderId="0" xfId="0" applyAlignment="1">
      <alignment wrapText="1"/>
    </xf>
    <xf numFmtId="3" fontId="3" fillId="0" borderId="1" xfId="1" applyNumberFormat="1" applyFont="1" applyBorder="1" applyAlignment="1">
      <alignment horizontal="center" vertical="center" wrapText="1"/>
    </xf>
    <xf numFmtId="3" fontId="3" fillId="2" borderId="1" xfId="0" applyNumberFormat="1" applyFont="1" applyFill="1" applyBorder="1" applyAlignment="1">
      <alignment horizontal="righ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0" borderId="1" xfId="1" applyFont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3" fontId="3" fillId="2" borderId="1" xfId="0" applyNumberFormat="1" applyFont="1" applyFill="1" applyBorder="1" applyAlignment="1">
      <alignment horizontal="right"/>
    </xf>
    <xf numFmtId="3" fontId="3" fillId="2" borderId="1" xfId="0" applyNumberFormat="1" applyFont="1" applyFill="1" applyBorder="1" applyAlignment="1">
      <alignment horizontal="left"/>
    </xf>
    <xf numFmtId="1" fontId="3" fillId="2" borderId="1" xfId="0" applyNumberFormat="1" applyFont="1" applyFill="1" applyBorder="1" applyAlignment="1">
      <alignment horizontal="center"/>
    </xf>
    <xf numFmtId="1" fontId="3" fillId="2" borderId="1" xfId="0" applyNumberFormat="1" applyFont="1" applyFill="1" applyBorder="1" applyAlignment="1">
      <alignment horizontal="right" vertical="center" wrapText="1"/>
    </xf>
    <xf numFmtId="0" fontId="7" fillId="0" borderId="0" xfId="0" applyFont="1" applyAlignment="1">
      <alignment wrapText="1"/>
    </xf>
    <xf numFmtId="0" fontId="4" fillId="0" borderId="0" xfId="0" applyFont="1" applyAlignment="1">
      <alignment wrapText="1"/>
    </xf>
    <xf numFmtId="1" fontId="4" fillId="0" borderId="0" xfId="0" applyNumberFormat="1" applyFont="1" applyAlignment="1">
      <alignment wrapText="1"/>
    </xf>
    <xf numFmtId="1" fontId="3" fillId="2" borderId="1" xfId="0" applyNumberFormat="1" applyFont="1" applyFill="1" applyBorder="1" applyAlignment="1">
      <alignment horizontal="right"/>
    </xf>
    <xf numFmtId="0" fontId="4" fillId="4" borderId="6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</cellXfs>
  <cellStyles count="9">
    <cellStyle name="Comma 2" xfId="2" xr:uid="{00000000-0005-0000-0000-000000000000}"/>
    <cellStyle name="Currency 2" xfId="3" xr:uid="{00000000-0005-0000-0000-000001000000}"/>
    <cellStyle name="Normal" xfId="0" builtinId="0"/>
    <cellStyle name="Normal 2" xfId="4" xr:uid="{00000000-0005-0000-0000-000003000000}"/>
    <cellStyle name="Normal 2 2" xfId="5" xr:uid="{00000000-0005-0000-0000-000004000000}"/>
    <cellStyle name="Normal 2 2 2" xfId="6" xr:uid="{00000000-0005-0000-0000-000005000000}"/>
    <cellStyle name="Normal 2 3" xfId="1" xr:uid="{00000000-0005-0000-0000-000006000000}"/>
    <cellStyle name="Normal 3" xfId="7" xr:uid="{00000000-0005-0000-0000-000007000000}"/>
    <cellStyle name="Normal 6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workbookViewId="0">
      <selection activeCell="J1" sqref="J1:K1048576"/>
    </sheetView>
  </sheetViews>
  <sheetFormatPr defaultRowHeight="15" x14ac:dyDescent="0.25"/>
  <cols>
    <col min="1" max="1" width="9.7109375" customWidth="1"/>
    <col min="2" max="2" width="9" customWidth="1"/>
    <col min="3" max="3" width="9.5703125" customWidth="1"/>
    <col min="4" max="4" width="18.5703125" customWidth="1"/>
    <col min="5" max="5" width="11.5703125" customWidth="1"/>
    <col min="6" max="6" width="9.140625" customWidth="1"/>
    <col min="7" max="7" width="13.42578125" customWidth="1"/>
    <col min="8" max="8" width="9.85546875" customWidth="1"/>
  </cols>
  <sheetData>
    <row r="1" spans="1:8" ht="15" customHeight="1" x14ac:dyDescent="0.25">
      <c r="A1" s="16" t="s">
        <v>16</v>
      </c>
      <c r="B1" s="16"/>
      <c r="C1" s="16"/>
      <c r="D1" s="16"/>
      <c r="E1" s="16"/>
      <c r="F1" s="16"/>
      <c r="G1" s="16"/>
      <c r="H1" s="17"/>
    </row>
    <row r="2" spans="1:8" ht="16.5" customHeight="1" x14ac:dyDescent="0.25">
      <c r="A2" s="18" t="s">
        <v>15</v>
      </c>
      <c r="B2" s="18"/>
      <c r="C2" s="18"/>
      <c r="D2" s="18"/>
      <c r="E2" s="18"/>
      <c r="F2" s="18"/>
      <c r="G2" s="18"/>
      <c r="H2" s="19"/>
    </row>
    <row r="3" spans="1:8" ht="48" customHeight="1" x14ac:dyDescent="0.25">
      <c r="A3" s="7" t="s">
        <v>14</v>
      </c>
      <c r="B3" s="7" t="s">
        <v>13</v>
      </c>
      <c r="C3" s="7" t="s">
        <v>12</v>
      </c>
      <c r="D3" s="7" t="s">
        <v>11</v>
      </c>
      <c r="E3" s="7" t="s">
        <v>10</v>
      </c>
      <c r="F3" s="7" t="s">
        <v>9</v>
      </c>
      <c r="G3" s="7" t="s">
        <v>8</v>
      </c>
      <c r="H3" s="7" t="s">
        <v>7</v>
      </c>
    </row>
    <row r="4" spans="1:8" ht="17.25" customHeight="1" x14ac:dyDescent="0.25">
      <c r="A4" s="5">
        <v>111</v>
      </c>
      <c r="B4" s="4"/>
      <c r="C4" s="4"/>
      <c r="D4" s="4" t="s">
        <v>5</v>
      </c>
      <c r="E4" s="4" t="s">
        <v>6</v>
      </c>
      <c r="F4" s="11">
        <v>230</v>
      </c>
      <c r="G4" s="2" t="s">
        <v>30</v>
      </c>
      <c r="H4" s="2" t="s">
        <v>0</v>
      </c>
    </row>
    <row r="5" spans="1:8" ht="15.75" customHeight="1" x14ac:dyDescent="0.25">
      <c r="A5" s="5">
        <v>111</v>
      </c>
      <c r="B5" s="4"/>
      <c r="C5" s="4"/>
      <c r="D5" s="4" t="s">
        <v>5</v>
      </c>
      <c r="E5" s="4" t="s">
        <v>1</v>
      </c>
      <c r="F5" s="11">
        <v>2298</v>
      </c>
      <c r="G5" s="2" t="s">
        <v>30</v>
      </c>
      <c r="H5" s="6" t="s">
        <v>0</v>
      </c>
    </row>
    <row r="6" spans="1:8" x14ac:dyDescent="0.25">
      <c r="A6" s="5">
        <v>111</v>
      </c>
      <c r="B6" s="4"/>
      <c r="C6" s="4"/>
      <c r="D6" s="4" t="s">
        <v>26</v>
      </c>
      <c r="E6" s="4" t="s">
        <v>1</v>
      </c>
      <c r="F6" s="11">
        <v>165</v>
      </c>
      <c r="G6" s="2" t="s">
        <v>30</v>
      </c>
      <c r="H6" s="6" t="s">
        <v>0</v>
      </c>
    </row>
    <row r="7" spans="1:8" x14ac:dyDescent="0.25">
      <c r="A7" s="5">
        <v>111</v>
      </c>
      <c r="B7" s="4"/>
      <c r="C7" s="4"/>
      <c r="D7" s="4" t="s">
        <v>26</v>
      </c>
      <c r="E7" s="4" t="s">
        <v>3</v>
      </c>
      <c r="F7" s="11">
        <v>691</v>
      </c>
      <c r="G7" s="2" t="s">
        <v>30</v>
      </c>
      <c r="H7" s="6" t="s">
        <v>0</v>
      </c>
    </row>
    <row r="8" spans="1:8" x14ac:dyDescent="0.25">
      <c r="A8" s="5">
        <v>111</v>
      </c>
      <c r="B8" s="4"/>
      <c r="C8" s="4"/>
      <c r="D8" s="4" t="s">
        <v>2</v>
      </c>
      <c r="E8" s="4" t="s">
        <v>1</v>
      </c>
      <c r="F8" s="11">
        <v>885</v>
      </c>
      <c r="G8" s="2" t="s">
        <v>30</v>
      </c>
      <c r="H8" s="2" t="s">
        <v>0</v>
      </c>
    </row>
    <row r="9" spans="1:8" x14ac:dyDescent="0.25">
      <c r="A9" s="12"/>
      <c r="B9" s="12"/>
      <c r="C9" s="12"/>
      <c r="D9" s="12"/>
      <c r="E9" s="13" t="s">
        <v>27</v>
      </c>
      <c r="F9" s="14">
        <f>SUM(F4:F8)</f>
        <v>4269</v>
      </c>
      <c r="G9" s="12"/>
      <c r="H9" s="12"/>
    </row>
  </sheetData>
  <mergeCells count="2">
    <mergeCell ref="A1:H1"/>
    <mergeCell ref="A2:H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"/>
  <sheetViews>
    <sheetView workbookViewId="0">
      <selection activeCell="I1" sqref="I1:K1048576"/>
    </sheetView>
  </sheetViews>
  <sheetFormatPr defaultRowHeight="15" x14ac:dyDescent="0.25"/>
  <cols>
    <col min="1" max="1" width="9.7109375" customWidth="1"/>
    <col min="2" max="2" width="9" customWidth="1"/>
    <col min="3" max="3" width="9.5703125" customWidth="1"/>
    <col min="4" max="4" width="13.7109375" customWidth="1"/>
    <col min="5" max="5" width="10.85546875" customWidth="1"/>
    <col min="6" max="6" width="9.140625" customWidth="1"/>
    <col min="7" max="7" width="13.42578125" customWidth="1"/>
    <col min="8" max="8" width="9.85546875" customWidth="1"/>
  </cols>
  <sheetData>
    <row r="1" spans="1:8" ht="15" customHeight="1" x14ac:dyDescent="0.25">
      <c r="A1" s="16" t="s">
        <v>16</v>
      </c>
      <c r="B1" s="16"/>
      <c r="C1" s="16"/>
      <c r="D1" s="16"/>
      <c r="E1" s="16"/>
      <c r="F1" s="16"/>
      <c r="G1" s="16"/>
      <c r="H1" s="17"/>
    </row>
    <row r="2" spans="1:8" ht="16.5" customHeight="1" x14ac:dyDescent="0.25">
      <c r="A2" s="18" t="s">
        <v>15</v>
      </c>
      <c r="B2" s="18"/>
      <c r="C2" s="18"/>
      <c r="D2" s="18"/>
      <c r="E2" s="18"/>
      <c r="F2" s="18"/>
      <c r="G2" s="18"/>
      <c r="H2" s="19"/>
    </row>
    <row r="3" spans="1:8" ht="48" customHeight="1" x14ac:dyDescent="0.25">
      <c r="A3" s="7" t="s">
        <v>14</v>
      </c>
      <c r="B3" s="7" t="s">
        <v>13</v>
      </c>
      <c r="C3" s="7" t="s">
        <v>12</v>
      </c>
      <c r="D3" s="7" t="s">
        <v>11</v>
      </c>
      <c r="E3" s="7" t="s">
        <v>10</v>
      </c>
      <c r="F3" s="7" t="s">
        <v>9</v>
      </c>
      <c r="G3" s="7" t="s">
        <v>8</v>
      </c>
      <c r="H3" s="7" t="s">
        <v>7</v>
      </c>
    </row>
    <row r="4" spans="1:8" ht="17.25" customHeight="1" x14ac:dyDescent="0.25">
      <c r="A4" s="5">
        <v>113</v>
      </c>
      <c r="B4" s="4"/>
      <c r="C4" s="4"/>
      <c r="D4" s="4" t="s">
        <v>5</v>
      </c>
      <c r="E4" s="4" t="s">
        <v>1</v>
      </c>
      <c r="F4" s="3">
        <v>288</v>
      </c>
      <c r="G4" s="2" t="s">
        <v>30</v>
      </c>
      <c r="H4" s="2" t="s">
        <v>0</v>
      </c>
    </row>
    <row r="5" spans="1:8" ht="15.75" customHeight="1" x14ac:dyDescent="0.25">
      <c r="A5" s="5">
        <v>113</v>
      </c>
      <c r="B5" s="4"/>
      <c r="C5" s="4"/>
      <c r="D5" s="4" t="s">
        <v>4</v>
      </c>
      <c r="E5" s="4" t="s">
        <v>1</v>
      </c>
      <c r="F5" s="3">
        <v>960</v>
      </c>
      <c r="G5" s="2" t="s">
        <v>30</v>
      </c>
      <c r="H5" s="6" t="s">
        <v>0</v>
      </c>
    </row>
    <row r="6" spans="1:8" x14ac:dyDescent="0.25">
      <c r="A6" s="5">
        <v>113</v>
      </c>
      <c r="B6" s="4"/>
      <c r="C6" s="4"/>
      <c r="D6" s="4" t="s">
        <v>2</v>
      </c>
      <c r="E6" s="4" t="s">
        <v>1</v>
      </c>
      <c r="F6" s="3">
        <v>288</v>
      </c>
      <c r="G6" s="2" t="s">
        <v>30</v>
      </c>
      <c r="H6" s="6" t="s">
        <v>0</v>
      </c>
    </row>
    <row r="7" spans="1:8" x14ac:dyDescent="0.25">
      <c r="E7" s="13" t="s">
        <v>27</v>
      </c>
      <c r="F7" s="14">
        <f>SUM(F2:F6)</f>
        <v>1536</v>
      </c>
    </row>
  </sheetData>
  <mergeCells count="2">
    <mergeCell ref="A1:H1"/>
    <mergeCell ref="A2:H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"/>
  <sheetViews>
    <sheetView workbookViewId="0">
      <selection activeCell="J1" sqref="J1:K1048576"/>
    </sheetView>
  </sheetViews>
  <sheetFormatPr defaultRowHeight="15" x14ac:dyDescent="0.25"/>
  <cols>
    <col min="1" max="1" width="9.7109375" customWidth="1"/>
    <col min="2" max="2" width="9" customWidth="1"/>
    <col min="3" max="3" width="9.5703125" customWidth="1"/>
    <col min="4" max="4" width="13.7109375" customWidth="1"/>
    <col min="5" max="5" width="10.42578125" customWidth="1"/>
    <col min="6" max="6" width="9.140625" customWidth="1"/>
    <col min="7" max="7" width="13.42578125" customWidth="1"/>
    <col min="8" max="8" width="9.85546875" customWidth="1"/>
  </cols>
  <sheetData>
    <row r="1" spans="1:8" ht="15" customHeight="1" x14ac:dyDescent="0.25">
      <c r="A1" s="16" t="s">
        <v>16</v>
      </c>
      <c r="B1" s="16"/>
      <c r="C1" s="16"/>
      <c r="D1" s="16"/>
      <c r="E1" s="16"/>
      <c r="F1" s="16"/>
      <c r="G1" s="16"/>
      <c r="H1" s="17"/>
    </row>
    <row r="2" spans="1:8" ht="16.5" customHeight="1" x14ac:dyDescent="0.25">
      <c r="A2" s="18" t="s">
        <v>15</v>
      </c>
      <c r="B2" s="18"/>
      <c r="C2" s="18"/>
      <c r="D2" s="18"/>
      <c r="E2" s="18"/>
      <c r="F2" s="18"/>
      <c r="G2" s="18"/>
      <c r="H2" s="19"/>
    </row>
    <row r="3" spans="1:8" ht="48" customHeight="1" x14ac:dyDescent="0.25">
      <c r="A3" s="7" t="s">
        <v>14</v>
      </c>
      <c r="B3" s="7" t="s">
        <v>13</v>
      </c>
      <c r="C3" s="7" t="s">
        <v>12</v>
      </c>
      <c r="D3" s="7" t="s">
        <v>11</v>
      </c>
      <c r="E3" s="7" t="s">
        <v>10</v>
      </c>
      <c r="F3" s="7" t="s">
        <v>9</v>
      </c>
      <c r="G3" s="7" t="s">
        <v>8</v>
      </c>
      <c r="H3" s="7" t="s">
        <v>7</v>
      </c>
    </row>
    <row r="4" spans="1:8" ht="17.25" customHeight="1" x14ac:dyDescent="0.25">
      <c r="A4" s="5">
        <v>115</v>
      </c>
      <c r="B4" s="4"/>
      <c r="C4" s="4"/>
      <c r="D4" s="4" t="s">
        <v>5</v>
      </c>
      <c r="E4" s="4" t="s">
        <v>1</v>
      </c>
      <c r="F4" s="11">
        <v>1253</v>
      </c>
      <c r="G4" s="2" t="s">
        <v>30</v>
      </c>
      <c r="H4" s="2" t="s">
        <v>0</v>
      </c>
    </row>
    <row r="5" spans="1:8" ht="15.75" customHeight="1" x14ac:dyDescent="0.25">
      <c r="A5" s="5">
        <v>115</v>
      </c>
      <c r="B5" s="4"/>
      <c r="C5" s="4"/>
      <c r="D5" s="4" t="s">
        <v>28</v>
      </c>
      <c r="E5" s="4" t="s">
        <v>1</v>
      </c>
      <c r="F5" s="11">
        <v>366</v>
      </c>
      <c r="G5" s="2" t="s">
        <v>30</v>
      </c>
      <c r="H5" s="6" t="s">
        <v>0</v>
      </c>
    </row>
    <row r="6" spans="1:8" x14ac:dyDescent="0.25">
      <c r="A6" s="5">
        <v>115</v>
      </c>
      <c r="B6" s="4"/>
      <c r="C6" s="4"/>
      <c r="D6" s="4" t="s">
        <v>2</v>
      </c>
      <c r="E6" s="4" t="s">
        <v>1</v>
      </c>
      <c r="F6" s="11">
        <v>232</v>
      </c>
      <c r="G6" s="2" t="s">
        <v>30</v>
      </c>
      <c r="H6" s="6" t="s">
        <v>0</v>
      </c>
    </row>
    <row r="7" spans="1:8" x14ac:dyDescent="0.25">
      <c r="A7" s="1"/>
      <c r="B7" s="1"/>
      <c r="C7" s="1"/>
      <c r="D7" s="1"/>
      <c r="E7" s="13" t="s">
        <v>27</v>
      </c>
      <c r="F7" s="14">
        <f>SUM(F2:F6)</f>
        <v>1851</v>
      </c>
      <c r="G7" s="1"/>
      <c r="H7" s="1"/>
    </row>
  </sheetData>
  <mergeCells count="2">
    <mergeCell ref="A1:H1"/>
    <mergeCell ref="A2:H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7"/>
  <sheetViews>
    <sheetView tabSelected="1" workbookViewId="0">
      <selection activeCell="J17" sqref="J17"/>
    </sheetView>
  </sheetViews>
  <sheetFormatPr defaultRowHeight="15" x14ac:dyDescent="0.25"/>
  <cols>
    <col min="1" max="1" width="9.7109375" customWidth="1"/>
    <col min="2" max="2" width="9" customWidth="1"/>
    <col min="3" max="3" width="9.5703125" customWidth="1"/>
    <col min="4" max="4" width="14" customWidth="1"/>
    <col min="5" max="5" width="11.5703125" customWidth="1"/>
    <col min="6" max="6" width="9.140625" customWidth="1"/>
    <col min="7" max="7" width="13.42578125" customWidth="1"/>
    <col min="8" max="8" width="9.85546875" customWidth="1"/>
  </cols>
  <sheetData>
    <row r="1" spans="1:8" ht="15" customHeight="1" x14ac:dyDescent="0.25">
      <c r="A1" s="16" t="s">
        <v>16</v>
      </c>
      <c r="B1" s="16"/>
      <c r="C1" s="16"/>
      <c r="D1" s="16"/>
      <c r="E1" s="16"/>
      <c r="F1" s="16"/>
      <c r="G1" s="16"/>
      <c r="H1" s="17"/>
    </row>
    <row r="2" spans="1:8" ht="16.5" customHeight="1" x14ac:dyDescent="0.25">
      <c r="A2" s="18" t="s">
        <v>15</v>
      </c>
      <c r="B2" s="18"/>
      <c r="C2" s="18"/>
      <c r="D2" s="18"/>
      <c r="E2" s="18"/>
      <c r="F2" s="18"/>
      <c r="G2" s="18"/>
      <c r="H2" s="19"/>
    </row>
    <row r="3" spans="1:8" ht="48" customHeight="1" x14ac:dyDescent="0.25">
      <c r="A3" s="7" t="s">
        <v>14</v>
      </c>
      <c r="B3" s="7" t="s">
        <v>13</v>
      </c>
      <c r="C3" s="7" t="s">
        <v>12</v>
      </c>
      <c r="D3" s="7" t="s">
        <v>11</v>
      </c>
      <c r="E3" s="7" t="s">
        <v>10</v>
      </c>
      <c r="F3" s="7" t="s">
        <v>9</v>
      </c>
      <c r="G3" s="7" t="s">
        <v>8</v>
      </c>
      <c r="H3" s="7" t="s">
        <v>7</v>
      </c>
    </row>
    <row r="4" spans="1:8" ht="17.25" customHeight="1" x14ac:dyDescent="0.25">
      <c r="A4" s="5">
        <v>314</v>
      </c>
      <c r="B4" s="4"/>
      <c r="C4" s="4"/>
      <c r="D4" s="4" t="s">
        <v>5</v>
      </c>
      <c r="E4" s="4" t="s">
        <v>1</v>
      </c>
      <c r="F4" s="3">
        <v>1060</v>
      </c>
      <c r="G4" s="2" t="s">
        <v>30</v>
      </c>
      <c r="H4" s="2" t="s">
        <v>0</v>
      </c>
    </row>
    <row r="5" spans="1:8" ht="15.75" customHeight="1" x14ac:dyDescent="0.25">
      <c r="A5" s="5">
        <v>314</v>
      </c>
      <c r="B5" s="4"/>
      <c r="C5" s="4"/>
      <c r="D5" s="4" t="s">
        <v>2</v>
      </c>
      <c r="E5" s="4" t="s">
        <v>1</v>
      </c>
      <c r="F5" s="3">
        <v>516</v>
      </c>
      <c r="G5" s="2" t="s">
        <v>30</v>
      </c>
      <c r="H5" s="6" t="s">
        <v>0</v>
      </c>
    </row>
    <row r="6" spans="1:8" x14ac:dyDescent="0.25">
      <c r="A6" s="5">
        <v>314</v>
      </c>
      <c r="B6" s="4"/>
      <c r="C6" s="4"/>
      <c r="D6" s="4" t="s">
        <v>4</v>
      </c>
      <c r="E6" s="4" t="s">
        <v>1</v>
      </c>
      <c r="F6" s="3">
        <v>457</v>
      </c>
      <c r="G6" s="2" t="s">
        <v>30</v>
      </c>
      <c r="H6" s="6" t="s">
        <v>0</v>
      </c>
    </row>
    <row r="7" spans="1:8" x14ac:dyDescent="0.25">
      <c r="E7" s="13" t="s">
        <v>27</v>
      </c>
      <c r="F7" s="14">
        <f>SUM(F2:F6)</f>
        <v>2033</v>
      </c>
    </row>
  </sheetData>
  <mergeCells count="2">
    <mergeCell ref="A1:H1"/>
    <mergeCell ref="A2:H2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8"/>
  <sheetViews>
    <sheetView workbookViewId="0">
      <selection activeCell="J1" sqref="J1:K1048576"/>
    </sheetView>
  </sheetViews>
  <sheetFormatPr defaultRowHeight="15" x14ac:dyDescent="0.25"/>
  <cols>
    <col min="1" max="1" width="9.7109375" customWidth="1"/>
    <col min="2" max="2" width="9" customWidth="1"/>
    <col min="3" max="3" width="9.5703125" customWidth="1"/>
    <col min="4" max="4" width="15.140625" customWidth="1"/>
    <col min="5" max="5" width="10.7109375" customWidth="1"/>
    <col min="6" max="6" width="9.140625" customWidth="1"/>
    <col min="7" max="7" width="13.42578125" customWidth="1"/>
    <col min="8" max="8" width="9.85546875" customWidth="1"/>
  </cols>
  <sheetData>
    <row r="1" spans="1:8" ht="15" customHeight="1" x14ac:dyDescent="0.25">
      <c r="A1" s="16" t="s">
        <v>16</v>
      </c>
      <c r="B1" s="16"/>
      <c r="C1" s="16"/>
      <c r="D1" s="16"/>
      <c r="E1" s="16"/>
      <c r="F1" s="16"/>
      <c r="G1" s="16"/>
      <c r="H1" s="17"/>
    </row>
    <row r="2" spans="1:8" ht="16.5" customHeight="1" x14ac:dyDescent="0.25">
      <c r="A2" s="18" t="s">
        <v>15</v>
      </c>
      <c r="B2" s="18"/>
      <c r="C2" s="18"/>
      <c r="D2" s="18"/>
      <c r="E2" s="18"/>
      <c r="F2" s="18"/>
      <c r="G2" s="18"/>
      <c r="H2" s="19"/>
    </row>
    <row r="3" spans="1:8" ht="48" customHeight="1" x14ac:dyDescent="0.25">
      <c r="A3" s="7" t="s">
        <v>14</v>
      </c>
      <c r="B3" s="7" t="s">
        <v>13</v>
      </c>
      <c r="C3" s="7" t="s">
        <v>12</v>
      </c>
      <c r="D3" s="7" t="s">
        <v>11</v>
      </c>
      <c r="E3" s="7" t="s">
        <v>10</v>
      </c>
      <c r="F3" s="7" t="s">
        <v>9</v>
      </c>
      <c r="G3" s="7" t="s">
        <v>8</v>
      </c>
      <c r="H3" s="7" t="s">
        <v>7</v>
      </c>
    </row>
    <row r="4" spans="1:8" ht="17.25" customHeight="1" x14ac:dyDescent="0.25">
      <c r="A4" s="5">
        <v>510</v>
      </c>
      <c r="B4" s="4"/>
      <c r="C4" s="4"/>
      <c r="D4" s="4" t="s">
        <v>19</v>
      </c>
      <c r="E4" s="4" t="s">
        <v>6</v>
      </c>
      <c r="F4" s="3">
        <v>125</v>
      </c>
      <c r="G4" s="2" t="s">
        <v>30</v>
      </c>
      <c r="H4" s="2" t="s">
        <v>0</v>
      </c>
    </row>
    <row r="5" spans="1:8" ht="15.75" customHeight="1" x14ac:dyDescent="0.25">
      <c r="A5" s="5">
        <v>510</v>
      </c>
      <c r="B5" s="4"/>
      <c r="C5" s="4"/>
      <c r="D5" s="4" t="s">
        <v>19</v>
      </c>
      <c r="E5" s="4" t="s">
        <v>1</v>
      </c>
      <c r="F5" s="3">
        <v>568</v>
      </c>
      <c r="G5" s="2" t="s">
        <v>30</v>
      </c>
      <c r="H5" s="6" t="s">
        <v>0</v>
      </c>
    </row>
    <row r="6" spans="1:8" x14ac:dyDescent="0.25">
      <c r="A6" s="5">
        <v>510</v>
      </c>
      <c r="B6" s="4"/>
      <c r="C6" s="4"/>
      <c r="D6" s="4" t="s">
        <v>18</v>
      </c>
      <c r="E6" s="4" t="s">
        <v>1</v>
      </c>
      <c r="F6" s="3">
        <v>971</v>
      </c>
      <c r="G6" s="2" t="s">
        <v>30</v>
      </c>
      <c r="H6" s="6" t="s">
        <v>0</v>
      </c>
    </row>
    <row r="7" spans="1:8" x14ac:dyDescent="0.25">
      <c r="A7" s="5">
        <v>510</v>
      </c>
      <c r="B7" s="4"/>
      <c r="C7" s="4"/>
      <c r="D7" s="4" t="s">
        <v>29</v>
      </c>
      <c r="E7" s="4" t="s">
        <v>1</v>
      </c>
      <c r="F7" s="3">
        <v>518</v>
      </c>
      <c r="G7" s="2" t="s">
        <v>30</v>
      </c>
      <c r="H7" s="6" t="s">
        <v>0</v>
      </c>
    </row>
    <row r="8" spans="1:8" x14ac:dyDescent="0.25">
      <c r="A8" s="1"/>
      <c r="B8" s="1"/>
      <c r="C8" s="1"/>
      <c r="D8" s="1"/>
      <c r="E8" s="13" t="s">
        <v>27</v>
      </c>
      <c r="F8" s="14">
        <f>SUM(F3:F7)</f>
        <v>2182</v>
      </c>
      <c r="G8" s="1"/>
      <c r="H8" s="1"/>
    </row>
  </sheetData>
  <mergeCells count="2">
    <mergeCell ref="A1:H1"/>
    <mergeCell ref="A2:H2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"/>
  <sheetViews>
    <sheetView workbookViewId="0">
      <selection activeCell="J1" sqref="J1:K1048576"/>
    </sheetView>
  </sheetViews>
  <sheetFormatPr defaultRowHeight="15" x14ac:dyDescent="0.25"/>
  <cols>
    <col min="1" max="1" width="9.7109375" customWidth="1"/>
    <col min="2" max="2" width="9" customWidth="1"/>
    <col min="3" max="3" width="9.5703125" customWidth="1"/>
    <col min="4" max="4" width="11.7109375" customWidth="1"/>
    <col min="5" max="5" width="10.140625" customWidth="1"/>
    <col min="6" max="6" width="9.140625" customWidth="1"/>
    <col min="7" max="7" width="13.42578125" customWidth="1"/>
    <col min="8" max="8" width="9.85546875" customWidth="1"/>
  </cols>
  <sheetData>
    <row r="1" spans="1:8" ht="15" customHeight="1" x14ac:dyDescent="0.25">
      <c r="A1" s="16" t="s">
        <v>16</v>
      </c>
      <c r="B1" s="16"/>
      <c r="C1" s="16"/>
      <c r="D1" s="16"/>
      <c r="E1" s="16"/>
      <c r="F1" s="16"/>
      <c r="G1" s="16"/>
      <c r="H1" s="17"/>
    </row>
    <row r="2" spans="1:8" ht="16.5" customHeight="1" x14ac:dyDescent="0.25">
      <c r="A2" s="18" t="s">
        <v>15</v>
      </c>
      <c r="B2" s="18"/>
      <c r="C2" s="18"/>
      <c r="D2" s="18"/>
      <c r="E2" s="18"/>
      <c r="F2" s="18"/>
      <c r="G2" s="18"/>
      <c r="H2" s="19"/>
    </row>
    <row r="3" spans="1:8" ht="48" customHeight="1" x14ac:dyDescent="0.25">
      <c r="A3" s="7" t="s">
        <v>14</v>
      </c>
      <c r="B3" s="7" t="s">
        <v>13</v>
      </c>
      <c r="C3" s="7" t="s">
        <v>12</v>
      </c>
      <c r="D3" s="7" t="s">
        <v>11</v>
      </c>
      <c r="E3" s="7" t="s">
        <v>10</v>
      </c>
      <c r="F3" s="7" t="s">
        <v>9</v>
      </c>
      <c r="G3" s="7" t="s">
        <v>8</v>
      </c>
      <c r="H3" s="7" t="s">
        <v>7</v>
      </c>
    </row>
    <row r="4" spans="1:8" ht="17.25" customHeight="1" x14ac:dyDescent="0.25">
      <c r="A4" s="10">
        <v>1470</v>
      </c>
      <c r="B4" s="9"/>
      <c r="C4" s="9"/>
      <c r="D4" s="9" t="s">
        <v>4</v>
      </c>
      <c r="E4" s="9" t="s">
        <v>1</v>
      </c>
      <c r="F4" s="8">
        <v>49</v>
      </c>
      <c r="G4" s="2" t="s">
        <v>30</v>
      </c>
      <c r="H4" s="2" t="s">
        <v>0</v>
      </c>
    </row>
    <row r="5" spans="1:8" x14ac:dyDescent="0.25">
      <c r="A5" s="1"/>
      <c r="B5" s="1"/>
      <c r="C5" s="1"/>
      <c r="D5" s="1"/>
      <c r="E5" s="13" t="s">
        <v>27</v>
      </c>
      <c r="F5" s="14">
        <f>SUM(F4)</f>
        <v>49</v>
      </c>
      <c r="G5" s="1"/>
      <c r="H5" s="1"/>
    </row>
  </sheetData>
  <mergeCells count="2">
    <mergeCell ref="A1:H1"/>
    <mergeCell ref="A2:H2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7"/>
  <sheetViews>
    <sheetView workbookViewId="0">
      <selection activeCell="J1" sqref="J1:K1048576"/>
    </sheetView>
  </sheetViews>
  <sheetFormatPr defaultRowHeight="15" x14ac:dyDescent="0.25"/>
  <cols>
    <col min="1" max="1" width="9.7109375" customWidth="1"/>
    <col min="2" max="2" width="9" customWidth="1"/>
    <col min="3" max="3" width="9.5703125" customWidth="1"/>
    <col min="4" max="4" width="15.42578125" customWidth="1"/>
    <col min="5" max="5" width="10.42578125" customWidth="1"/>
    <col min="6" max="6" width="9.140625" customWidth="1"/>
    <col min="7" max="7" width="13.42578125" customWidth="1"/>
    <col min="8" max="8" width="9.85546875" customWidth="1"/>
  </cols>
  <sheetData>
    <row r="1" spans="1:8" ht="15" customHeight="1" x14ac:dyDescent="0.25">
      <c r="A1" s="16" t="s">
        <v>16</v>
      </c>
      <c r="B1" s="16"/>
      <c r="C1" s="16"/>
      <c r="D1" s="16"/>
      <c r="E1" s="16"/>
      <c r="F1" s="16"/>
      <c r="G1" s="16"/>
      <c r="H1" s="17"/>
    </row>
    <row r="2" spans="1:8" ht="16.5" customHeight="1" x14ac:dyDescent="0.25">
      <c r="A2" s="18" t="s">
        <v>15</v>
      </c>
      <c r="B2" s="18"/>
      <c r="C2" s="18"/>
      <c r="D2" s="18"/>
      <c r="E2" s="18"/>
      <c r="F2" s="18"/>
      <c r="G2" s="18"/>
      <c r="H2" s="19"/>
    </row>
    <row r="3" spans="1:8" ht="48" customHeight="1" x14ac:dyDescent="0.25">
      <c r="A3" s="7" t="s">
        <v>14</v>
      </c>
      <c r="B3" s="7" t="s">
        <v>13</v>
      </c>
      <c r="C3" s="7" t="s">
        <v>12</v>
      </c>
      <c r="D3" s="7" t="s">
        <v>11</v>
      </c>
      <c r="E3" s="7" t="s">
        <v>10</v>
      </c>
      <c r="F3" s="7" t="s">
        <v>9</v>
      </c>
      <c r="G3" s="7" t="s">
        <v>8</v>
      </c>
      <c r="H3" s="7" t="s">
        <v>7</v>
      </c>
    </row>
    <row r="4" spans="1:8" ht="17.25" customHeight="1" x14ac:dyDescent="0.25">
      <c r="A4" s="10">
        <v>1703</v>
      </c>
      <c r="B4" s="9"/>
      <c r="C4" s="9"/>
      <c r="D4" s="9" t="s">
        <v>20</v>
      </c>
      <c r="E4" s="9" t="s">
        <v>1</v>
      </c>
      <c r="F4" s="8">
        <v>191</v>
      </c>
      <c r="G4" s="2" t="s">
        <v>30</v>
      </c>
      <c r="H4" s="2" t="s">
        <v>0</v>
      </c>
    </row>
    <row r="5" spans="1:8" ht="15.75" customHeight="1" x14ac:dyDescent="0.25">
      <c r="A5" s="10">
        <v>1703</v>
      </c>
      <c r="B5" s="9"/>
      <c r="C5" s="9"/>
      <c r="D5" s="9" t="s">
        <v>2</v>
      </c>
      <c r="E5" s="9" t="s">
        <v>1</v>
      </c>
      <c r="F5" s="8">
        <v>224</v>
      </c>
      <c r="G5" s="2" t="s">
        <v>30</v>
      </c>
      <c r="H5" s="6" t="s">
        <v>0</v>
      </c>
    </row>
    <row r="6" spans="1:8" x14ac:dyDescent="0.25">
      <c r="A6" s="10">
        <v>1703</v>
      </c>
      <c r="B6" s="9"/>
      <c r="C6" s="9"/>
      <c r="D6" s="9" t="s">
        <v>26</v>
      </c>
      <c r="E6" s="9" t="s">
        <v>1</v>
      </c>
      <c r="F6" s="8">
        <v>360</v>
      </c>
      <c r="G6" s="2" t="s">
        <v>30</v>
      </c>
      <c r="H6" s="6" t="s">
        <v>0</v>
      </c>
    </row>
    <row r="7" spans="1:8" x14ac:dyDescent="0.25">
      <c r="A7" s="1"/>
      <c r="B7" s="1"/>
      <c r="C7" s="1"/>
      <c r="D7" s="1"/>
      <c r="E7" s="13" t="s">
        <v>27</v>
      </c>
      <c r="F7" s="14">
        <f>SUM(F4:F6)</f>
        <v>775</v>
      </c>
      <c r="G7" s="1"/>
      <c r="H7" s="1"/>
    </row>
  </sheetData>
  <mergeCells count="2">
    <mergeCell ref="A1:H1"/>
    <mergeCell ref="A2:H2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6"/>
  <sheetViews>
    <sheetView workbookViewId="0">
      <selection activeCell="J1" sqref="J1:K1048576"/>
    </sheetView>
  </sheetViews>
  <sheetFormatPr defaultRowHeight="15" x14ac:dyDescent="0.25"/>
  <cols>
    <col min="1" max="1" width="9.7109375" customWidth="1"/>
    <col min="2" max="2" width="9" customWidth="1"/>
    <col min="3" max="3" width="9.5703125" customWidth="1"/>
    <col min="4" max="4" width="13" customWidth="1"/>
    <col min="5" max="5" width="11.140625" customWidth="1"/>
    <col min="6" max="6" width="9.140625" customWidth="1"/>
    <col min="7" max="7" width="13.42578125" customWidth="1"/>
    <col min="8" max="8" width="9.85546875" customWidth="1"/>
  </cols>
  <sheetData>
    <row r="1" spans="1:8" ht="15" customHeight="1" x14ac:dyDescent="0.25">
      <c r="A1" s="16" t="s">
        <v>16</v>
      </c>
      <c r="B1" s="16"/>
      <c r="C1" s="16"/>
      <c r="D1" s="16"/>
      <c r="E1" s="16"/>
      <c r="F1" s="16"/>
      <c r="G1" s="16"/>
      <c r="H1" s="17"/>
    </row>
    <row r="2" spans="1:8" ht="16.5" customHeight="1" x14ac:dyDescent="0.25">
      <c r="A2" s="18" t="s">
        <v>15</v>
      </c>
      <c r="B2" s="18"/>
      <c r="C2" s="18"/>
      <c r="D2" s="18"/>
      <c r="E2" s="18"/>
      <c r="F2" s="18"/>
      <c r="G2" s="18"/>
      <c r="H2" s="19"/>
    </row>
    <row r="3" spans="1:8" ht="48" customHeight="1" x14ac:dyDescent="0.25">
      <c r="A3" s="7" t="s">
        <v>14</v>
      </c>
      <c r="B3" s="7" t="s">
        <v>13</v>
      </c>
      <c r="C3" s="7" t="s">
        <v>12</v>
      </c>
      <c r="D3" s="7" t="s">
        <v>11</v>
      </c>
      <c r="E3" s="7" t="s">
        <v>10</v>
      </c>
      <c r="F3" s="7" t="s">
        <v>9</v>
      </c>
      <c r="G3" s="7" t="s">
        <v>8</v>
      </c>
      <c r="H3" s="7" t="s">
        <v>7</v>
      </c>
    </row>
    <row r="4" spans="1:8" ht="17.25" customHeight="1" x14ac:dyDescent="0.25">
      <c r="A4" s="10">
        <v>3154</v>
      </c>
      <c r="B4" s="9"/>
      <c r="C4" s="9"/>
      <c r="D4" s="9" t="s">
        <v>22</v>
      </c>
      <c r="E4" s="9" t="s">
        <v>21</v>
      </c>
      <c r="F4" s="15">
        <v>1008</v>
      </c>
      <c r="G4" s="2" t="s">
        <v>30</v>
      </c>
      <c r="H4" s="2" t="s">
        <v>0</v>
      </c>
    </row>
    <row r="5" spans="1:8" ht="15.75" customHeight="1" x14ac:dyDescent="0.25">
      <c r="A5" s="10">
        <v>3154</v>
      </c>
      <c r="B5" s="9"/>
      <c r="C5" s="9"/>
      <c r="D5" s="9" t="s">
        <v>17</v>
      </c>
      <c r="E5" s="9" t="s">
        <v>21</v>
      </c>
      <c r="F5" s="15">
        <v>64</v>
      </c>
      <c r="G5" s="2" t="s">
        <v>30</v>
      </c>
      <c r="H5" s="6" t="s">
        <v>0</v>
      </c>
    </row>
    <row r="6" spans="1:8" x14ac:dyDescent="0.25">
      <c r="A6" s="1"/>
      <c r="B6" s="1"/>
      <c r="C6" s="1"/>
      <c r="D6" s="1"/>
      <c r="E6" s="13" t="s">
        <v>27</v>
      </c>
      <c r="F6" s="14">
        <f>SUM(F3:F5)</f>
        <v>1072</v>
      </c>
      <c r="G6" s="1"/>
      <c r="H6" s="1"/>
    </row>
  </sheetData>
  <mergeCells count="2">
    <mergeCell ref="A1:H1"/>
    <mergeCell ref="A2:H2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9"/>
  <sheetViews>
    <sheetView workbookViewId="0">
      <selection activeCell="J1" sqref="J1:K1048576"/>
    </sheetView>
  </sheetViews>
  <sheetFormatPr defaultRowHeight="15" x14ac:dyDescent="0.25"/>
  <cols>
    <col min="1" max="1" width="9.7109375" customWidth="1"/>
    <col min="2" max="2" width="9" customWidth="1"/>
    <col min="3" max="3" width="9.5703125" customWidth="1"/>
    <col min="4" max="4" width="14.42578125" customWidth="1"/>
    <col min="5" max="5" width="10.42578125" customWidth="1"/>
    <col min="6" max="6" width="9.140625" customWidth="1"/>
    <col min="7" max="7" width="13.42578125" customWidth="1"/>
    <col min="8" max="8" width="9.85546875" customWidth="1"/>
  </cols>
  <sheetData>
    <row r="1" spans="1:8" ht="15" customHeight="1" x14ac:dyDescent="0.25">
      <c r="A1" s="16" t="s">
        <v>16</v>
      </c>
      <c r="B1" s="16"/>
      <c r="C1" s="16"/>
      <c r="D1" s="16"/>
      <c r="E1" s="16"/>
      <c r="F1" s="16"/>
      <c r="G1" s="16"/>
      <c r="H1" s="17"/>
    </row>
    <row r="2" spans="1:8" ht="16.5" customHeight="1" x14ac:dyDescent="0.25">
      <c r="A2" s="18" t="s">
        <v>15</v>
      </c>
      <c r="B2" s="18"/>
      <c r="C2" s="18"/>
      <c r="D2" s="18"/>
      <c r="E2" s="18"/>
      <c r="F2" s="18"/>
      <c r="G2" s="18"/>
      <c r="H2" s="19"/>
    </row>
    <row r="3" spans="1:8" ht="48" customHeight="1" x14ac:dyDescent="0.25">
      <c r="A3" s="7" t="s">
        <v>14</v>
      </c>
      <c r="B3" s="7" t="s">
        <v>13</v>
      </c>
      <c r="C3" s="7" t="s">
        <v>12</v>
      </c>
      <c r="D3" s="7" t="s">
        <v>11</v>
      </c>
      <c r="E3" s="7" t="s">
        <v>10</v>
      </c>
      <c r="F3" s="7" t="s">
        <v>9</v>
      </c>
      <c r="G3" s="7" t="s">
        <v>8</v>
      </c>
      <c r="H3" s="7" t="s">
        <v>7</v>
      </c>
    </row>
    <row r="4" spans="1:8" ht="17.25" customHeight="1" x14ac:dyDescent="0.25">
      <c r="A4" s="10">
        <v>3162</v>
      </c>
      <c r="B4" s="9"/>
      <c r="C4" s="9"/>
      <c r="D4" s="9" t="s">
        <v>5</v>
      </c>
      <c r="E4" s="9" t="s">
        <v>6</v>
      </c>
      <c r="F4" s="15">
        <v>5172</v>
      </c>
      <c r="G4" s="2" t="s">
        <v>30</v>
      </c>
      <c r="H4" s="2" t="s">
        <v>0</v>
      </c>
    </row>
    <row r="5" spans="1:8" ht="15.75" customHeight="1" x14ac:dyDescent="0.25">
      <c r="A5" s="10">
        <v>3162</v>
      </c>
      <c r="B5" s="9"/>
      <c r="C5" s="9"/>
      <c r="D5" s="9" t="s">
        <v>24</v>
      </c>
      <c r="E5" s="9" t="s">
        <v>21</v>
      </c>
      <c r="F5" s="15">
        <v>105</v>
      </c>
      <c r="G5" s="2" t="s">
        <v>30</v>
      </c>
      <c r="H5" s="2" t="s">
        <v>0</v>
      </c>
    </row>
    <row r="6" spans="1:8" x14ac:dyDescent="0.25">
      <c r="A6" s="10">
        <v>3162</v>
      </c>
      <c r="B6" s="9"/>
      <c r="C6" s="9"/>
      <c r="D6" s="9" t="s">
        <v>29</v>
      </c>
      <c r="E6" s="9" t="s">
        <v>21</v>
      </c>
      <c r="F6" s="15">
        <v>474</v>
      </c>
      <c r="G6" s="2" t="s">
        <v>30</v>
      </c>
      <c r="H6" s="2" t="s">
        <v>0</v>
      </c>
    </row>
    <row r="7" spans="1:8" x14ac:dyDescent="0.25">
      <c r="A7" s="10">
        <v>3162</v>
      </c>
      <c r="B7" s="9"/>
      <c r="C7" s="9"/>
      <c r="D7" s="9" t="s">
        <v>23</v>
      </c>
      <c r="E7" s="9" t="s">
        <v>21</v>
      </c>
      <c r="F7" s="15">
        <v>307</v>
      </c>
      <c r="G7" s="2" t="s">
        <v>30</v>
      </c>
      <c r="H7" s="2" t="s">
        <v>0</v>
      </c>
    </row>
    <row r="8" spans="1:8" x14ac:dyDescent="0.25">
      <c r="A8" s="10">
        <v>3162</v>
      </c>
      <c r="B8" s="9"/>
      <c r="C8" s="9"/>
      <c r="D8" s="9" t="s">
        <v>2</v>
      </c>
      <c r="E8" s="9" t="s">
        <v>21</v>
      </c>
      <c r="F8" s="15">
        <v>207</v>
      </c>
      <c r="G8" s="2" t="s">
        <v>30</v>
      </c>
      <c r="H8" s="2" t="s">
        <v>0</v>
      </c>
    </row>
    <row r="9" spans="1:8" x14ac:dyDescent="0.25">
      <c r="A9" s="1"/>
      <c r="B9" s="1"/>
      <c r="C9" s="1"/>
      <c r="D9" s="1"/>
      <c r="E9" s="13" t="s">
        <v>27</v>
      </c>
      <c r="F9" s="14">
        <f>SUM(F4:F8)</f>
        <v>6265</v>
      </c>
      <c r="G9" s="1"/>
      <c r="H9" s="1"/>
    </row>
  </sheetData>
  <mergeCells count="2">
    <mergeCell ref="A1:H1"/>
    <mergeCell ref="A2:H2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6"/>
  <sheetViews>
    <sheetView workbookViewId="0">
      <selection activeCell="N5" sqref="N5"/>
    </sheetView>
  </sheetViews>
  <sheetFormatPr defaultRowHeight="15" x14ac:dyDescent="0.25"/>
  <cols>
    <col min="1" max="1" width="9.7109375" customWidth="1"/>
    <col min="2" max="2" width="9" customWidth="1"/>
    <col min="3" max="3" width="9.5703125" customWidth="1"/>
    <col min="4" max="4" width="12.7109375" customWidth="1"/>
    <col min="5" max="5" width="10.7109375" customWidth="1"/>
    <col min="6" max="6" width="9.140625" customWidth="1"/>
    <col min="7" max="7" width="13.42578125" customWidth="1"/>
    <col min="8" max="8" width="9.85546875" customWidth="1"/>
  </cols>
  <sheetData>
    <row r="1" spans="1:8" ht="15" customHeight="1" x14ac:dyDescent="0.25">
      <c r="A1" s="16" t="s">
        <v>16</v>
      </c>
      <c r="B1" s="16"/>
      <c r="C1" s="16"/>
      <c r="D1" s="16"/>
      <c r="E1" s="16"/>
      <c r="F1" s="16"/>
      <c r="G1" s="16"/>
      <c r="H1" s="17"/>
    </row>
    <row r="2" spans="1:8" ht="16.5" customHeight="1" x14ac:dyDescent="0.25">
      <c r="A2" s="18" t="s">
        <v>15</v>
      </c>
      <c r="B2" s="18"/>
      <c r="C2" s="18"/>
      <c r="D2" s="18"/>
      <c r="E2" s="18"/>
      <c r="F2" s="18"/>
      <c r="G2" s="18"/>
      <c r="H2" s="19"/>
    </row>
    <row r="3" spans="1:8" ht="48" customHeight="1" x14ac:dyDescent="0.25">
      <c r="A3" s="7" t="s">
        <v>14</v>
      </c>
      <c r="B3" s="7" t="s">
        <v>13</v>
      </c>
      <c r="C3" s="7" t="s">
        <v>12</v>
      </c>
      <c r="D3" s="7" t="s">
        <v>11</v>
      </c>
      <c r="E3" s="7" t="s">
        <v>10</v>
      </c>
      <c r="F3" s="7" t="s">
        <v>9</v>
      </c>
      <c r="G3" s="7" t="s">
        <v>8</v>
      </c>
      <c r="H3" s="7" t="s">
        <v>7</v>
      </c>
    </row>
    <row r="4" spans="1:8" ht="17.25" customHeight="1" x14ac:dyDescent="0.25">
      <c r="A4" s="10">
        <v>3163</v>
      </c>
      <c r="B4" s="9"/>
      <c r="C4" s="9"/>
      <c r="D4" s="9" t="s">
        <v>25</v>
      </c>
      <c r="E4" s="9" t="s">
        <v>3</v>
      </c>
      <c r="F4" s="8">
        <v>315</v>
      </c>
      <c r="G4" s="2" t="s">
        <v>30</v>
      </c>
      <c r="H4" s="2" t="s">
        <v>0</v>
      </c>
    </row>
    <row r="5" spans="1:8" ht="15.75" customHeight="1" x14ac:dyDescent="0.25">
      <c r="A5" s="10">
        <v>3163</v>
      </c>
      <c r="B5" s="9"/>
      <c r="C5" s="9"/>
      <c r="D5" s="9" t="s">
        <v>4</v>
      </c>
      <c r="E5" s="9" t="s">
        <v>3</v>
      </c>
      <c r="F5" s="8">
        <v>64</v>
      </c>
      <c r="G5" s="2" t="s">
        <v>30</v>
      </c>
      <c r="H5" s="6" t="s">
        <v>0</v>
      </c>
    </row>
    <row r="6" spans="1:8" ht="14.25" customHeight="1" x14ac:dyDescent="0.25">
      <c r="A6" s="1"/>
      <c r="B6" s="1"/>
      <c r="C6" s="1"/>
      <c r="D6" s="1"/>
      <c r="E6" s="13" t="s">
        <v>27</v>
      </c>
      <c r="F6" s="14">
        <f>SUM(F1:F5)</f>
        <v>379</v>
      </c>
      <c r="G6" s="1"/>
      <c r="H6" s="1"/>
    </row>
  </sheetData>
  <mergeCells count="2">
    <mergeCell ref="A1:H1"/>
    <mergeCell ref="A2:H2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B43733C617904C85E87075094A409A" ma:contentTypeVersion="6" ma:contentTypeDescription="Create a new document." ma:contentTypeScope="" ma:versionID="73e35a35c2c7f214fbb5e56dbb63a6c9">
  <xsd:schema xmlns:xsd="http://www.w3.org/2001/XMLSchema" xmlns:xs="http://www.w3.org/2001/XMLSchema" xmlns:p="http://schemas.microsoft.com/office/2006/metadata/properties" xmlns:ns2="df973e7e-d561-4bdc-82b8-7e03e279031b" xmlns:ns3="f983c02f-8e4c-413e-8233-61a43bac8b22" targetNamespace="http://schemas.microsoft.com/office/2006/metadata/properties" ma:root="true" ma:fieldsID="4865145f4f5b251e151e367a266d7e2a" ns2:_="" ns3:_="">
    <xsd:import namespace="df973e7e-d561-4bdc-82b8-7e03e279031b"/>
    <xsd:import namespace="f983c02f-8e4c-413e-8233-61a43bac8b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973e7e-d561-4bdc-82b8-7e03e27903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83c02f-8e4c-413e-8233-61a43bac8b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14DC100-2183-45F4-AD13-44EC5CC80699}"/>
</file>

<file path=customXml/itemProps2.xml><?xml version="1.0" encoding="utf-8"?>
<ds:datastoreItem xmlns:ds="http://schemas.openxmlformats.org/officeDocument/2006/customXml" ds:itemID="{1197630A-1809-4413-A900-FD3C686FA134}"/>
</file>

<file path=customXml/itemProps3.xml><?xml version="1.0" encoding="utf-8"?>
<ds:datastoreItem xmlns:ds="http://schemas.openxmlformats.org/officeDocument/2006/customXml" ds:itemID="{CB5B8AFB-F153-464E-AC6F-7535C7C848A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BLDG 111</vt:lpstr>
      <vt:lpstr>BLDG 113</vt:lpstr>
      <vt:lpstr>BLDG 115</vt:lpstr>
      <vt:lpstr>BLDG 314</vt:lpstr>
      <vt:lpstr>BLDG 510</vt:lpstr>
      <vt:lpstr>BLDG 1470</vt:lpstr>
      <vt:lpstr>BLDG 1703</vt:lpstr>
      <vt:lpstr>BLDG 3154</vt:lpstr>
      <vt:lpstr>BLDG 3162</vt:lpstr>
      <vt:lpstr>BLDG 3163</vt:lpstr>
    </vt:vector>
  </TitlesOfParts>
  <Company>NMCI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Lacidonia, Roxanne L CIV NAVFAC, N40080</dc:creator>
  <cp:lastModifiedBy>Goldsmith, Thomas L CIV USN NAVSUPPACT SOPOT VA (USA)</cp:lastModifiedBy>
  <dcterms:created xsi:type="dcterms:W3CDTF">2017-08-28T19:49:50Z</dcterms:created>
  <dcterms:modified xsi:type="dcterms:W3CDTF">2024-03-08T17:01:21Z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0x01010030B43733C617904C85E87075094A409A</vt:lpwstr>
  </property>
</Properties>
</file>