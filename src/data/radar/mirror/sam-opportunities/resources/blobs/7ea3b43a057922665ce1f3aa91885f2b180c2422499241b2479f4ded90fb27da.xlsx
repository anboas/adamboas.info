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flankspeed-my.sharepoint-mil.us/personal/noni_p_arcilla_civ_us_navy_mil/Documents/Current contracts/20260002027 BA FLIGHT SUITS/Section 2 - Solicitation Phase/RFQ wirh Exhibits &amp; Attachments/"/>
    </mc:Choice>
  </mc:AlternateContent>
  <xr:revisionPtr revIDLastSave="929" documentId="13_ncr:1_{3EB754DA-6FF1-2044-8023-416BFB9939BB}" xr6:coauthVersionLast="47" xr6:coauthVersionMax="47" xr10:uidLastSave="{88675461-AE3F-48DA-8154-84B2F598BFC1}"/>
  <bookViews>
    <workbookView xWindow="28680" yWindow="1920" windowWidth="29040" windowHeight="15510" xr2:uid="{F9854E19-5ADA-1340-9164-23B2DADB7BFE}"/>
  </bookViews>
  <sheets>
    <sheet name="Price Quo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4" i="1" l="1"/>
  <c r="Z10" i="1"/>
  <c r="Z9" i="1"/>
  <c r="Z8" i="1"/>
  <c r="W9" i="1"/>
  <c r="W8" i="1"/>
  <c r="W10" i="1"/>
  <c r="S10" i="1"/>
  <c r="S9" i="1"/>
  <c r="S8" i="1"/>
  <c r="G9" i="1"/>
  <c r="G10" i="1"/>
  <c r="G11" i="1"/>
  <c r="K11" i="1"/>
  <c r="O11" i="1"/>
  <c r="O10" i="1"/>
  <c r="O9" i="1"/>
  <c r="O8" i="1"/>
  <c r="K10" i="1"/>
  <c r="K9" i="1"/>
  <c r="K8" i="1"/>
  <c r="G8" i="1"/>
  <c r="W11" i="1" l="1"/>
  <c r="S11" i="1"/>
  <c r="W6" i="1"/>
  <c r="S6" i="1"/>
  <c r="O6" i="1"/>
  <c r="K6" i="1"/>
  <c r="G6" i="1"/>
  <c r="Z11" i="1" l="1"/>
  <c r="Z6" i="1"/>
</calcChain>
</file>

<file path=xl/sharedStrings.xml><?xml version="1.0" encoding="utf-8"?>
<sst xmlns="http://schemas.openxmlformats.org/spreadsheetml/2006/main" count="83" uniqueCount="41">
  <si>
    <t>PRICE QUOTE FOR THE BASE IDIQ CONTRACT</t>
  </si>
  <si>
    <t>First Year
30 June 2026 - 29 June 2027</t>
  </si>
  <si>
    <t>Second Year
30 June 2027 - 29 June 2028</t>
  </si>
  <si>
    <t>Third Year
30 June 2028 - 29 June 2029</t>
  </si>
  <si>
    <t>Fourth Year
30 June 2029 - 29 June 2030</t>
  </si>
  <si>
    <t>Fifth Year
30 June 2030 - 29 June 2031</t>
  </si>
  <si>
    <t>Total for Entire Ordering Period</t>
  </si>
  <si>
    <t>Contract Line Item Number (CLIN)</t>
  </si>
  <si>
    <t xml:space="preserve">Item Description </t>
  </si>
  <si>
    <t>Extended Description</t>
  </si>
  <si>
    <t>Maximum Quantity</t>
  </si>
  <si>
    <t>Unit Price</t>
  </si>
  <si>
    <t>Amount</t>
  </si>
  <si>
    <t>Total Maximum Quantity</t>
  </si>
  <si>
    <t>Total Amount</t>
  </si>
  <si>
    <t>0001</t>
  </si>
  <si>
    <t>Construction of Flight Suits</t>
  </si>
  <si>
    <t>Construction of gender-specific ceremonial flight suit uniforms for the Blue Angels, which include Royal Blue, Navy Blue, and Yellow Anniversary Flight Suits in accordance with the Specifications in the Statement of Work (SOW). The unit price denotes the price to construct one flight suit. The exact quantities of each color needed will be identified at the task order level.</t>
  </si>
  <si>
    <t>0002</t>
  </si>
  <si>
    <t>Alterations and Repair of Flight Suits</t>
  </si>
  <si>
    <t>0003</t>
  </si>
  <si>
    <t>Travel</t>
  </si>
  <si>
    <t>The price of travel from the vendor location to the Navy Flight Demonstration Squadron (NFDS) to perform measurements and fittings. The total maximum number of trips per year is four (4). The unit price denotes the price of travel for one trip to NFDS, in accordance with the Joint Travel Regulations (JTR).</t>
  </si>
  <si>
    <t>0004</t>
  </si>
  <si>
    <t>Contract Data Requirements Lists (CDRLs)</t>
  </si>
  <si>
    <t>In accordance with the following:
- Exhibit (D) - CDRL A001: Property Control Plan
- Exhibit (E) - CDRL A002: Flight Suit Technical Data Package (TDP)
This CLIN is Not Separately Priced (NSP).</t>
  </si>
  <si>
    <t>Not Applicable: This CLIN is Not Separately Priced (NSP).</t>
  </si>
  <si>
    <t>Not Applicable</t>
  </si>
  <si>
    <t>TOTAL PRICE FOR ENTIRE ORDERING PERIOD OF IDIQ CONTRACT =</t>
  </si>
  <si>
    <t>Unit of Measurement</t>
  </si>
  <si>
    <t>EACH</t>
  </si>
  <si>
    <t>Not a Separate CLIN</t>
  </si>
  <si>
    <t>Alterations and repair of flight suits. There are three categories of alterations/repair: Simple, Moderate, and Complex, which are described in the next three rows (i.e., Rows 8-10).</t>
  </si>
  <si>
    <t>Simple Alterations/Repair</t>
  </si>
  <si>
    <t>Moderate Alterations/Repair</t>
  </si>
  <si>
    <t>Complex Alterations/Repair</t>
  </si>
  <si>
    <t>Includes routine repairs such as seam repair, stitching fixes, or hemming of legs and sleeves. Work is typically completed in less than one (1) hour.</t>
  </si>
  <si>
    <t>Includes replacement of an existing uniform panel without altering the original design template. Work is typically completed in one (1) to five (5) hours.</t>
  </si>
  <si>
    <t>Includes complex alterations to correct the original template, followed by the replacement of the panel. Work typically requires five (5) or more hours.</t>
  </si>
  <si>
    <t>HOURS</t>
  </si>
  <si>
    <r>
      <rPr>
        <b/>
        <u/>
        <sz val="11"/>
        <rFont val="Times New Roman"/>
        <family val="1"/>
      </rPr>
      <t>Instructions to Quoters</t>
    </r>
    <r>
      <rPr>
        <b/>
        <sz val="11"/>
        <rFont val="Times New Roman"/>
        <family val="1"/>
      </rPr>
      <t>:</t>
    </r>
    <r>
      <rPr>
        <sz val="11"/>
        <rFont val="Times New Roman"/>
        <family val="1"/>
      </rPr>
      <t xml:space="preserve">
Fill out all cells highlighted in BLUE. These indicate the unit price of an item for a particular performance year. ****Do not fill in anything that is not highlighted in blue, as these cells will automatically be calculated.**** Below is an explanation of the blue-highlighted cells as it pertains to each Item Description:
- For CLIN 0001: Construction of Flight Suits, the blue cells denote the price it takes to construct one flight suit. </t>
    </r>
    <r>
      <rPr>
        <b/>
        <sz val="11"/>
        <rFont val="Times New Roman"/>
        <family val="1"/>
      </rPr>
      <t>The total maximum price of CLIN 0001 in the IDIQ contract will be in cell Z6.</t>
    </r>
    <r>
      <rPr>
        <sz val="11"/>
        <rFont val="Times New Roman"/>
        <family val="1"/>
      </rPr>
      <t xml:space="preserve">
- CLIN 0002 will be calculated based on simple, moderate, and complex alterations/repairs (i.e., Rows 8-10 of this spreadsheet). The blue cells denote the price per hour to perform a simple, moderate, and complex alteration/repair. </t>
    </r>
    <r>
      <rPr>
        <b/>
        <sz val="11"/>
        <rFont val="Times New Roman"/>
        <family val="1"/>
      </rPr>
      <t>The total maximum price of CLIN 0002 in the IDIQ contract will be the sum of cells Z8, Z9, and Z10.</t>
    </r>
    <r>
      <rPr>
        <sz val="11"/>
        <rFont val="Times New Roman"/>
        <family val="1"/>
      </rPr>
      <t xml:space="preserve">
- For CLIN 0003: Travel, the blue cells denote the price related to one trip from the vendor location to the Navy Flight Demonstration Squadron (NFDS). </t>
    </r>
    <r>
      <rPr>
        <b/>
        <sz val="11"/>
        <rFont val="Times New Roman"/>
        <family val="1"/>
      </rPr>
      <t>The total maximum price of CLIN 0003 in the IDIQ contract will be in cell Z11.</t>
    </r>
    <r>
      <rPr>
        <sz val="11"/>
        <rFont val="Times New Roman"/>
        <family val="1"/>
      </rPr>
      <t xml:space="preserve">
</t>
    </r>
    <r>
      <rPr>
        <b/>
        <u/>
        <sz val="11"/>
        <rFont val="Times New Roman"/>
        <family val="1"/>
      </rPr>
      <t>Ordering off the IDIQ Contract</t>
    </r>
    <r>
      <rPr>
        <sz val="11"/>
        <rFont val="Times New Roman"/>
        <family val="1"/>
      </rPr>
      <t>: When placing an order off this IDIQ contract, the prices of the items ordered shall not exceed the unit price of that item specified in this IDIQ contract pricing spreadsheet for the Performance Period in which the order is placed (i.e., the filled-in cells highlighted in blue). However, in terms of the annual total amounts, the Government may exceed the total amount for an item in any given year, so long as the total cumulative value ordered for that item does not surpass its total maximum amount specified in Column Z. The Ordering Period is from 30 June 2026 to 29 June 2031.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</si>
</sst>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7" x14ac:knownFonts="1">
    <font>
      <sz val="12"/>
      <color theme="1"/>
      <name val="Calibri"/>
      <family val="2"/>
      <scheme val="minor"/>
    </font>
    <font>
      <sz val="12"/>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b/>
      <u/>
      <sz val="10"/>
      <color theme="1"/>
      <name val="Times New Roman"/>
      <family val="1"/>
    </font>
    <font>
      <b/>
      <sz val="12"/>
      <color theme="0"/>
      <name val="Times New Roman"/>
      <family val="1"/>
    </font>
    <font>
      <sz val="9"/>
      <color theme="1"/>
      <name val="Times New Roman"/>
      <family val="1"/>
    </font>
    <font>
      <b/>
      <u/>
      <sz val="9"/>
      <color theme="1"/>
      <name val="Times New Roman"/>
      <family val="1"/>
    </font>
    <font>
      <sz val="12"/>
      <color theme="1"/>
      <name val="Times New Roman"/>
      <family val="1"/>
    </font>
    <font>
      <b/>
      <sz val="12"/>
      <color rgb="FF000000"/>
      <name val="Times New Roman"/>
      <family val="1"/>
    </font>
    <font>
      <b/>
      <u/>
      <sz val="12"/>
      <color theme="1"/>
      <name val="Times New Roman"/>
      <family val="1"/>
    </font>
    <font>
      <b/>
      <sz val="12"/>
      <color theme="1"/>
      <name val="Times New Roman"/>
      <family val="1"/>
    </font>
    <font>
      <sz val="12"/>
      <color theme="0"/>
      <name val="Times New Roman"/>
      <family val="1"/>
    </font>
    <font>
      <sz val="11"/>
      <name val="Times New Roman"/>
      <family val="1"/>
    </font>
    <font>
      <b/>
      <sz val="11"/>
      <name val="Times New Roman"/>
      <family val="1"/>
    </font>
    <font>
      <b/>
      <u/>
      <sz val="11"/>
      <name val="Times New Roman"/>
      <family val="1"/>
    </font>
  </fonts>
  <fills count="9">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1"/>
        <bgColor indexed="64"/>
      </patternFill>
    </fill>
    <fill>
      <patternFill patternType="solid">
        <fgColor theme="5" tint="0.39997558519241921"/>
        <bgColor indexed="64"/>
      </patternFill>
    </fill>
    <fill>
      <patternFill patternType="solid">
        <fgColor theme="5" tint="0.59999389629810485"/>
        <bgColor indexed="64"/>
      </patternFill>
    </fill>
  </fills>
  <borders count="37">
    <border>
      <left/>
      <right/>
      <top/>
      <bottom/>
      <diagonal/>
    </border>
    <border>
      <left/>
      <right/>
      <top style="thick">
        <color indexed="64"/>
      </top>
      <bottom/>
      <diagonal/>
    </border>
    <border>
      <left/>
      <right/>
      <top style="thin">
        <color indexed="64"/>
      </top>
      <bottom/>
      <diagonal/>
    </border>
    <border>
      <left/>
      <right/>
      <top/>
      <bottom style="thick">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n">
        <color indexed="64"/>
      </left>
      <right style="thick">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ck">
        <color indexed="64"/>
      </top>
      <bottom style="thick">
        <color indexed="64"/>
      </bottom>
      <diagonal/>
    </border>
    <border>
      <left/>
      <right style="thick">
        <color indexed="64"/>
      </right>
      <top style="medium">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ck">
        <color indexed="64"/>
      </right>
      <top/>
      <bottom style="thick">
        <color indexed="64"/>
      </bottom>
      <diagonal/>
    </border>
    <border>
      <left/>
      <right style="thick">
        <color indexed="64"/>
      </right>
      <top/>
      <bottom style="thin">
        <color indexed="64"/>
      </bottom>
      <diagonal/>
    </border>
    <border>
      <left style="thick">
        <color indexed="64"/>
      </left>
      <right style="thin">
        <color indexed="64"/>
      </right>
      <top/>
      <bottom style="thin">
        <color indexed="64"/>
      </bottom>
      <diagonal/>
    </border>
    <border>
      <left/>
      <right style="thick">
        <color indexed="64"/>
      </right>
      <top style="thin">
        <color indexed="64"/>
      </top>
      <bottom style="medium">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bottom/>
      <diagonal/>
    </border>
    <border>
      <left/>
      <right style="thin">
        <color indexed="64"/>
      </right>
      <top style="thin">
        <color indexed="64"/>
      </top>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102">
    <xf numFmtId="0" fontId="0" fillId="0" borderId="0" xfId="0"/>
    <xf numFmtId="0" fontId="4" fillId="0" borderId="0" xfId="0" applyFont="1" applyAlignment="1">
      <alignment vertical="center"/>
    </xf>
    <xf numFmtId="0" fontId="5" fillId="0" borderId="0" xfId="0" applyFont="1" applyAlignment="1">
      <alignment horizontal="left" vertical="center" indent="2"/>
    </xf>
    <xf numFmtId="0" fontId="2" fillId="0" borderId="0" xfId="0" applyFont="1" applyAlignment="1">
      <alignment horizontal="left" vertical="center" indent="2"/>
    </xf>
    <xf numFmtId="0" fontId="2" fillId="0" borderId="0" xfId="0" applyFont="1" applyAlignment="1">
      <alignment horizontal="left" vertical="center" indent="15"/>
    </xf>
    <xf numFmtId="0" fontId="2" fillId="0" borderId="0" xfId="0" applyFont="1" applyAlignment="1">
      <alignment vertical="center"/>
    </xf>
    <xf numFmtId="0" fontId="2" fillId="0" borderId="0" xfId="0" applyFont="1" applyAlignment="1">
      <alignment horizontal="center" vertical="center"/>
    </xf>
    <xf numFmtId="44" fontId="2" fillId="0" borderId="0" xfId="1" applyFont="1" applyAlignment="1">
      <alignment vertical="center"/>
    </xf>
    <xf numFmtId="44" fontId="2" fillId="0" borderId="0" xfId="1" applyFont="1"/>
    <xf numFmtId="0" fontId="3" fillId="0" borderId="0" xfId="0" applyFont="1" applyAlignment="1">
      <alignment horizontal="center" vertical="center" wrapText="1"/>
    </xf>
    <xf numFmtId="0" fontId="2" fillId="0" borderId="0" xfId="0" applyFont="1" applyAlignment="1">
      <alignment horizontal="left" vertical="center" wrapText="1" indent="2"/>
    </xf>
    <xf numFmtId="44" fontId="3" fillId="0" borderId="0" xfId="1" applyFont="1" applyAlignment="1">
      <alignment horizontal="center" vertical="center" wrapText="1"/>
    </xf>
    <xf numFmtId="0" fontId="7" fillId="0" borderId="0" xfId="0" applyFont="1" applyAlignment="1">
      <alignment horizontal="left" vertical="center" wrapText="1" indent="2"/>
    </xf>
    <xf numFmtId="0" fontId="8" fillId="0" borderId="0" xfId="0" applyFont="1" applyAlignment="1">
      <alignment horizontal="left" vertical="center" indent="2"/>
    </xf>
    <xf numFmtId="44" fontId="2" fillId="0" borderId="1" xfId="1" applyFont="1" applyBorder="1"/>
    <xf numFmtId="0" fontId="6" fillId="0" borderId="0" xfId="0" applyFont="1" applyFill="1" applyAlignment="1">
      <alignment horizontal="center" wrapText="1"/>
    </xf>
    <xf numFmtId="44" fontId="12" fillId="0" borderId="10" xfId="1" applyFont="1" applyBorder="1" applyAlignment="1">
      <alignment horizontal="center" vertical="center" wrapText="1"/>
    </xf>
    <xf numFmtId="0" fontId="9" fillId="0" borderId="11" xfId="0" applyFont="1" applyBorder="1" applyAlignment="1">
      <alignment horizontal="left" vertical="center" wrapText="1"/>
    </xf>
    <xf numFmtId="0" fontId="7" fillId="0" borderId="2" xfId="0" applyFont="1" applyBorder="1" applyAlignment="1">
      <alignment horizontal="left" vertical="center" wrapText="1" indent="2"/>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9" fillId="0" borderId="19" xfId="0" applyFont="1" applyBorder="1" applyAlignment="1">
      <alignment horizontal="center" vertical="center" wrapText="1"/>
    </xf>
    <xf numFmtId="0" fontId="9" fillId="0" borderId="6" xfId="0" applyFont="1" applyBorder="1" applyAlignment="1">
      <alignment horizontal="center" vertical="center" wrapText="1"/>
    </xf>
    <xf numFmtId="0" fontId="12" fillId="0" borderId="20" xfId="0" applyFont="1" applyBorder="1" applyAlignment="1">
      <alignment horizontal="center" vertical="center" wrapText="1"/>
    </xf>
    <xf numFmtId="44" fontId="12" fillId="0" borderId="21" xfId="1" applyFont="1" applyBorder="1" applyAlignment="1">
      <alignment horizontal="center" vertical="center" wrapText="1"/>
    </xf>
    <xf numFmtId="0" fontId="9" fillId="0" borderId="0" xfId="0" applyFont="1" applyAlignment="1">
      <alignment horizontal="center" vertical="center"/>
    </xf>
    <xf numFmtId="0" fontId="12" fillId="0" borderId="26" xfId="0" applyFont="1" applyBorder="1" applyAlignment="1">
      <alignment horizontal="center" vertical="center" wrapText="1"/>
    </xf>
    <xf numFmtId="0" fontId="9" fillId="0" borderId="0" xfId="0" applyFont="1"/>
    <xf numFmtId="3" fontId="9" fillId="0" borderId="25" xfId="0" applyNumberFormat="1" applyFont="1" applyBorder="1" applyAlignment="1">
      <alignment horizontal="center" vertical="center"/>
    </xf>
    <xf numFmtId="0" fontId="9" fillId="0" borderId="6" xfId="0" applyFont="1" applyBorder="1" applyAlignment="1">
      <alignment horizontal="center" vertical="center"/>
    </xf>
    <xf numFmtId="0" fontId="9" fillId="0" borderId="0" xfId="0" applyFont="1" applyAlignment="1">
      <alignment horizontal="center"/>
    </xf>
    <xf numFmtId="44" fontId="9" fillId="0" borderId="17" xfId="1" applyFont="1" applyBorder="1" applyAlignment="1">
      <alignment horizontal="center" vertical="center" wrapText="1"/>
    </xf>
    <xf numFmtId="44" fontId="9" fillId="0" borderId="24" xfId="0" applyNumberFormat="1" applyFont="1" applyBorder="1" applyAlignment="1">
      <alignment horizontal="center" vertical="center"/>
    </xf>
    <xf numFmtId="44" fontId="9" fillId="0" borderId="10" xfId="1" applyFont="1" applyBorder="1" applyAlignment="1">
      <alignment horizontal="center" vertical="center" wrapText="1"/>
    </xf>
    <xf numFmtId="44" fontId="9" fillId="3" borderId="22" xfId="1" applyFont="1" applyFill="1" applyBorder="1" applyAlignment="1">
      <alignment horizontal="center" vertical="center" wrapText="1"/>
    </xf>
    <xf numFmtId="0" fontId="9" fillId="0" borderId="0" xfId="0" applyFont="1" applyFill="1" applyAlignment="1">
      <alignment vertical="center"/>
    </xf>
    <xf numFmtId="0" fontId="9" fillId="0" borderId="0" xfId="0" applyFont="1" applyFill="1" applyAlignment="1">
      <alignment vertical="center" wrapText="1"/>
    </xf>
    <xf numFmtId="0" fontId="9" fillId="0" borderId="0" xfId="0" applyFont="1" applyAlignment="1">
      <alignment vertical="center"/>
    </xf>
    <xf numFmtId="0" fontId="9" fillId="0" borderId="0" xfId="0" applyFont="1" applyBorder="1"/>
    <xf numFmtId="8" fontId="9" fillId="0" borderId="0" xfId="0" applyNumberFormat="1" applyFont="1" applyBorder="1"/>
    <xf numFmtId="0" fontId="9" fillId="0" borderId="0" xfId="0" applyFont="1" applyFill="1"/>
    <xf numFmtId="0" fontId="9" fillId="0" borderId="0" xfId="0" applyFont="1" applyFill="1" applyAlignment="1">
      <alignment horizontal="center"/>
    </xf>
    <xf numFmtId="44" fontId="3" fillId="0" borderId="0" xfId="1" applyFont="1" applyFill="1" applyAlignment="1">
      <alignment horizontal="center" vertical="center" wrapText="1"/>
    </xf>
    <xf numFmtId="44" fontId="3" fillId="0" borderId="0" xfId="1" applyFont="1" applyFill="1"/>
    <xf numFmtId="0" fontId="9" fillId="6" borderId="0" xfId="0" applyFont="1" applyFill="1"/>
    <xf numFmtId="0" fontId="6" fillId="6" borderId="0" xfId="0" applyFont="1" applyFill="1"/>
    <xf numFmtId="44" fontId="9" fillId="0" borderId="0" xfId="1" applyFont="1" applyFill="1" applyAlignment="1">
      <alignment vertical="center"/>
    </xf>
    <xf numFmtId="44" fontId="12" fillId="0" borderId="0" xfId="1" applyFont="1" applyFill="1" applyAlignment="1">
      <alignment vertical="center"/>
    </xf>
    <xf numFmtId="44" fontId="12" fillId="0" borderId="0" xfId="0" applyNumberFormat="1" applyFont="1" applyFill="1" applyAlignment="1">
      <alignment vertical="center"/>
    </xf>
    <xf numFmtId="0" fontId="12" fillId="0" borderId="0" xfId="0" applyFont="1" applyFill="1" applyAlignment="1">
      <alignment vertical="center"/>
    </xf>
    <xf numFmtId="0" fontId="11" fillId="0" borderId="14" xfId="0" applyFont="1" applyBorder="1" applyAlignment="1">
      <alignment horizontal="center" vertical="center" wrapText="1"/>
    </xf>
    <xf numFmtId="0" fontId="11" fillId="0" borderId="16" xfId="0" applyFont="1" applyBorder="1" applyAlignment="1">
      <alignment horizontal="center" vertical="center" wrapText="1"/>
    </xf>
    <xf numFmtId="0" fontId="9" fillId="0" borderId="3" xfId="0" applyFont="1" applyBorder="1"/>
    <xf numFmtId="0" fontId="12" fillId="0" borderId="27" xfId="0" applyFont="1" applyBorder="1" applyAlignment="1">
      <alignment horizontal="center" wrapText="1"/>
    </xf>
    <xf numFmtId="49" fontId="9" fillId="0" borderId="4" xfId="0" applyNumberFormat="1" applyFont="1" applyBorder="1" applyAlignment="1">
      <alignment horizontal="center" vertical="center"/>
    </xf>
    <xf numFmtId="0" fontId="9" fillId="0" borderId="28" xfId="0" applyFont="1" applyBorder="1" applyAlignment="1">
      <alignment horizontal="left" vertical="center" wrapText="1"/>
    </xf>
    <xf numFmtId="49" fontId="9" fillId="0" borderId="13" xfId="0" applyNumberFormat="1" applyFont="1" applyBorder="1" applyAlignment="1">
      <alignment horizontal="center" vertical="center"/>
    </xf>
    <xf numFmtId="0" fontId="9" fillId="0" borderId="29" xfId="0" applyFont="1" applyBorder="1" applyAlignment="1">
      <alignment horizontal="center" vertical="center" wrapText="1"/>
    </xf>
    <xf numFmtId="44" fontId="9" fillId="3" borderId="30" xfId="1" applyFont="1" applyFill="1" applyBorder="1" applyAlignment="1">
      <alignment horizontal="center" vertical="center" wrapText="1"/>
    </xf>
    <xf numFmtId="44" fontId="9" fillId="0" borderId="12" xfId="1" applyFont="1" applyBorder="1" applyAlignment="1">
      <alignment horizontal="center" vertical="center" wrapText="1"/>
    </xf>
    <xf numFmtId="0" fontId="9" fillId="6" borderId="6" xfId="0" applyFont="1" applyFill="1" applyBorder="1" applyAlignment="1">
      <alignment horizontal="center" vertical="center" wrapText="1"/>
    </xf>
    <xf numFmtId="44" fontId="9" fillId="6" borderId="5" xfId="1" applyFont="1" applyFill="1" applyBorder="1" applyAlignment="1">
      <alignment horizontal="center" vertical="center" wrapText="1"/>
    </xf>
    <xf numFmtId="0" fontId="9" fillId="6" borderId="6" xfId="0" applyFont="1" applyFill="1" applyBorder="1" applyAlignment="1">
      <alignment horizontal="center" vertical="center"/>
    </xf>
    <xf numFmtId="0" fontId="6" fillId="6" borderId="0" xfId="0" applyFont="1" applyFill="1" applyAlignment="1">
      <alignment horizontal="center"/>
    </xf>
    <xf numFmtId="0" fontId="6" fillId="4" borderId="7" xfId="0" applyFont="1" applyFill="1" applyBorder="1" applyAlignment="1">
      <alignment horizontal="center" wrapText="1"/>
    </xf>
    <xf numFmtId="0" fontId="13" fillId="4" borderId="8" xfId="0" applyFont="1" applyFill="1" applyBorder="1" applyAlignment="1">
      <alignment horizontal="center" wrapText="1"/>
    </xf>
    <xf numFmtId="0" fontId="13" fillId="4" borderId="9" xfId="0" applyFont="1" applyFill="1" applyBorder="1" applyAlignment="1">
      <alignment horizontal="center" wrapText="1"/>
    </xf>
    <xf numFmtId="0" fontId="14" fillId="2" borderId="0" xfId="0" applyFont="1" applyFill="1" applyAlignment="1">
      <alignment horizontal="left" vertical="top" wrapText="1"/>
    </xf>
    <xf numFmtId="0" fontId="9" fillId="0" borderId="3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1" xfId="0" applyFont="1" applyBorder="1" applyAlignment="1">
      <alignment horizontal="center" vertical="center"/>
    </xf>
    <xf numFmtId="0" fontId="9" fillId="0" borderId="33" xfId="0" applyFont="1" applyBorder="1" applyAlignment="1">
      <alignment horizontal="center" vertical="center"/>
    </xf>
    <xf numFmtId="0" fontId="10" fillId="0" borderId="3" xfId="0" applyFont="1" applyBorder="1" applyAlignment="1">
      <alignment horizontal="center" vertical="center" wrapText="1"/>
    </xf>
    <xf numFmtId="0" fontId="10" fillId="0" borderId="23" xfId="0" applyFont="1" applyBorder="1" applyAlignment="1">
      <alignment horizontal="center" vertical="center" wrapText="1"/>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4" borderId="8" xfId="0" applyFont="1" applyFill="1" applyBorder="1" applyAlignment="1">
      <alignment horizontal="center" wrapText="1"/>
    </xf>
    <xf numFmtId="0" fontId="12"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6" borderId="5" xfId="0" applyFont="1" applyFill="1" applyBorder="1" applyAlignment="1">
      <alignment horizontal="center" vertical="center" wrapText="1"/>
    </xf>
    <xf numFmtId="49" fontId="9" fillId="7" borderId="28" xfId="0" applyNumberFormat="1" applyFont="1" applyFill="1" applyBorder="1" applyAlignment="1">
      <alignment horizontal="center" vertical="center"/>
    </xf>
    <xf numFmtId="0" fontId="9" fillId="7" borderId="28" xfId="0" applyFont="1" applyFill="1" applyBorder="1" applyAlignment="1">
      <alignment horizontal="left" vertical="center" wrapText="1"/>
    </xf>
    <xf numFmtId="0" fontId="9" fillId="7" borderId="12" xfId="0" applyFont="1" applyFill="1" applyBorder="1" applyAlignment="1">
      <alignment horizontal="left" vertical="center" wrapText="1"/>
    </xf>
    <xf numFmtId="0" fontId="9" fillId="8" borderId="0" xfId="0" applyFont="1" applyFill="1" applyAlignment="1">
      <alignment vertical="center" wrapText="1"/>
    </xf>
    <xf numFmtId="0" fontId="9" fillId="8" borderId="28" xfId="0" applyFont="1" applyFill="1" applyBorder="1" applyAlignment="1">
      <alignment horizontal="left" vertical="center" wrapText="1"/>
    </xf>
    <xf numFmtId="0" fontId="9" fillId="8" borderId="11" xfId="0" applyFont="1" applyFill="1" applyBorder="1" applyAlignment="1">
      <alignment horizontal="left" vertical="center" wrapText="1"/>
    </xf>
    <xf numFmtId="0" fontId="9" fillId="8" borderId="5" xfId="0" applyFont="1" applyFill="1" applyBorder="1" applyAlignment="1">
      <alignment vertical="center" wrapText="1"/>
    </xf>
    <xf numFmtId="0" fontId="9" fillId="8" borderId="29" xfId="0" applyFont="1" applyFill="1" applyBorder="1" applyAlignment="1">
      <alignment horizontal="center" vertical="center" wrapText="1"/>
    </xf>
    <xf numFmtId="0" fontId="9" fillId="8" borderId="28" xfId="0" applyFont="1" applyFill="1" applyBorder="1" applyAlignment="1">
      <alignment horizontal="center" vertical="center" wrapText="1"/>
    </xf>
    <xf numFmtId="0" fontId="9" fillId="8" borderId="34" xfId="0" applyFont="1" applyFill="1" applyBorder="1" applyAlignment="1">
      <alignment horizontal="center" vertical="center" wrapText="1"/>
    </xf>
    <xf numFmtId="44" fontId="9" fillId="8" borderId="10" xfId="1" applyFont="1" applyFill="1" applyBorder="1" applyAlignment="1">
      <alignment horizontal="center" vertical="center" wrapText="1"/>
    </xf>
    <xf numFmtId="44" fontId="9" fillId="6" borderId="18" xfId="1" applyFont="1" applyFill="1" applyBorder="1" applyAlignment="1">
      <alignment horizontal="center" vertical="center" wrapText="1"/>
    </xf>
    <xf numFmtId="44" fontId="9" fillId="8" borderId="12" xfId="1" applyFont="1" applyFill="1" applyBorder="1" applyAlignment="1">
      <alignment horizontal="center" vertical="center" wrapText="1"/>
    </xf>
    <xf numFmtId="0" fontId="9" fillId="8" borderId="6" xfId="0" applyFont="1" applyFill="1" applyBorder="1" applyAlignment="1">
      <alignment horizontal="center" vertical="center" wrapText="1"/>
    </xf>
    <xf numFmtId="44" fontId="9" fillId="8" borderId="18" xfId="1" applyFont="1" applyFill="1" applyBorder="1" applyAlignment="1">
      <alignment horizontal="center" vertical="center" wrapText="1"/>
    </xf>
    <xf numFmtId="0" fontId="9" fillId="8" borderId="6" xfId="0" applyFont="1" applyFill="1" applyBorder="1" applyAlignment="1">
      <alignment horizontal="center" vertical="center"/>
    </xf>
    <xf numFmtId="44" fontId="9" fillId="6" borderId="18" xfId="0" applyNumberFormat="1" applyFont="1" applyFill="1" applyBorder="1" applyAlignment="1">
      <alignment horizontal="center" vertical="center"/>
    </xf>
    <xf numFmtId="44" fontId="9" fillId="0" borderId="12" xfId="0" applyNumberFormat="1" applyFont="1" applyBorder="1" applyAlignment="1">
      <alignment horizontal="center" vertical="center"/>
    </xf>
    <xf numFmtId="0" fontId="9" fillId="8" borderId="35" xfId="0" applyFont="1" applyFill="1" applyBorder="1" applyAlignment="1">
      <alignment horizontal="center" vertical="center" wrapText="1"/>
    </xf>
    <xf numFmtId="0" fontId="9" fillId="0" borderId="28" xfId="0" applyFont="1" applyBorder="1" applyAlignment="1">
      <alignment horizontal="center" vertical="center" wrapText="1"/>
    </xf>
    <xf numFmtId="0" fontId="9" fillId="0" borderId="36" xfId="0" applyFont="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colors>
    <mruColors>
      <color rgb="FF00FF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30A5-7502-BD44-B133-3DD02A859F95}">
  <sheetPr>
    <pageSetUpPr fitToPage="1"/>
  </sheetPr>
  <dimension ref="A1:Z37"/>
  <sheetViews>
    <sheetView tabSelected="1" zoomScale="90" zoomScaleNormal="90" workbookViewId="0">
      <selection activeCell="E3" sqref="E3"/>
    </sheetView>
  </sheetViews>
  <sheetFormatPr defaultColWidth="11" defaultRowHeight="15.75" x14ac:dyDescent="0.25"/>
  <cols>
    <col min="1" max="1" width="18" style="27" customWidth="1"/>
    <col min="2" max="3" width="63.375" style="27" customWidth="1"/>
    <col min="4" max="4" width="11" style="30" customWidth="1"/>
    <col min="5" max="5" width="13.75" style="30" customWidth="1"/>
    <col min="6" max="6" width="11" style="8" bestFit="1" customWidth="1"/>
    <col min="7" max="7" width="13.5" style="8" customWidth="1"/>
    <col min="8" max="8" width="11" style="27"/>
    <col min="9" max="9" width="13.75" style="30" customWidth="1"/>
    <col min="10" max="10" width="11" style="27"/>
    <col min="11" max="11" width="13.5" style="27" customWidth="1"/>
    <col min="12" max="12" width="11" style="27"/>
    <col min="13" max="13" width="13.75" style="30" customWidth="1"/>
    <col min="14" max="14" width="11" style="27"/>
    <col min="15" max="15" width="13.5" style="27" customWidth="1"/>
    <col min="16" max="16" width="11" style="27"/>
    <col min="17" max="17" width="13.75" style="30" customWidth="1"/>
    <col min="18" max="18" width="11" style="27"/>
    <col min="19" max="19" width="13.5" style="27" customWidth="1"/>
    <col min="20" max="20" width="11" style="27"/>
    <col min="21" max="21" width="13.75" style="30" customWidth="1"/>
    <col min="22" max="22" width="11" style="27"/>
    <col min="23" max="23" width="13.5" style="27" customWidth="1"/>
    <col min="24" max="24" width="11" style="27"/>
    <col min="25" max="25" width="18" style="27" customWidth="1"/>
    <col min="26" max="26" width="13.5" style="27" customWidth="1"/>
    <col min="27" max="16384" width="11" style="27"/>
  </cols>
  <sheetData>
    <row r="1" spans="1:26" x14ac:dyDescent="0.25">
      <c r="A1" s="44"/>
      <c r="B1" s="63" t="s">
        <v>0</v>
      </c>
      <c r="C1" s="63"/>
      <c r="D1" s="63"/>
      <c r="E1" s="63"/>
      <c r="F1" s="63"/>
      <c r="G1" s="63"/>
      <c r="H1" s="44"/>
      <c r="I1" s="44"/>
      <c r="J1" s="44"/>
      <c r="K1" s="44"/>
      <c r="L1" s="44"/>
      <c r="M1" s="44"/>
      <c r="N1" s="44"/>
      <c r="O1" s="45" t="s">
        <v>0</v>
      </c>
      <c r="P1" s="44"/>
      <c r="Q1" s="44"/>
      <c r="R1" s="44"/>
      <c r="S1" s="44"/>
      <c r="T1" s="44"/>
      <c r="U1" s="44"/>
      <c r="V1" s="44"/>
      <c r="W1" s="44"/>
      <c r="X1" s="44"/>
      <c r="Y1" s="44"/>
      <c r="Z1" s="44"/>
    </row>
    <row r="2" spans="1:26" x14ac:dyDescent="0.25">
      <c r="B2" s="15"/>
      <c r="C2" s="15"/>
      <c r="D2" s="15"/>
      <c r="E2" s="15"/>
      <c r="F2" s="15"/>
      <c r="G2" s="15"/>
      <c r="I2" s="15"/>
      <c r="M2" s="15"/>
      <c r="Q2" s="15"/>
      <c r="U2" s="15"/>
    </row>
    <row r="3" spans="1:26" ht="198.75" customHeight="1" thickBot="1" x14ac:dyDescent="0.3">
      <c r="A3" s="67" t="s">
        <v>40</v>
      </c>
      <c r="B3" s="67"/>
      <c r="C3" s="67"/>
      <c r="D3" s="15"/>
      <c r="E3" s="15"/>
      <c r="F3" s="15"/>
      <c r="G3" s="15"/>
      <c r="I3" s="15"/>
      <c r="M3" s="15"/>
      <c r="Q3" s="15"/>
      <c r="U3" s="15"/>
    </row>
    <row r="4" spans="1:26" ht="32.25" customHeight="1" thickTop="1" thickBot="1" x14ac:dyDescent="0.3">
      <c r="A4" s="52"/>
      <c r="B4" s="73"/>
      <c r="C4" s="74"/>
      <c r="D4" s="64" t="s">
        <v>1</v>
      </c>
      <c r="E4" s="77"/>
      <c r="F4" s="65"/>
      <c r="G4" s="66"/>
      <c r="H4" s="64" t="s">
        <v>2</v>
      </c>
      <c r="I4" s="77"/>
      <c r="J4" s="65"/>
      <c r="K4" s="66"/>
      <c r="L4" s="64" t="s">
        <v>3</v>
      </c>
      <c r="M4" s="77"/>
      <c r="N4" s="65"/>
      <c r="O4" s="66"/>
      <c r="P4" s="64" t="s">
        <v>4</v>
      </c>
      <c r="Q4" s="77"/>
      <c r="R4" s="65"/>
      <c r="S4" s="66"/>
      <c r="T4" s="64" t="s">
        <v>5</v>
      </c>
      <c r="U4" s="77"/>
      <c r="V4" s="65"/>
      <c r="W4" s="66"/>
      <c r="Y4" s="75" t="s">
        <v>6</v>
      </c>
      <c r="Z4" s="76"/>
    </row>
    <row r="5" spans="1:26" ht="36" customHeight="1" thickTop="1" thickBot="1" x14ac:dyDescent="0.3">
      <c r="A5" s="53" t="s">
        <v>7</v>
      </c>
      <c r="B5" s="50" t="s">
        <v>8</v>
      </c>
      <c r="C5" s="51" t="s">
        <v>9</v>
      </c>
      <c r="D5" s="23" t="s">
        <v>10</v>
      </c>
      <c r="E5" s="78" t="s">
        <v>29</v>
      </c>
      <c r="F5" s="24" t="s">
        <v>11</v>
      </c>
      <c r="G5" s="16" t="s">
        <v>12</v>
      </c>
      <c r="H5" s="23" t="s">
        <v>10</v>
      </c>
      <c r="I5" s="78" t="s">
        <v>29</v>
      </c>
      <c r="J5" s="24" t="s">
        <v>11</v>
      </c>
      <c r="K5" s="16" t="s">
        <v>12</v>
      </c>
      <c r="L5" s="23" t="s">
        <v>10</v>
      </c>
      <c r="M5" s="78" t="s">
        <v>29</v>
      </c>
      <c r="N5" s="24" t="s">
        <v>11</v>
      </c>
      <c r="O5" s="16" t="s">
        <v>12</v>
      </c>
      <c r="P5" s="23" t="s">
        <v>10</v>
      </c>
      <c r="Q5" s="78" t="s">
        <v>29</v>
      </c>
      <c r="R5" s="24" t="s">
        <v>11</v>
      </c>
      <c r="S5" s="16" t="s">
        <v>12</v>
      </c>
      <c r="T5" s="23" t="s">
        <v>10</v>
      </c>
      <c r="U5" s="78" t="s">
        <v>29</v>
      </c>
      <c r="V5" s="24" t="s">
        <v>11</v>
      </c>
      <c r="W5" s="16" t="s">
        <v>12</v>
      </c>
      <c r="Y5" s="23" t="s">
        <v>13</v>
      </c>
      <c r="Z5" s="26" t="s">
        <v>14</v>
      </c>
    </row>
    <row r="6" spans="1:26" ht="88.5" customHeight="1" thickTop="1" x14ac:dyDescent="0.25">
      <c r="A6" s="56" t="s">
        <v>15</v>
      </c>
      <c r="B6" s="19" t="s">
        <v>16</v>
      </c>
      <c r="C6" s="20" t="s">
        <v>17</v>
      </c>
      <c r="D6" s="21">
        <v>340</v>
      </c>
      <c r="E6" s="79" t="s">
        <v>30</v>
      </c>
      <c r="F6" s="34"/>
      <c r="G6" s="31">
        <f>F6*D6</f>
        <v>0</v>
      </c>
      <c r="H6" s="21">
        <v>340</v>
      </c>
      <c r="I6" s="79" t="s">
        <v>30</v>
      </c>
      <c r="J6" s="34"/>
      <c r="K6" s="31">
        <f>J6*H6</f>
        <v>0</v>
      </c>
      <c r="L6" s="21">
        <v>340</v>
      </c>
      <c r="M6" s="79" t="s">
        <v>30</v>
      </c>
      <c r="N6" s="34"/>
      <c r="O6" s="31">
        <f>N6*L6</f>
        <v>0</v>
      </c>
      <c r="P6" s="21">
        <v>340</v>
      </c>
      <c r="Q6" s="79" t="s">
        <v>30</v>
      </c>
      <c r="R6" s="34"/>
      <c r="S6" s="31">
        <f>R6*P6</f>
        <v>0</v>
      </c>
      <c r="T6" s="21">
        <v>340</v>
      </c>
      <c r="U6" s="79" t="s">
        <v>30</v>
      </c>
      <c r="V6" s="34"/>
      <c r="W6" s="31">
        <f>V6*T6</f>
        <v>0</v>
      </c>
      <c r="X6" s="25"/>
      <c r="Y6" s="28">
        <v>1700</v>
      </c>
      <c r="Z6" s="32">
        <f>SUM(G6,K6,O6,S6,W6)</f>
        <v>0</v>
      </c>
    </row>
    <row r="7" spans="1:26" ht="51" customHeight="1" x14ac:dyDescent="0.25">
      <c r="A7" s="81" t="s">
        <v>18</v>
      </c>
      <c r="B7" s="82" t="s">
        <v>19</v>
      </c>
      <c r="C7" s="83" t="s">
        <v>32</v>
      </c>
      <c r="D7" s="60"/>
      <c r="E7" s="80"/>
      <c r="F7" s="61"/>
      <c r="G7" s="92"/>
      <c r="H7" s="60">
        <v>1</v>
      </c>
      <c r="I7" s="80"/>
      <c r="J7" s="61"/>
      <c r="K7" s="92"/>
      <c r="L7" s="60">
        <v>1</v>
      </c>
      <c r="M7" s="80"/>
      <c r="N7" s="61"/>
      <c r="O7" s="92"/>
      <c r="P7" s="60">
        <v>1</v>
      </c>
      <c r="Q7" s="80"/>
      <c r="R7" s="61"/>
      <c r="S7" s="92"/>
      <c r="T7" s="60">
        <v>1</v>
      </c>
      <c r="U7" s="80"/>
      <c r="V7" s="61"/>
      <c r="W7" s="92"/>
      <c r="X7" s="25"/>
      <c r="Y7" s="62"/>
      <c r="Z7" s="97"/>
    </row>
    <row r="8" spans="1:26" ht="51" customHeight="1" x14ac:dyDescent="0.25">
      <c r="A8" s="84" t="s">
        <v>31</v>
      </c>
      <c r="B8" s="85" t="s">
        <v>33</v>
      </c>
      <c r="C8" s="86" t="s">
        <v>36</v>
      </c>
      <c r="D8" s="88">
        <v>600</v>
      </c>
      <c r="E8" s="89" t="s">
        <v>39</v>
      </c>
      <c r="F8" s="58"/>
      <c r="G8" s="91">
        <f>D8*F8</f>
        <v>0</v>
      </c>
      <c r="H8" s="94">
        <v>600</v>
      </c>
      <c r="I8" s="89" t="s">
        <v>39</v>
      </c>
      <c r="J8" s="58"/>
      <c r="K8" s="95">
        <f>H8*J8</f>
        <v>0</v>
      </c>
      <c r="L8" s="94">
        <v>600</v>
      </c>
      <c r="M8" s="89" t="s">
        <v>39</v>
      </c>
      <c r="N8" s="58"/>
      <c r="O8" s="95">
        <f>L8*N8</f>
        <v>0</v>
      </c>
      <c r="P8" s="94">
        <v>600</v>
      </c>
      <c r="Q8" s="89" t="s">
        <v>39</v>
      </c>
      <c r="R8" s="58"/>
      <c r="S8" s="95">
        <f>P8*R8</f>
        <v>0</v>
      </c>
      <c r="T8" s="94">
        <v>600</v>
      </c>
      <c r="U8" s="89" t="s">
        <v>39</v>
      </c>
      <c r="V8" s="58"/>
      <c r="W8" s="95">
        <f>T8*V8</f>
        <v>0</v>
      </c>
      <c r="X8" s="25"/>
      <c r="Y8" s="96">
        <v>3000</v>
      </c>
      <c r="Z8" s="32">
        <f t="shared" ref="Z8:Z10" si="0">SUM(G8,K8,O8,S8,W8)</f>
        <v>0</v>
      </c>
    </row>
    <row r="9" spans="1:26" ht="51" customHeight="1" x14ac:dyDescent="0.25">
      <c r="A9" s="87" t="s">
        <v>31</v>
      </c>
      <c r="B9" s="85" t="s">
        <v>34</v>
      </c>
      <c r="C9" s="86" t="s">
        <v>37</v>
      </c>
      <c r="D9" s="90">
        <v>150</v>
      </c>
      <c r="E9" s="89" t="s">
        <v>39</v>
      </c>
      <c r="F9" s="58"/>
      <c r="G9" s="93">
        <f>D9*F9</f>
        <v>0</v>
      </c>
      <c r="H9" s="94">
        <v>150</v>
      </c>
      <c r="I9" s="89" t="s">
        <v>39</v>
      </c>
      <c r="J9" s="58"/>
      <c r="K9" s="95">
        <f t="shared" ref="K9:K10" si="1">H9*J9</f>
        <v>0</v>
      </c>
      <c r="L9" s="94">
        <v>150</v>
      </c>
      <c r="M9" s="89" t="s">
        <v>39</v>
      </c>
      <c r="N9" s="58"/>
      <c r="O9" s="95">
        <f>L9*N9</f>
        <v>0</v>
      </c>
      <c r="P9" s="94">
        <v>150</v>
      </c>
      <c r="Q9" s="89" t="s">
        <v>39</v>
      </c>
      <c r="R9" s="58"/>
      <c r="S9" s="95">
        <f>P9*R9</f>
        <v>0</v>
      </c>
      <c r="T9" s="94">
        <v>150</v>
      </c>
      <c r="U9" s="89" t="s">
        <v>39</v>
      </c>
      <c r="V9" s="58"/>
      <c r="W9" s="95">
        <f>T9*V9</f>
        <v>0</v>
      </c>
      <c r="X9" s="25"/>
      <c r="Y9" s="96">
        <v>750</v>
      </c>
      <c r="Z9" s="32">
        <f t="shared" si="0"/>
        <v>0</v>
      </c>
    </row>
    <row r="10" spans="1:26" ht="51" customHeight="1" x14ac:dyDescent="0.25">
      <c r="A10" s="84" t="s">
        <v>31</v>
      </c>
      <c r="B10" s="85" t="s">
        <v>35</v>
      </c>
      <c r="C10" s="86" t="s">
        <v>38</v>
      </c>
      <c r="D10" s="90">
        <v>50</v>
      </c>
      <c r="E10" s="99" t="s">
        <v>39</v>
      </c>
      <c r="F10" s="58"/>
      <c r="G10" s="91">
        <f>D10*F10</f>
        <v>0</v>
      </c>
      <c r="H10" s="94">
        <v>50</v>
      </c>
      <c r="I10" s="99" t="s">
        <v>39</v>
      </c>
      <c r="J10" s="58"/>
      <c r="K10" s="95">
        <f t="shared" si="1"/>
        <v>0</v>
      </c>
      <c r="L10" s="94">
        <v>50</v>
      </c>
      <c r="M10" s="89" t="s">
        <v>39</v>
      </c>
      <c r="N10" s="58"/>
      <c r="O10" s="95">
        <f>L10*N10</f>
        <v>0</v>
      </c>
      <c r="P10" s="94">
        <v>50</v>
      </c>
      <c r="Q10" s="99" t="s">
        <v>39</v>
      </c>
      <c r="R10" s="58"/>
      <c r="S10" s="95">
        <f>P10*R10</f>
        <v>0</v>
      </c>
      <c r="T10" s="94">
        <v>50</v>
      </c>
      <c r="U10" s="99" t="s">
        <v>39</v>
      </c>
      <c r="V10" s="58"/>
      <c r="W10" s="95">
        <f t="shared" ref="W8:W10" si="2">T10*V10</f>
        <v>0</v>
      </c>
      <c r="X10" s="25"/>
      <c r="Y10" s="96">
        <v>250</v>
      </c>
      <c r="Z10" s="32">
        <f t="shared" si="0"/>
        <v>0</v>
      </c>
    </row>
    <row r="11" spans="1:26" ht="74.25" customHeight="1" x14ac:dyDescent="0.25">
      <c r="A11" s="54" t="s">
        <v>20</v>
      </c>
      <c r="B11" s="55" t="s">
        <v>21</v>
      </c>
      <c r="C11" s="17" t="s">
        <v>22</v>
      </c>
      <c r="D11" s="22">
        <v>4</v>
      </c>
      <c r="E11" s="100" t="s">
        <v>30</v>
      </c>
      <c r="F11" s="58"/>
      <c r="G11" s="59">
        <f>D11*F11</f>
        <v>0</v>
      </c>
      <c r="H11" s="22">
        <v>4</v>
      </c>
      <c r="I11" s="100" t="s">
        <v>30</v>
      </c>
      <c r="J11" s="58"/>
      <c r="K11" s="59">
        <f>H11*J11</f>
        <v>0</v>
      </c>
      <c r="L11" s="22">
        <v>4</v>
      </c>
      <c r="M11" s="101" t="s">
        <v>30</v>
      </c>
      <c r="N11" s="58"/>
      <c r="O11" s="59">
        <f>L11*N11</f>
        <v>0</v>
      </c>
      <c r="P11" s="22">
        <v>4</v>
      </c>
      <c r="Q11" s="100" t="s">
        <v>30</v>
      </c>
      <c r="R11" s="58"/>
      <c r="S11" s="59">
        <f>P11*R11</f>
        <v>0</v>
      </c>
      <c r="T11" s="57">
        <v>4</v>
      </c>
      <c r="U11" s="100" t="s">
        <v>30</v>
      </c>
      <c r="V11" s="58"/>
      <c r="W11" s="33">
        <f>T11*V11</f>
        <v>0</v>
      </c>
      <c r="X11" s="25"/>
      <c r="Y11" s="29">
        <v>20</v>
      </c>
      <c r="Z11" s="98">
        <f>G11+K11+O11+S11+W11</f>
        <v>0</v>
      </c>
    </row>
    <row r="12" spans="1:26" ht="89.25" customHeight="1" thickBot="1" x14ac:dyDescent="0.3">
      <c r="A12" s="54" t="s">
        <v>23</v>
      </c>
      <c r="B12" s="55" t="s">
        <v>24</v>
      </c>
      <c r="C12" s="17" t="s">
        <v>25</v>
      </c>
      <c r="D12" s="68" t="s">
        <v>26</v>
      </c>
      <c r="E12" s="69"/>
      <c r="F12" s="69"/>
      <c r="G12" s="69"/>
      <c r="H12" s="69"/>
      <c r="I12" s="69"/>
      <c r="J12" s="69"/>
      <c r="K12" s="69"/>
      <c r="L12" s="69"/>
      <c r="M12" s="69"/>
      <c r="N12" s="69"/>
      <c r="O12" s="69"/>
      <c r="P12" s="69"/>
      <c r="Q12" s="69"/>
      <c r="R12" s="69"/>
      <c r="S12" s="69"/>
      <c r="T12" s="69"/>
      <c r="U12" s="69"/>
      <c r="V12" s="69"/>
      <c r="W12" s="70"/>
      <c r="X12" s="25"/>
      <c r="Y12" s="71" t="s">
        <v>27</v>
      </c>
      <c r="Z12" s="72"/>
    </row>
    <row r="13" spans="1:26" ht="16.5" thickTop="1" x14ac:dyDescent="0.25">
      <c r="B13" s="3"/>
      <c r="C13" s="18"/>
      <c r="D13" s="6"/>
      <c r="E13" s="6"/>
      <c r="G13" s="14"/>
      <c r="H13" s="6"/>
      <c r="I13" s="6"/>
      <c r="J13" s="8"/>
      <c r="K13" s="14"/>
      <c r="L13" s="6"/>
      <c r="M13" s="6"/>
      <c r="N13" s="8"/>
      <c r="O13" s="14"/>
      <c r="P13" s="6"/>
      <c r="Q13" s="6"/>
      <c r="R13" s="8"/>
      <c r="S13" s="14"/>
      <c r="T13" s="6"/>
      <c r="U13" s="6"/>
      <c r="V13" s="8"/>
      <c r="W13" s="14"/>
    </row>
    <row r="14" spans="1:26" ht="51" x14ac:dyDescent="0.25">
      <c r="B14" s="49"/>
      <c r="C14" s="36"/>
      <c r="D14" s="35"/>
      <c r="E14" s="35"/>
      <c r="F14" s="46"/>
      <c r="G14" s="47"/>
      <c r="H14" s="35"/>
      <c r="I14" s="35"/>
      <c r="J14" s="46"/>
      <c r="K14" s="47"/>
      <c r="L14" s="35"/>
      <c r="M14" s="35"/>
      <c r="N14" s="46"/>
      <c r="O14" s="47"/>
      <c r="P14" s="35"/>
      <c r="Q14" s="35"/>
      <c r="R14" s="46"/>
      <c r="S14" s="47"/>
      <c r="T14" s="35"/>
      <c r="U14" s="35"/>
      <c r="V14" s="46"/>
      <c r="W14" s="47"/>
      <c r="X14" s="37"/>
      <c r="Y14" s="9" t="s">
        <v>28</v>
      </c>
      <c r="Z14" s="48">
        <f>SUM(Z6,Z8,Z9,Z10,Z11)</f>
        <v>0</v>
      </c>
    </row>
    <row r="15" spans="1:26" x14ac:dyDescent="0.25">
      <c r="B15" s="3"/>
      <c r="C15" s="12"/>
      <c r="D15" s="6"/>
      <c r="E15" s="6"/>
      <c r="I15" s="6"/>
      <c r="J15" s="38"/>
      <c r="K15" s="39"/>
      <c r="L15" s="38"/>
      <c r="M15" s="6"/>
      <c r="N15" s="39"/>
      <c r="Q15" s="6"/>
      <c r="U15" s="6"/>
    </row>
    <row r="16" spans="1:26" x14ac:dyDescent="0.25">
      <c r="D16" s="6"/>
      <c r="E16" s="6"/>
      <c r="I16" s="6"/>
      <c r="J16" s="38"/>
      <c r="K16" s="39"/>
      <c r="L16" s="38"/>
      <c r="M16" s="6"/>
      <c r="N16" s="39"/>
      <c r="Q16" s="6"/>
      <c r="U16" s="6"/>
    </row>
    <row r="17" spans="2:21" x14ac:dyDescent="0.25">
      <c r="B17" s="2"/>
      <c r="C17" s="13"/>
      <c r="D17" s="9"/>
      <c r="E17" s="9"/>
      <c r="F17" s="11"/>
      <c r="G17" s="11"/>
      <c r="I17" s="9"/>
      <c r="J17" s="38"/>
      <c r="K17" s="39"/>
      <c r="L17" s="38"/>
      <c r="M17" s="9"/>
      <c r="N17" s="39"/>
      <c r="Q17" s="9"/>
      <c r="U17" s="9"/>
    </row>
    <row r="18" spans="2:21" x14ac:dyDescent="0.25">
      <c r="B18" s="10"/>
      <c r="C18" s="12"/>
      <c r="D18" s="6"/>
      <c r="E18" s="6"/>
      <c r="I18" s="6"/>
      <c r="J18" s="38"/>
      <c r="K18" s="39"/>
      <c r="L18" s="38"/>
      <c r="M18" s="6"/>
      <c r="N18" s="39"/>
      <c r="Q18" s="6"/>
      <c r="U18" s="6"/>
    </row>
    <row r="19" spans="2:21" x14ac:dyDescent="0.25">
      <c r="B19" s="10"/>
      <c r="C19" s="10"/>
      <c r="D19" s="6"/>
      <c r="E19" s="6"/>
      <c r="I19" s="6"/>
      <c r="J19" s="38"/>
      <c r="K19" s="39"/>
      <c r="L19" s="38"/>
      <c r="M19" s="6"/>
      <c r="N19" s="39"/>
      <c r="Q19" s="6"/>
      <c r="U19" s="6"/>
    </row>
    <row r="20" spans="2:21" x14ac:dyDescent="0.25">
      <c r="C20" s="40"/>
      <c r="D20" s="41"/>
      <c r="E20" s="41"/>
      <c r="F20" s="42"/>
      <c r="G20" s="43"/>
      <c r="I20" s="41"/>
      <c r="M20" s="41"/>
      <c r="Q20" s="41"/>
      <c r="U20" s="41"/>
    </row>
    <row r="21" spans="2:21" x14ac:dyDescent="0.25">
      <c r="B21" s="5"/>
      <c r="C21" s="5"/>
    </row>
    <row r="28" spans="2:21" x14ac:dyDescent="0.25">
      <c r="B28" s="5"/>
      <c r="C28" s="5"/>
    </row>
    <row r="29" spans="2:21" x14ac:dyDescent="0.25">
      <c r="B29" s="1"/>
      <c r="C29" s="1"/>
    </row>
    <row r="30" spans="2:21" x14ac:dyDescent="0.25">
      <c r="B30" s="3"/>
      <c r="C30" s="3"/>
      <c r="D30" s="6"/>
      <c r="E30" s="6"/>
      <c r="I30" s="6"/>
      <c r="M30" s="6"/>
      <c r="Q30" s="6"/>
      <c r="U30" s="6"/>
    </row>
    <row r="31" spans="2:21" x14ac:dyDescent="0.25">
      <c r="B31" s="3"/>
      <c r="C31" s="3"/>
      <c r="D31" s="6"/>
      <c r="E31" s="6"/>
      <c r="I31" s="6"/>
      <c r="M31" s="6"/>
      <c r="Q31" s="6"/>
      <c r="U31" s="6"/>
    </row>
    <row r="32" spans="2:21" x14ac:dyDescent="0.25">
      <c r="B32" s="4"/>
      <c r="C32" s="4"/>
      <c r="F32" s="7"/>
    </row>
    <row r="33" spans="2:21" x14ac:dyDescent="0.25">
      <c r="B33" s="5"/>
      <c r="C33" s="5"/>
    </row>
    <row r="34" spans="2:21" x14ac:dyDescent="0.25">
      <c r="B34" s="1"/>
      <c r="C34" s="1"/>
    </row>
    <row r="35" spans="2:21" x14ac:dyDescent="0.25">
      <c r="B35" s="5"/>
      <c r="C35" s="5"/>
      <c r="D35" s="6"/>
      <c r="E35" s="6"/>
      <c r="I35" s="6"/>
      <c r="M35" s="6"/>
      <c r="Q35" s="6"/>
      <c r="U35" s="6"/>
    </row>
    <row r="36" spans="2:21" x14ac:dyDescent="0.25">
      <c r="B36" s="3"/>
      <c r="C36" s="3"/>
      <c r="D36" s="6"/>
      <c r="E36" s="6"/>
      <c r="I36" s="6"/>
      <c r="M36" s="6"/>
      <c r="Q36" s="6"/>
      <c r="U36" s="6"/>
    </row>
    <row r="37" spans="2:21" x14ac:dyDescent="0.25">
      <c r="F37" s="7"/>
    </row>
  </sheetData>
  <mergeCells count="11">
    <mergeCell ref="D12:W12"/>
    <mergeCell ref="Y12:Z12"/>
    <mergeCell ref="T4:W4"/>
    <mergeCell ref="B4:C4"/>
    <mergeCell ref="Y4:Z4"/>
    <mergeCell ref="H4:K4"/>
    <mergeCell ref="B1:G1"/>
    <mergeCell ref="D4:G4"/>
    <mergeCell ref="A3:C3"/>
    <mergeCell ref="L4:O4"/>
    <mergeCell ref="P4:S4"/>
  </mergeCells>
  <pageMargins left="0.7" right="0.7" top="0.75" bottom="0.75" header="0.3" footer="0.3"/>
  <pageSetup scale="62" fitToWidth="2" orientation="landscape" r:id="rId1"/>
  <ignoredErrors>
    <ignoredError sqref="A6 A11:A12" numberStoredAsText="1"/>
    <ignoredError sqref="S11 W11 Z1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Quote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Hay</dc:creator>
  <cp:keywords/>
  <dc:description/>
  <cp:lastModifiedBy>Arcilla, Noni P CIV USN NAVSUP FLCSD (USA)</cp:lastModifiedBy>
  <cp:revision/>
  <dcterms:created xsi:type="dcterms:W3CDTF">2022-03-16T19:11:32Z</dcterms:created>
  <dcterms:modified xsi:type="dcterms:W3CDTF">2026-03-04T03:49:03Z</dcterms:modified>
  <cp:category/>
  <cp:contentStatus/>
</cp:coreProperties>
</file>