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ata License Descriptions" sheetId="2" r:id="rId5"/>
    <sheet state="visible" name="FC 1 - GNSS-RO (Base)" sheetId="3" r:id="rId6"/>
    <sheet state="visible" name="FC 1 - GNSS-RO (Option)" sheetId="4" r:id="rId7"/>
    <sheet state="visible" name="FC 2 - GNSS-R (Base)" sheetId="5" r:id="rId8"/>
    <sheet state="visible" name="FC 2 - GNSS-R (Option)" sheetId="6" r:id="rId9"/>
    <sheet state="visible" name="FC 3 - MWS (Base)" sheetId="7" r:id="rId10"/>
    <sheet state="visible" name="FC 3 - MWS (Option)" sheetId="8" r:id="rId11"/>
    <sheet state="visible" name="FC 4 - MSI (Base)" sheetId="9" r:id="rId12"/>
    <sheet state="visible" name="FC 4 - MSI (Option)" sheetId="10" r:id="rId13"/>
    <sheet state="visible" name="FC 5 - IRS (Base)" sheetId="11" r:id="rId14"/>
    <sheet state="visible" name="FC 5 - IRS (Option)" sheetId="12" r:id="rId15"/>
    <sheet state="visible" name="FC 6 - TND (Base)" sheetId="13" r:id="rId16"/>
    <sheet state="visible" name="FC 6 - TND (Option)" sheetId="14" r:id="rId17"/>
    <sheet state="visible" name="FC 7 - AS (Base)" sheetId="15" r:id="rId18"/>
    <sheet state="visible" name="FC 7 - AS (Option)" sheetId="16" r:id="rId19"/>
  </sheets>
  <definedNames/>
  <calcPr/>
  <extLst>
    <ext uri="GoogleSheetsCustomDataVersion2">
      <go:sheetsCustomData xmlns:go="http://customooxmlschemas.google.com/" r:id="rId20" roundtripDataChecksum="hP3pIIqQ+rlnQilQJOVW2sdx3DU9FXNIfeqPAduPUns="/>
    </ext>
  </extLst>
</workbook>
</file>

<file path=xl/sharedStrings.xml><?xml version="1.0" encoding="utf-8"?>
<sst xmlns="http://schemas.openxmlformats.org/spreadsheetml/2006/main" count="3729" uniqueCount="311">
  <si>
    <t>INSTRUCTIONS FOR J.2_PRICE SCHEDULE</t>
  </si>
  <si>
    <t xml:space="preserve">1) "Data License Descriptions" defines the various types of data option licenses that shall be made available under the IDIQ contract. All "UNIT PRICE" Column cells must be populated in the proposed Functional Category(ies) (per subcategory, if applicable). </t>
  </si>
  <si>
    <r>
      <rPr>
        <rFont val="Arial"/>
        <b/>
        <color theme="1"/>
        <sz val="11.0"/>
      </rPr>
      <t xml:space="preserve">2) Worksheet tabs titled, </t>
    </r>
    <r>
      <rPr>
        <rFont val="Arial"/>
        <b/>
        <i/>
        <color theme="1"/>
        <sz val="11.0"/>
      </rPr>
      <t>"FC # - DATA TECH (Base/Option)"</t>
    </r>
    <r>
      <rPr>
        <rFont val="Arial"/>
        <b/>
        <color theme="1"/>
        <sz val="11.0"/>
      </rPr>
      <t>, once filled-in will reflect the offerors' maximum IDIQ ceiling rates for each of the corresponding Quantity and Data Options. These worksheets will also contain offerors' extended prices for the proposed scenarios presented in order for the Government to arrive at a Total Evaluted Price (TEP). The TEP is essentially the sum of the Extended Scenario Prices for 365 days per Functional Category, and per Subcategory when applicable. The TEP is for evaluation purposes only and does not reflect award value.</t>
    </r>
  </si>
  <si>
    <t xml:space="preserve">3) If a vendor anticipates an ability to provide more quantity than listed, an additonal row should be added for each "Data License Option" by copying and pasting the ENTIRE previous row. The vendor would then enter the "UNIT PRICE" and "Max Quantity" into the additional row for each "Data License Option". </t>
  </si>
  <si>
    <t>4) Functional Category 1 GNSS-RO Unit prices reflect SOW C.4.4 Enhanced Data Requirements to include enhanced Signal-Noise Ratio's as well as Temporal Resolution.</t>
  </si>
  <si>
    <t>5) Functional Category 3 Microwave Sounder Unit prices reflect both Traditional and Hyperspectral technologies.</t>
  </si>
  <si>
    <t>NOTES:</t>
  </si>
  <si>
    <t>- When Unit Prices are applied per individual quantity, the award will be calculated by multiplying the Unit Price corresponding to the quantity awarded by the actual quantity awarded. Unit Prices for lower quantity ranges will not be applied. Only one Unit Price will be used per data type (e.g., RO, High SNR RO, TEC, ETC.).
Example: If 6,000 RO are awarded per day, the daily award will be calculated using the Unit Price for the 5,001–10,000 RO/day range, multiplied by 6,000.</t>
  </si>
  <si>
    <t>- When Unit Prices are applied per # of satellites, the award will be calculated by multiplying the Unit Price corresponding to the # of satellites awarded per day by the actual number of satellites awarded. Unit Prices for lower satellite quantities will not apply. Only one Unit Price will be used per data type.
Example: If 2 satellites of MWS observations are awarded per day, the daily award will be calculated using the Unit Price for 2 satellites, multiplied by 2.</t>
  </si>
  <si>
    <t>- When Unit Prices are applied per km², the award will be calculated by multiplying the Unit Price corresponding to the km² awarded per day by the actual km² awarded. Unit Prices for lower km² ranges will not apply. Only one Unit Price will be used per data type.
Example: If 1M km² of Multispectral Imagery observations are awarded per day, the daily award will be calculated using the Unit Price for the 500,001–1M km² range, multiplied by 1,000,000.</t>
  </si>
  <si>
    <t>Commercial Data Licensing Options</t>
  </si>
  <si>
    <t>Option 1:</t>
  </si>
  <si>
    <t>Right to distribute all Contractor-provided data to any entity immediately after receipt at NOAA with no restrictions on their use or further distribution, under a Creative Commons Attribution 4.0 International license (CC BY 4.0).</t>
  </si>
  <si>
    <t>Option 2:</t>
  </si>
  <si>
    <t>Right to distribute all Contractor-provided data to U.S. Government agencies, International Partners, including but not limited to those responsible for national meteorological, space weather, or hydrological services, and National Meteorological and Hydrological Services, WMO-designated Regional Specialized Meteorological Centers, members of the Coordination Group for Meteorological Satellites, and non-profit entities and academic entities, immediately after receipt at NOAA, for non-commercial use but not for further distribution.</t>
  </si>
  <si>
    <t>Option 2A:</t>
  </si>
  <si>
    <t>In addition to the rights under Option 2, Option 1 rights will apply to all Contractor-provided data beginning at 24 hours after collection.</t>
  </si>
  <si>
    <t>Option 3:</t>
  </si>
  <si>
    <t>Right to distribute all Contractor-provided data to U.S. Government agencies, International Partners, including but not limited to those responsible for national meteorological, space weather, or hydrological services, and National Meteorological and Hydrological Services, WMO-designated Regional Specialized Meteorological Centers, and members of the Coordination Group for Meteorological Satellites, immediately after receipt at NOAA, for non-commercial use but not for further distribution.</t>
  </si>
  <si>
    <t>Option 3A:</t>
  </si>
  <si>
    <t>In addition to the rights under Option 3, Option 1 rights will apply to all Contractor-provided data beginning at 24 hours after collection.</t>
  </si>
  <si>
    <t>Option 4:</t>
  </si>
  <si>
    <t>Distribution to U.S. government agencies for non-commercial use and no further distribution (except to contractors and affiliates for use on agency behalf).</t>
  </si>
  <si>
    <t>FUNCTIONAL CATEGORY 1: GLOBAL NAVIGATION SATELLITE SYSTEM-RADIO OCCULTATION (GNSS-RO)</t>
  </si>
  <si>
    <t>BASE Period</t>
  </si>
  <si>
    <t>Subcategory 1: Neutral Atmosphere Products (to include Enhanced Data Requirements - see SoW C.4.4.)</t>
  </si>
  <si>
    <t xml:space="preserve">SCHEDULE </t>
  </si>
  <si>
    <t>FC1 Subcategory 1: Extended Scenario Price (ESP)</t>
  </si>
  <si>
    <t>ITEM NO.
FC1.0000</t>
  </si>
  <si>
    <t>Data License Option</t>
  </si>
  <si>
    <t>SUPPLIES</t>
  </si>
  <si>
    <t>QTY</t>
  </si>
  <si>
    <t>UNIT</t>
  </si>
  <si>
    <t>UNIT PRICE</t>
  </si>
  <si>
    <t>Max Quantity</t>
  </si>
  <si>
    <t>Max Price per Day</t>
  </si>
  <si>
    <t>Max Price per Year</t>
  </si>
  <si>
    <t>License</t>
  </si>
  <si>
    <t>FC1 Total Evaluated Price Subcategory 1
BASE Period</t>
  </si>
  <si>
    <t>0001</t>
  </si>
  <si>
    <r>
      <rPr>
        <rFont val="Arial"/>
        <color rgb="FFFF0000"/>
        <sz val="11.0"/>
      </rPr>
      <t>RO Profiles</t>
    </r>
    <r>
      <rPr>
        <rFont val="Arial"/>
        <color theme="1"/>
        <sz val="11.0"/>
      </rPr>
      <t xml:space="preserve"> per Day</t>
    </r>
  </si>
  <si>
    <t>EA</t>
  </si>
  <si>
    <t>501-1,000</t>
  </si>
  <si>
    <t>1,001-5,000</t>
  </si>
  <si>
    <t>2A</t>
  </si>
  <si>
    <t>5,001-10,000</t>
  </si>
  <si>
    <t>10,001-20,000</t>
  </si>
  <si>
    <t>3A</t>
  </si>
  <si>
    <t>20,001-30,000</t>
  </si>
  <si>
    <t>FC1 SC1 TOTAL</t>
  </si>
  <si>
    <t>0002</t>
  </si>
  <si>
    <r>
      <rPr>
        <rFont val="Arial"/>
        <color rgb="FFFF0000"/>
        <sz val="11.0"/>
      </rPr>
      <t>RO Profiles</t>
    </r>
    <r>
      <rPr>
        <rFont val="Arial"/>
        <color theme="1"/>
        <sz val="11.0"/>
      </rPr>
      <t xml:space="preserve"> per Day</t>
    </r>
  </si>
  <si>
    <t>0003</t>
  </si>
  <si>
    <r>
      <rPr>
        <rFont val="Arial"/>
        <color rgb="FFFF0000"/>
        <sz val="11.0"/>
      </rPr>
      <t>RO Profiles</t>
    </r>
    <r>
      <rPr>
        <rFont val="Arial"/>
        <color theme="1"/>
        <sz val="11.0"/>
      </rPr>
      <t xml:space="preserve"> per Day</t>
    </r>
  </si>
  <si>
    <t>0004</t>
  </si>
  <si>
    <r>
      <rPr>
        <rFont val="Arial"/>
        <color rgb="FFFF0000"/>
        <sz val="11.0"/>
      </rPr>
      <t>RO Profiles</t>
    </r>
    <r>
      <rPr>
        <rFont val="Arial"/>
        <color theme="1"/>
        <sz val="11.0"/>
      </rPr>
      <t xml:space="preserve"> per Day</t>
    </r>
  </si>
  <si>
    <t>0005</t>
  </si>
  <si>
    <r>
      <rPr>
        <rFont val="Arial"/>
        <color rgb="FFFF0000"/>
        <sz val="11.0"/>
      </rPr>
      <t>RO Profiles</t>
    </r>
    <r>
      <rPr>
        <rFont val="Arial"/>
        <color theme="1"/>
        <sz val="11.0"/>
      </rPr>
      <t xml:space="preserve"> per Day</t>
    </r>
  </si>
  <si>
    <t>Subcategory 2: Polarimetric Products</t>
  </si>
  <si>
    <t>FC1 Subcategory 2: Extended Scenario Price (ESP)</t>
  </si>
  <si>
    <t>ITEM NO.</t>
  </si>
  <si>
    <t>Max quantity</t>
  </si>
  <si>
    <t>FC1 Total Evaluated Price Subcategory 2
BASE Period</t>
  </si>
  <si>
    <t>0006</t>
  </si>
  <si>
    <r>
      <rPr>
        <rFont val="Arial"/>
        <color rgb="FFFF0000"/>
        <sz val="11.0"/>
      </rPr>
      <t>PRO Profiles</t>
    </r>
    <r>
      <rPr>
        <rFont val="Arial"/>
        <color theme="1"/>
        <sz val="11.0"/>
      </rPr>
      <t xml:space="preserve"> per Day</t>
    </r>
  </si>
  <si>
    <t>FC1 SC2 TOTAL</t>
  </si>
  <si>
    <t>0007</t>
  </si>
  <si>
    <r>
      <rPr>
        <rFont val="Arial"/>
        <color rgb="FFFF0000"/>
        <sz val="11.0"/>
      </rPr>
      <t>PRO Profiles</t>
    </r>
    <r>
      <rPr>
        <rFont val="Arial"/>
        <color theme="1"/>
        <sz val="11.0"/>
      </rPr>
      <t xml:space="preserve"> per Day</t>
    </r>
  </si>
  <si>
    <t>0008</t>
  </si>
  <si>
    <r>
      <rPr>
        <rFont val="Arial"/>
        <color rgb="FFFF0000"/>
        <sz val="11.0"/>
      </rPr>
      <t>PRO Profiles</t>
    </r>
    <r>
      <rPr>
        <rFont val="Arial"/>
        <color theme="1"/>
        <sz val="11.0"/>
      </rPr>
      <t xml:space="preserve"> per Day</t>
    </r>
  </si>
  <si>
    <t>0009</t>
  </si>
  <si>
    <r>
      <rPr>
        <rFont val="Arial"/>
        <color rgb="FFFF0000"/>
        <sz val="11.0"/>
      </rPr>
      <t>PRO Profiles</t>
    </r>
    <r>
      <rPr>
        <rFont val="Arial"/>
        <color theme="1"/>
        <sz val="11.0"/>
      </rPr>
      <t xml:space="preserve"> per Day</t>
    </r>
  </si>
  <si>
    <t>0010</t>
  </si>
  <si>
    <r>
      <rPr>
        <rFont val="Arial"/>
        <color rgb="FFFF0000"/>
        <sz val="11.0"/>
      </rPr>
      <t>PRO Profiles</t>
    </r>
    <r>
      <rPr>
        <rFont val="Arial"/>
        <color theme="1"/>
        <sz val="11.0"/>
      </rPr>
      <t xml:space="preserve"> per Day</t>
    </r>
  </si>
  <si>
    <t>Subcategory 3: Space Weather Total Electron Content (TEC) Products</t>
  </si>
  <si>
    <t>FC1 Subcategory 3: Extended Scenario Price (ESP)</t>
  </si>
  <si>
    <t>FC1 Total Evaluated Price Subcategory 3
BASE Period</t>
  </si>
  <si>
    <t>0011</t>
  </si>
  <si>
    <r>
      <rPr>
        <rFont val="Arial"/>
        <color rgb="FFFF0000"/>
        <sz val="11.0"/>
      </rPr>
      <t xml:space="preserve">Ionospheric Tracks </t>
    </r>
    <r>
      <rPr>
        <rFont val="Arial"/>
        <color theme="1"/>
        <sz val="11.0"/>
      </rPr>
      <t>per Day</t>
    </r>
  </si>
  <si>
    <t>FC1 SC3 TOTAL</t>
  </si>
  <si>
    <t>0012</t>
  </si>
  <si>
    <r>
      <rPr>
        <rFont val="Arial"/>
        <color rgb="FFFF0000"/>
        <sz val="11.0"/>
      </rPr>
      <t xml:space="preserve">Ionospheric Tracks </t>
    </r>
    <r>
      <rPr>
        <rFont val="Arial"/>
        <color theme="1"/>
        <sz val="11.0"/>
      </rPr>
      <t>per Day</t>
    </r>
  </si>
  <si>
    <t>0013</t>
  </si>
  <si>
    <r>
      <rPr>
        <rFont val="Arial"/>
        <color rgb="FFFF0000"/>
        <sz val="11.0"/>
      </rPr>
      <t xml:space="preserve">Ionospheric Tracks </t>
    </r>
    <r>
      <rPr>
        <rFont val="Arial"/>
        <color theme="1"/>
        <sz val="11.0"/>
      </rPr>
      <t>per Day</t>
    </r>
  </si>
  <si>
    <t>0014</t>
  </si>
  <si>
    <r>
      <rPr>
        <rFont val="Arial"/>
        <color rgb="FFFF0000"/>
        <sz val="11.0"/>
      </rPr>
      <t xml:space="preserve">Ionospheric Tracks </t>
    </r>
    <r>
      <rPr>
        <rFont val="Arial"/>
        <color theme="1"/>
        <sz val="11.0"/>
      </rPr>
      <t>per Day</t>
    </r>
  </si>
  <si>
    <t>0015</t>
  </si>
  <si>
    <r>
      <rPr>
        <rFont val="Arial"/>
        <color rgb="FFFF0000"/>
        <sz val="11.0"/>
      </rPr>
      <t xml:space="preserve">Ionospheric Tracks </t>
    </r>
    <r>
      <rPr>
        <rFont val="Arial"/>
        <color theme="1"/>
        <sz val="11.0"/>
      </rPr>
      <t>per Day</t>
    </r>
  </si>
  <si>
    <t>Subcategory 4: Space Weather Scintillation Products</t>
  </si>
  <si>
    <t>FC1 Subcategory 4: Extended Scenario Price (ESP)</t>
  </si>
  <si>
    <t>FC1 Total Evaluated Price Subcategory 4
BASE Period</t>
  </si>
  <si>
    <t>0016</t>
  </si>
  <si>
    <r>
      <rPr>
        <rFont val="Arial"/>
        <color rgb="FFFF0000"/>
        <sz val="11.0"/>
      </rPr>
      <t xml:space="preserve">Ionospheric Tracks </t>
    </r>
    <r>
      <rPr>
        <rFont val="Arial"/>
        <color theme="1"/>
        <sz val="11.0"/>
      </rPr>
      <t>per Day</t>
    </r>
  </si>
  <si>
    <t>FC1 SC4 TOTAL</t>
  </si>
  <si>
    <t>0017</t>
  </si>
  <si>
    <r>
      <rPr>
        <rFont val="Arial"/>
        <color rgb="FFFF0000"/>
        <sz val="11.0"/>
      </rPr>
      <t xml:space="preserve">Ionospheric Tracks </t>
    </r>
    <r>
      <rPr>
        <rFont val="Arial"/>
        <color theme="1"/>
        <sz val="11.0"/>
      </rPr>
      <t>per Day</t>
    </r>
  </si>
  <si>
    <t>0018</t>
  </si>
  <si>
    <r>
      <rPr>
        <rFont val="Arial"/>
        <color rgb="FFFF0000"/>
        <sz val="11.0"/>
      </rPr>
      <t xml:space="preserve">Ionospheric Tracks </t>
    </r>
    <r>
      <rPr>
        <rFont val="Arial"/>
        <color theme="1"/>
        <sz val="11.0"/>
      </rPr>
      <t>per Day</t>
    </r>
  </si>
  <si>
    <t>0019</t>
  </si>
  <si>
    <r>
      <rPr>
        <rFont val="Arial"/>
        <color rgb="FFFF0000"/>
        <sz val="11.0"/>
      </rPr>
      <t xml:space="preserve">Ionospheric Tracks </t>
    </r>
    <r>
      <rPr>
        <rFont val="Arial"/>
        <color theme="1"/>
        <sz val="11.0"/>
      </rPr>
      <t>per Day</t>
    </r>
  </si>
  <si>
    <t>0020</t>
  </si>
  <si>
    <r>
      <rPr>
        <rFont val="Arial"/>
        <color rgb="FFFF0000"/>
        <sz val="11.0"/>
      </rPr>
      <t xml:space="preserve">Ionospheric Tracks </t>
    </r>
    <r>
      <rPr>
        <rFont val="Arial"/>
        <color theme="1"/>
        <sz val="11.0"/>
      </rPr>
      <t>per Day</t>
    </r>
  </si>
  <si>
    <t>OPTION Period</t>
  </si>
  <si>
    <t>FC1 Total Evaluated Price Subcategory 1
OPTION Period</t>
  </si>
  <si>
    <r>
      <rPr>
        <rFont val="Arial"/>
        <color rgb="FFFF0000"/>
        <sz val="11.0"/>
      </rPr>
      <t>RO Profiles</t>
    </r>
    <r>
      <rPr>
        <rFont val="Arial"/>
        <color theme="1"/>
        <sz val="11.0"/>
      </rPr>
      <t xml:space="preserve"> per Day</t>
    </r>
  </si>
  <si>
    <r>
      <rPr>
        <rFont val="Arial"/>
        <color rgb="FFFF0000"/>
        <sz val="11.0"/>
      </rPr>
      <t>RO Profiles</t>
    </r>
    <r>
      <rPr>
        <rFont val="Arial"/>
        <color theme="1"/>
        <sz val="11.0"/>
      </rPr>
      <t xml:space="preserve"> per Day</t>
    </r>
  </si>
  <si>
    <r>
      <rPr>
        <rFont val="Arial"/>
        <color rgb="FFFF0000"/>
        <sz val="11.0"/>
      </rPr>
      <t>RO Profiles</t>
    </r>
    <r>
      <rPr>
        <rFont val="Arial"/>
        <color theme="1"/>
        <sz val="11.0"/>
      </rPr>
      <t xml:space="preserve"> per Day</t>
    </r>
  </si>
  <si>
    <r>
      <rPr>
        <rFont val="Arial"/>
        <color rgb="FFFF0000"/>
        <sz val="11.0"/>
      </rPr>
      <t>RO Profiles</t>
    </r>
    <r>
      <rPr>
        <rFont val="Arial"/>
        <color theme="1"/>
        <sz val="11.0"/>
      </rPr>
      <t xml:space="preserve"> per Day</t>
    </r>
  </si>
  <si>
    <r>
      <rPr>
        <rFont val="Arial"/>
        <color rgb="FFFF0000"/>
        <sz val="11.0"/>
      </rPr>
      <t>RO Profiles</t>
    </r>
    <r>
      <rPr>
        <rFont val="Arial"/>
        <color theme="1"/>
        <sz val="11.0"/>
      </rPr>
      <t xml:space="preserve"> per Day</t>
    </r>
  </si>
  <si>
    <t>FC1 Total Evaluated Price Subcategory 2
OPTION Period</t>
  </si>
  <si>
    <r>
      <rPr>
        <rFont val="Arial"/>
        <color rgb="FFFF0000"/>
        <sz val="11.0"/>
      </rPr>
      <t>PRO Profiles</t>
    </r>
    <r>
      <rPr>
        <rFont val="Arial"/>
        <color theme="1"/>
        <sz val="11.0"/>
      </rPr>
      <t xml:space="preserve"> per Day</t>
    </r>
  </si>
  <si>
    <r>
      <rPr>
        <rFont val="Arial"/>
        <color rgb="FFFF0000"/>
        <sz val="11.0"/>
      </rPr>
      <t>PRO Profiles</t>
    </r>
    <r>
      <rPr>
        <rFont val="Arial"/>
        <color theme="1"/>
        <sz val="11.0"/>
      </rPr>
      <t xml:space="preserve"> per Day</t>
    </r>
  </si>
  <si>
    <r>
      <rPr>
        <rFont val="Arial"/>
        <color rgb="FFFF0000"/>
        <sz val="11.0"/>
      </rPr>
      <t>PRO Profiles</t>
    </r>
    <r>
      <rPr>
        <rFont val="Arial"/>
        <color theme="1"/>
        <sz val="11.0"/>
      </rPr>
      <t xml:space="preserve"> per Day</t>
    </r>
  </si>
  <si>
    <r>
      <rPr>
        <rFont val="Arial"/>
        <color rgb="FFFF0000"/>
        <sz val="11.0"/>
      </rPr>
      <t>PRO Profiles</t>
    </r>
    <r>
      <rPr>
        <rFont val="Arial"/>
        <color theme="1"/>
        <sz val="11.0"/>
      </rPr>
      <t xml:space="preserve"> per Day</t>
    </r>
  </si>
  <si>
    <r>
      <rPr>
        <rFont val="Arial"/>
        <color rgb="FFFF0000"/>
        <sz val="11.0"/>
      </rPr>
      <t>PRO Profiles</t>
    </r>
    <r>
      <rPr>
        <rFont val="Arial"/>
        <color theme="1"/>
        <sz val="11.0"/>
      </rPr>
      <t xml:space="preserve"> per Day</t>
    </r>
  </si>
  <si>
    <t>FC1 Total Evaluated Price Subcategory 3
OPTION Period</t>
  </si>
  <si>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</si>
  <si>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</si>
  <si>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</si>
  <si>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</si>
  <si>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</si>
  <si>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t>FC1 Total Evaluated Price Subcategory 4
OPTION Period</t>
  </si>
  <si>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</si>
  <si>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</si>
  <si>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</si>
  <si>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</si>
  <si>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r>
      <rPr>
        <rFont val="Arial"/>
        <color rgb="FFFF0000"/>
        <sz val="11.0"/>
      </rPr>
      <t xml:space="preserve">Ionospheric Tracks </t>
    </r>
    <r>
      <rPr>
        <rFont val="Arial"/>
        <color theme="1"/>
        <sz val="11.0"/>
      </rPr>
      <t>per Day</t>
    </r>
  </si>
  <si>
    <t>FUNCTIONAL CATEGORY 2: GLOBAL NAVIGATION SATELLITE SYSTEM-REFLECTOMETRY (GNSS-R)</t>
  </si>
  <si>
    <t>FC2: Extended Scenario Price (ESP)</t>
  </si>
  <si>
    <t>ITEM NO.
FC2.0000</t>
  </si>
  <si>
    <t>FC2 Total Evaluated Price BASE Period</t>
  </si>
  <si>
    <r>
      <rPr>
        <rFont val="Arial"/>
        <color rgb="FFFF0000"/>
        <sz val="11.0"/>
      </rPr>
      <t>Tracks</t>
    </r>
    <r>
      <rPr>
        <rFont val="Arial"/>
        <color theme="1"/>
        <sz val="11.0"/>
      </rPr>
      <t xml:space="preserve"> per Day</t>
    </r>
  </si>
  <si>
    <t>201-500</t>
  </si>
  <si>
    <t>501-1000</t>
  </si>
  <si>
    <t>1001-1500</t>
  </si>
  <si>
    <t>1501-2000</t>
  </si>
  <si>
    <t>2001-3000</t>
  </si>
  <si>
    <t>FC TOTAL</t>
  </si>
  <si>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</si>
  <si>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</si>
  <si>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</si>
  <si>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</si>
  <si>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t>FC2 Total Evaluated Price OPTION Period</t>
  </si>
  <si>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</si>
  <si>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</si>
  <si>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</si>
  <si>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</si>
  <si>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r>
      <rPr>
        <rFont val="Arial"/>
        <color rgb="FFFF0000"/>
        <sz val="11.0"/>
      </rPr>
      <t>Tracks</t>
    </r>
    <r>
      <rPr>
        <rFont val="Arial"/>
        <color theme="1"/>
        <sz val="11.0"/>
      </rPr>
      <t xml:space="preserve"> per Day</t>
    </r>
  </si>
  <si>
    <t>FUNCTIONAL CATEGORY 3: MICROWAVE SOUNDER (MWS) (Includes Traditional and Hyperspectral)</t>
  </si>
  <si>
    <t>FC3: Extended Scenario Price (ESP)</t>
  </si>
  <si>
    <t>ITEM NO.
FC3.0000</t>
  </si>
  <si>
    <t># of satellites</t>
  </si>
  <si>
    <t>FC3 Total Evaluated Price BASE Period</t>
  </si>
  <si>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</si>
  <si>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</si>
  <si>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</si>
  <si>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</si>
  <si>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</si>
  <si>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t>FC3 Total Evaluated Price OPTION Period</t>
  </si>
  <si>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</si>
  <si>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</si>
  <si>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</si>
  <si>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</si>
  <si>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</si>
  <si>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t>FUNCTIONAL CATEGORY 4: MULTISPECTRAL VISIBLE AND INFRARED IMAGERY (MSI)</t>
  </si>
  <si>
    <t>Subcategory 1: Multispectral Weather to Include Low-light</t>
  </si>
  <si>
    <t>FC4 Subcategory 1: Extended Scenario Price (ESP)</t>
  </si>
  <si>
    <t>ITEM NO.
FC4.0000</t>
  </si>
  <si>
    <t>Quantity (km²)</t>
  </si>
  <si>
    <t>FC4 Total Evaluated Price Subcategory 1
BASE Period</t>
  </si>
  <si>
    <r>
      <rPr>
        <rFont val="Arial"/>
        <color rgb="FFFF0000"/>
        <sz val="11.0"/>
      </rPr>
      <t>Coverage Area</t>
    </r>
    <r>
      <rPr>
        <rFont val="Arial"/>
        <color theme="1"/>
        <sz val="11.0"/>
      </rPr>
      <t xml:space="preserve"> per Day</t>
    </r>
  </si>
  <si>
    <t>100k</t>
  </si>
  <si>
    <t>km²</t>
  </si>
  <si>
    <t>100,001 - 500k</t>
  </si>
  <si>
    <t>500,001 - 1M</t>
  </si>
  <si>
    <t>1,000,001 - 5M</t>
  </si>
  <si>
    <t>5,000,001 - 10M</t>
  </si>
  <si>
    <t>10,000,001 - 50M</t>
  </si>
  <si>
    <t>50,000,001 - 100M</t>
  </si>
  <si>
    <t>100,000,001 - 500M</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</si>
  <si>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</si>
  <si>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</si>
  <si>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</si>
  <si>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</si>
  <si>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Subcategory 2: Multispectral Fire Applications</t>
  </si>
  <si>
    <t>FC4 Subcategory 2: Extended Scenario Price (ESP)</t>
  </si>
  <si>
    <t>FC4 Total Evaluated Price Subcategory 2
BASE Period</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</si>
  <si>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</si>
  <si>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</si>
  <si>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</si>
  <si>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100M - 500M</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</si>
  <si>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</si>
  <si>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</si>
  <si>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FC4 Total Evaluated Price Subcategory 1
OPTION Period</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</si>
  <si>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</si>
  <si>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</si>
  <si>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</si>
  <si>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</si>
  <si>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</si>
  <si>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FC4 Total Evaluated Price Subcategory 2
OPTION Period</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</si>
  <si>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</si>
  <si>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</si>
  <si>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</si>
  <si>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</si>
  <si>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</si>
  <si>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FUNCTIONAL CATEGORY 5: INFRARED SOUNDER (IRS)</t>
  </si>
  <si>
    <t>FC5: Extended Scenario Price (ESP)</t>
  </si>
  <si>
    <t>ITEM NO.
FC5.0000</t>
  </si>
  <si>
    <t>FC5 Total Evaluated Price BASE Period</t>
  </si>
  <si>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</si>
  <si>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</si>
  <si>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</si>
  <si>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</si>
  <si>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</si>
  <si>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t>FC5 Total Evaluated Price OPTION Period</t>
  </si>
  <si>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</si>
  <si>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</si>
  <si>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</si>
  <si>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</si>
  <si>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</si>
  <si>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t>FUNCTIONAL CATEGORY 6: THERMOSPHERIC NEUTRAL DENSITY (TND)</t>
  </si>
  <si>
    <t>FC6: Extended Scenario Price (ESP)</t>
  </si>
  <si>
    <t>ITEM NO.
FC6.0000</t>
  </si>
  <si>
    <t>FC6 Total Evaluated Price BASE Period</t>
  </si>
  <si>
    <r>
      <rPr>
        <rFont val="Arial"/>
        <color rgb="FFFF0000"/>
        <sz val="11.0"/>
      </rPr>
      <t>Density Observations</t>
    </r>
    <r>
      <rPr>
        <rFont val="Arial"/>
        <color theme="1"/>
        <sz val="11.0"/>
      </rPr>
      <t xml:space="preserve"> per Day</t>
    </r>
  </si>
  <si>
    <t>30,001-50,000</t>
  </si>
  <si>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</si>
  <si>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</si>
  <si>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</si>
  <si>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</si>
  <si>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t>FC6 Total Evaluated Price OPTION Period</t>
  </si>
  <si>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</si>
  <si>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</si>
  <si>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</si>
  <si>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</si>
  <si>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r>
      <rPr>
        <rFont val="Arial"/>
        <color rgb="FFFF0000"/>
        <sz val="11.0"/>
      </rPr>
      <t>Density Observations</t>
    </r>
    <r>
      <rPr>
        <rFont val="Arial"/>
        <color theme="1"/>
        <sz val="11.0"/>
      </rPr>
      <t xml:space="preserve"> per Day</t>
    </r>
  </si>
  <si>
    <t>FUNCTIONAL CATEGORY 7: ACTIVE SENSORS (AS)</t>
  </si>
  <si>
    <t>Subcategory 1: SAR</t>
  </si>
  <si>
    <t>SCHEDULE (SAR) - Resolution 3 - 10 meters</t>
  </si>
  <si>
    <t>FC7 SC1: Extended Scenario Price (ESP)</t>
  </si>
  <si>
    <t>SCHEDULE (SAR) - Resolution 11 - 50 meters</t>
  </si>
  <si>
    <t>SCHEDULE (SAR) - Resolution 51 - 100 meters</t>
  </si>
  <si>
    <t>SCHEDULE (SAR) - Resolution 101 - 500 meters</t>
  </si>
  <si>
    <t>ITEM NO.
FC7.0000</t>
  </si>
  <si>
    <t>FC7 SC1 Total Evaluated Price BASE Period
(SAR) Resolution 3 - 10 meters</t>
  </si>
  <si>
    <t>FC7 SC1 Total Evaluated Price BASE Period
(SAR) Resolution 11-50 meters</t>
  </si>
  <si>
    <t>FC7 SC1 Total Evaluated Price BASE Period
(SAR) Resolution 51 - 100 meters</t>
  </si>
  <si>
    <t>FC7 SC1 Total Evaluated Price BASE Period
(SAR) Resolution 101 - 150 meters</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</si>
  <si>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</si>
  <si>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</si>
  <si>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</si>
  <si>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</si>
  <si>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10,001 - 50k</t>
  </si>
  <si>
    <t>50,001 - 100k</t>
  </si>
  <si>
    <t>FC7 TOTAL</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</si>
  <si>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</si>
  <si>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</si>
  <si>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</si>
  <si>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</si>
  <si>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</si>
  <si>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</si>
  <si>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</si>
  <si>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</si>
  <si>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</si>
  <si>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</si>
  <si>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</si>
  <si>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</si>
  <si>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</si>
  <si>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</si>
  <si>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</si>
  <si>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</si>
  <si>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Subcategory 2: Other AS</t>
  </si>
  <si>
    <t>SCHEDULE (Altimetry, K/Ka/Ku-Band Radar and Scatterometry)</t>
  </si>
  <si>
    <t>FC7 SC2: Extended Scenario Price (ESP)</t>
  </si>
  <si>
    <t># of Satellites</t>
  </si>
  <si>
    <t>FC7 SC2 Total Evaluated Price BASE Period
(Altimetry, K/Ka/Ku-Band Radar and Scatterometry)</t>
  </si>
  <si>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</si>
  <si>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</si>
  <si>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</si>
  <si>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</si>
  <si>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</si>
  <si>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t>FC7 SC1 Total Evaluated Price OPTION Period
(SAR) Resolution 3 - 10 meters</t>
  </si>
  <si>
    <t>FC7 SC1 Total Evaluated Price OPTION Period
(SAR) Resolution 11-50 meters</t>
  </si>
  <si>
    <t>FC7 SC1 Total Evaluated Price OPTION Period
(SAR) Resolution 51 - 100 meters</t>
  </si>
  <si>
    <t>FC7 SC1 Total Evaluated Price OPTION Period
(SAR) Resolution 101 - 150 meters</t>
  </si>
  <si>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</si>
  <si>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</si>
  <si>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</si>
  <si>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</si>
  <si>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</si>
  <si>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</si>
  <si>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</si>
  <si>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</si>
  <si>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</si>
  <si>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</si>
  <si>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</si>
  <si>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</si>
  <si>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</si>
  <si>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</si>
  <si>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</si>
  <si>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</si>
  <si>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</si>
  <si>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</si>
  <si>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</si>
  <si>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r>
      <rPr>
        <rFont val="Arial"/>
        <color rgb="FFFF0000"/>
        <sz val="11.0"/>
      </rPr>
      <t>Coverage Area</t>
    </r>
    <r>
      <rPr>
        <rFont val="Arial"/>
        <color theme="1"/>
        <sz val="11.0"/>
      </rPr>
      <t xml:space="preserve"> per Day</t>
    </r>
  </si>
  <si>
    <t>FC7 SC2 Total Evaluated Price OPTION Period
(Altimetry, K/Ka/Ku-Band Radar and Scatterometry)</t>
  </si>
  <si>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</si>
  <si>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</si>
  <si>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</si>
  <si>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</si>
  <si>
    <r>
      <rPr>
        <rFont val="Arial"/>
        <color rgb="FFFF0000"/>
        <sz val="11.0"/>
      </rPr>
      <t xml:space="preserve">Satellites </t>
    </r>
    <r>
      <rPr>
        <rFont val="Arial"/>
        <color theme="1"/>
        <sz val="11.0"/>
      </rPr>
      <t>per Day</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</si>
</sst>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15">
    <font>
      <sz val="11.0"/>
      <color theme="1"/>
      <name val="Aptos Narrow"/>
      <scheme val="minor"/>
    </font>
    <font>
      <b/>
      <sz val="14.0"/>
      <color rgb="FFFFFFFF"/>
      <name val="Aptos Narrow"/>
    </font>
    <font/>
    <font>
      <b/>
      <sz val="11.0"/>
      <color theme="1"/>
      <name val="Arial"/>
    </font>
    <font>
      <b/>
      <color theme="1"/>
      <name val="Aptos Narrow"/>
      <scheme val="minor"/>
    </font>
    <font>
      <b/>
      <color theme="1"/>
      <name val="Arial"/>
    </font>
    <font>
      <sz val="11.0"/>
      <color theme="1"/>
      <name val="Arial"/>
    </font>
    <font>
      <color theme="1"/>
      <name val="Arial"/>
    </font>
    <font>
      <sz val="14.0"/>
      <color theme="1"/>
      <name val="Aptos Narrow"/>
    </font>
    <font>
      <b/>
      <sz val="11.0"/>
      <color theme="1"/>
      <name val="Aptos Narrow"/>
    </font>
    <font>
      <sz val="11.0"/>
      <color theme="1"/>
      <name val="Aptos Narrow"/>
    </font>
    <font>
      <b/>
      <sz val="14.0"/>
      <color theme="1"/>
      <name val="Aptos Narrow"/>
    </font>
    <font>
      <b/>
      <sz val="14.0"/>
      <color theme="1"/>
      <name val="Arial"/>
    </font>
    <font>
      <color theme="1"/>
      <name val="Aptos Narrow"/>
      <scheme val="minor"/>
    </font>
    <font>
      <sz val="14.0"/>
      <color theme="1"/>
      <name val="Arial"/>
    </font>
  </fonts>
  <fills count="21">
    <fill>
      <patternFill patternType="none"/>
    </fill>
    <fill>
      <patternFill patternType="lightGray"/>
    </fill>
    <fill>
      <patternFill patternType="solid">
        <fgColor rgb="FF1F497D"/>
        <bgColor rgb="FF1F497D"/>
      </patternFill>
    </fill>
    <fill>
      <patternFill patternType="solid">
        <fgColor rgb="FFFFFFFF"/>
        <bgColor rgb="FFFFFFFF"/>
      </patternFill>
    </fill>
    <fill>
      <patternFill patternType="solid">
        <fgColor rgb="FFF7CB4D"/>
        <bgColor rgb="FFF7CB4D"/>
      </patternFill>
    </fill>
    <fill>
      <patternFill patternType="solid">
        <fgColor rgb="FFFEF8E3"/>
        <bgColor rgb="FFFEF8E3"/>
      </patternFill>
    </fill>
    <fill>
      <patternFill patternType="solid">
        <fgColor rgb="FFFF00FF"/>
        <bgColor rgb="FFFF00FF"/>
      </patternFill>
    </fill>
    <fill>
      <patternFill patternType="solid">
        <fgColor rgb="FFF46524"/>
        <bgColor rgb="FFF46524"/>
      </patternFill>
    </fill>
    <fill>
      <patternFill patternType="solid">
        <fgColor rgb="FFFFE6DD"/>
        <bgColor rgb="FFFFE6DD"/>
      </patternFill>
    </fill>
    <fill>
      <patternFill patternType="solid">
        <fgColor rgb="FF8989EB"/>
        <bgColor rgb="FF8989EB"/>
      </patternFill>
    </fill>
    <fill>
      <patternFill patternType="solid">
        <fgColor rgb="FFE8E7FC"/>
        <bgColor rgb="FFE8E7FC"/>
      </patternFill>
    </fill>
    <fill>
      <patternFill patternType="solid">
        <fgColor rgb="FF78909C"/>
        <bgColor rgb="FF78909C"/>
      </patternFill>
    </fill>
    <fill>
      <patternFill patternType="solid">
        <fgColor rgb="FFEBEFF1"/>
        <bgColor rgb="FFEBEFF1"/>
      </patternFill>
    </fill>
    <fill>
      <patternFill patternType="solid">
        <fgColor rgb="FF5B95F9"/>
        <bgColor rgb="FF5B95F9"/>
      </patternFill>
    </fill>
    <fill>
      <patternFill patternType="solid">
        <fgColor rgb="FFE8F0FE"/>
        <bgColor rgb="FFE8F0FE"/>
      </patternFill>
    </fill>
    <fill>
      <patternFill patternType="solid">
        <fgColor rgb="FF4DD0E1"/>
        <bgColor rgb="FF4DD0E1"/>
      </patternFill>
    </fill>
    <fill>
      <patternFill patternType="solid">
        <fgColor rgb="FFE0F7FA"/>
        <bgColor rgb="FFE0F7FA"/>
      </patternFill>
    </fill>
    <fill>
      <patternFill patternType="solid">
        <fgColor rgb="FFCCA677"/>
        <bgColor rgb="FFCCA677"/>
      </patternFill>
    </fill>
    <fill>
      <patternFill patternType="solid">
        <fgColor rgb="FFF8F2EB"/>
        <bgColor rgb="FFF8F2EB"/>
      </patternFill>
    </fill>
    <fill>
      <patternFill patternType="solid">
        <fgColor rgb="FF8BC34A"/>
        <bgColor rgb="FF8BC34A"/>
      </patternFill>
    </fill>
    <fill>
      <patternFill patternType="solid">
        <fgColor rgb="FFEEF7E3"/>
        <bgColor rgb="FFEEF7E3"/>
      </patternFill>
    </fill>
  </fills>
  <borders count="39">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top style="thin">
        <color rgb="FFBFBFBF"/>
      </top>
      <bottom style="thin">
        <color rgb="FFBFBFBF"/>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rder>
    <border>
      <right style="medium">
        <color rgb="FF000000"/>
      </right>
      <top style="thin">
        <color rgb="FF000000"/>
      </top>
      <bottom style="thin">
        <color rgb="FF000000"/>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0" fillId="0" fontId="4" numFmtId="0" xfId="0" applyFont="1"/>
    <xf borderId="4" fillId="0" fontId="5" numFmtId="0" xfId="0" applyAlignment="1" applyBorder="1" applyFont="1">
      <alignment readingOrder="0" shrinkToFit="0" wrapText="1"/>
    </xf>
    <xf borderId="4" fillId="0" fontId="5" numFmtId="0" xfId="0" applyAlignment="1" applyBorder="1" applyFont="1">
      <alignment readingOrder="0"/>
    </xf>
    <xf borderId="0" fillId="0" fontId="6" numFmtId="0" xfId="0" applyAlignment="1" applyFont="1">
      <alignment horizontal="left" readingOrder="0" shrinkToFit="0" vertical="top" wrapText="1"/>
    </xf>
    <xf borderId="4" fillId="0" fontId="7" numFmtId="0" xfId="0" applyAlignment="1" applyBorder="1" applyFont="1">
      <alignment readingOrder="0" shrinkToFit="0" wrapText="1"/>
    </xf>
    <xf borderId="7" fillId="2" fontId="1" numFmtId="0" xfId="0" applyAlignment="1" applyBorder="1" applyFont="1">
      <alignment horizontal="center"/>
    </xf>
    <xf borderId="2" fillId="0" fontId="8" numFmtId="0" xfId="0" applyAlignment="1" applyBorder="1" applyFont="1">
      <alignment horizontal="center"/>
    </xf>
    <xf borderId="3" fillId="0" fontId="8" numFmtId="0" xfId="0" applyAlignment="1" applyBorder="1" applyFont="1">
      <alignment horizontal="center"/>
    </xf>
    <xf borderId="8" fillId="3" fontId="9" numFmtId="0" xfId="0" applyAlignment="1" applyBorder="1" applyFill="1" applyFont="1">
      <alignment shrinkToFit="0" vertical="center" wrapText="1"/>
    </xf>
    <xf borderId="9" fillId="3" fontId="10" numFmtId="0" xfId="0" applyAlignment="1" applyBorder="1" applyFont="1">
      <alignment shrinkToFit="0" vertical="center" wrapText="1"/>
    </xf>
    <xf borderId="9" fillId="3" fontId="6" numFmtId="0" xfId="0" applyAlignment="1" applyBorder="1" applyFont="1">
      <alignment readingOrder="0" shrinkToFit="0" vertical="center" wrapText="1"/>
    </xf>
    <xf borderId="8" fillId="3" fontId="3" numFmtId="0" xfId="0" applyAlignment="1" applyBorder="1" applyFont="1">
      <alignment readingOrder="0" shrinkToFit="0" vertical="center" wrapText="1"/>
    </xf>
    <xf borderId="0" fillId="0" fontId="11" numFmtId="0" xfId="0" applyFont="1"/>
    <xf borderId="0" fillId="0" fontId="12" numFmtId="0" xfId="0" applyAlignment="1" applyFont="1">
      <alignment readingOrder="0"/>
    </xf>
    <xf borderId="10" fillId="4" fontId="8" numFmtId="0" xfId="0" applyAlignment="1" applyBorder="1" applyFill="1" applyFont="1">
      <alignment horizontal="center" vertical="center"/>
    </xf>
    <xf borderId="11" fillId="4" fontId="2" numFmtId="0" xfId="0" applyBorder="1" applyFont="1"/>
    <xf borderId="12" fillId="4" fontId="2" numFmtId="0" xfId="0" applyBorder="1" applyFont="1"/>
    <xf borderId="13" fillId="4" fontId="6" numFmtId="0" xfId="0" applyAlignment="1" applyBorder="1" applyFont="1">
      <alignment horizontal="center" readingOrder="0"/>
    </xf>
    <xf borderId="14" fillId="4" fontId="2" numFmtId="0" xfId="0" applyBorder="1" applyFont="1"/>
    <xf borderId="15" fillId="3" fontId="6" numFmtId="0" xfId="0" applyAlignment="1" applyBorder="1" applyFont="1">
      <alignment horizontal="center" readingOrder="0"/>
    </xf>
    <xf borderId="16" fillId="3" fontId="6" numFmtId="0" xfId="0" applyAlignment="1" applyBorder="1" applyFont="1">
      <alignment horizontal="center" readingOrder="0" shrinkToFit="0" wrapText="1"/>
    </xf>
    <xf borderId="17" fillId="3" fontId="10" numFmtId="0" xfId="0" applyAlignment="1" applyBorder="1" applyFont="1">
      <alignment horizontal="center" shrinkToFit="0" wrapText="1"/>
    </xf>
    <xf borderId="17" fillId="3" fontId="10" numFmtId="0" xfId="0" applyAlignment="1" applyBorder="1" applyFont="1">
      <alignment horizontal="center"/>
    </xf>
    <xf borderId="17" fillId="3" fontId="6" numFmtId="0" xfId="0" applyAlignment="1" applyBorder="1" applyFont="1">
      <alignment horizontal="center" readingOrder="0" shrinkToFit="0" wrapText="1"/>
    </xf>
    <xf borderId="17" fillId="3" fontId="7" numFmtId="0" xfId="0" applyAlignment="1" applyBorder="1" applyFont="1">
      <alignment horizontal="center" readingOrder="0" shrinkToFit="0" wrapText="1"/>
    </xf>
    <xf borderId="18" fillId="3" fontId="6" numFmtId="0" xfId="0" applyAlignment="1" applyBorder="1" applyFont="1">
      <alignment horizontal="center" readingOrder="0" shrinkToFit="0" wrapText="1"/>
    </xf>
    <xf borderId="19" fillId="0" fontId="7" numFmtId="0" xfId="0" applyAlignment="1" applyBorder="1" applyFont="1">
      <alignment readingOrder="0"/>
    </xf>
    <xf borderId="20" fillId="5" fontId="6" numFmtId="49" xfId="0" applyAlignment="1" applyBorder="1" applyFill="1" applyFont="1" applyNumberFormat="1">
      <alignment horizontal="center" readingOrder="0"/>
    </xf>
    <xf borderId="21" fillId="5" fontId="6" numFmtId="0" xfId="0" applyAlignment="1" applyBorder="1" applyFont="1">
      <alignment horizontal="center" readingOrder="0" shrinkToFit="0" vertical="center" wrapText="1"/>
    </xf>
    <xf borderId="22" fillId="5" fontId="10" numFmtId="0" xfId="0" applyAlignment="1" applyBorder="1" applyFont="1">
      <alignment horizontal="center" readingOrder="0" shrinkToFit="0" vertical="center" wrapText="1"/>
    </xf>
    <xf borderId="21" fillId="5" fontId="6" numFmtId="0" xfId="0" applyAlignment="1" applyBorder="1" applyFont="1">
      <alignment horizontal="center" readingOrder="0"/>
    </xf>
    <xf borderId="21" fillId="5" fontId="10" numFmtId="0" xfId="0" applyAlignment="1" applyBorder="1" applyFont="1">
      <alignment horizontal="center"/>
    </xf>
    <xf borderId="21" fillId="6" fontId="6" numFmtId="164" xfId="0" applyAlignment="1" applyBorder="1" applyFill="1" applyFont="1" applyNumberFormat="1">
      <alignment horizontal="center" readingOrder="0"/>
    </xf>
    <xf borderId="21" fillId="5" fontId="6" numFmtId="0" xfId="0" applyAlignment="1" applyBorder="1" applyFont="1">
      <alignment readingOrder="0"/>
    </xf>
    <xf borderId="21" fillId="5" fontId="13" numFmtId="164" xfId="0" applyBorder="1" applyFont="1" applyNumberFormat="1"/>
    <xf borderId="23" fillId="5" fontId="13" numFmtId="164" xfId="0" applyBorder="1" applyFont="1" applyNumberFormat="1"/>
    <xf borderId="19" fillId="0" fontId="7" numFmtId="0" xfId="0" applyAlignment="1" applyBorder="1" applyFont="1">
      <alignment horizontal="center" readingOrder="0"/>
    </xf>
    <xf borderId="19" fillId="0" fontId="13" numFmtId="164" xfId="0" applyBorder="1" applyFont="1" applyNumberFormat="1"/>
    <xf borderId="24" fillId="3" fontId="6" numFmtId="49" xfId="0" applyAlignment="1" applyBorder="1" applyFont="1" applyNumberFormat="1">
      <alignment horizontal="center" readingOrder="0"/>
    </xf>
    <xf borderId="19" fillId="3" fontId="6" numFmtId="0" xfId="0" applyAlignment="1" applyBorder="1" applyFont="1">
      <alignment horizontal="center" readingOrder="0" shrinkToFit="0" vertical="center" wrapText="1"/>
    </xf>
    <xf borderId="25" fillId="3" fontId="2" numFmtId="0" xfId="0" applyBorder="1" applyFont="1"/>
    <xf borderId="19" fillId="3" fontId="6" numFmtId="2" xfId="0" applyAlignment="1" applyBorder="1" applyFont="1" applyNumberFormat="1">
      <alignment horizontal="center" readingOrder="0"/>
    </xf>
    <xf borderId="19" fillId="3" fontId="10" numFmtId="0" xfId="0" applyAlignment="1" applyBorder="1" applyFont="1">
      <alignment horizontal="center"/>
    </xf>
    <xf borderId="19" fillId="6" fontId="6" numFmtId="164" xfId="0" applyAlignment="1" applyBorder="1" applyFont="1" applyNumberFormat="1">
      <alignment horizontal="center" readingOrder="0"/>
    </xf>
    <xf borderId="19" fillId="3" fontId="6" numFmtId="0" xfId="0" applyAlignment="1" applyBorder="1" applyFont="1">
      <alignment readingOrder="0"/>
    </xf>
    <xf borderId="19" fillId="3" fontId="13" numFmtId="164" xfId="0" applyBorder="1" applyFont="1" applyNumberFormat="1"/>
    <xf borderId="26" fillId="3" fontId="13" numFmtId="164" xfId="0" applyBorder="1" applyFont="1" applyNumberFormat="1"/>
    <xf borderId="24" fillId="5" fontId="6" numFmtId="49" xfId="0" applyAlignment="1" applyBorder="1" applyFont="1" applyNumberFormat="1">
      <alignment horizontal="center" readingOrder="0"/>
    </xf>
    <xf borderId="19" fillId="5" fontId="6" numFmtId="0" xfId="0" applyAlignment="1" applyBorder="1" applyFont="1">
      <alignment horizontal="center" readingOrder="0" shrinkToFit="0" vertical="center" wrapText="1"/>
    </xf>
    <xf borderId="25" fillId="5" fontId="2" numFmtId="0" xfId="0" applyBorder="1" applyFont="1"/>
    <xf borderId="19" fillId="5" fontId="6" numFmtId="0" xfId="0" applyAlignment="1" applyBorder="1" applyFont="1">
      <alignment horizontal="center" readingOrder="0"/>
    </xf>
    <xf borderId="19" fillId="5" fontId="10" numFmtId="0" xfId="0" applyAlignment="1" applyBorder="1" applyFont="1">
      <alignment horizontal="center"/>
    </xf>
    <xf borderId="19" fillId="5" fontId="6" numFmtId="0" xfId="0" applyAlignment="1" applyBorder="1" applyFont="1">
      <alignment readingOrder="0"/>
    </xf>
    <xf borderId="19" fillId="5" fontId="13" numFmtId="164" xfId="0" applyBorder="1" applyFont="1" applyNumberFormat="1"/>
    <xf borderId="26" fillId="5" fontId="13" numFmtId="164" xfId="0" applyBorder="1" applyFont="1" applyNumberFormat="1"/>
    <xf borderId="19" fillId="5" fontId="6" numFmtId="2" xfId="0" applyAlignment="1" applyBorder="1" applyFont="1" applyNumberFormat="1">
      <alignment horizontal="center" readingOrder="0"/>
    </xf>
    <xf borderId="27" fillId="3" fontId="6" numFmtId="49" xfId="0" applyAlignment="1" applyBorder="1" applyFont="1" applyNumberFormat="1">
      <alignment horizontal="center" readingOrder="0"/>
    </xf>
    <xf borderId="28" fillId="3" fontId="6" numFmtId="0" xfId="0" applyAlignment="1" applyBorder="1" applyFont="1">
      <alignment horizontal="center" readingOrder="0" shrinkToFit="0" vertical="center" wrapText="1"/>
    </xf>
    <xf borderId="29" fillId="3" fontId="2" numFmtId="0" xfId="0" applyBorder="1" applyFont="1"/>
    <xf borderId="28" fillId="3" fontId="6" numFmtId="2" xfId="0" applyAlignment="1" applyBorder="1" applyFont="1" applyNumberFormat="1">
      <alignment horizontal="center" readingOrder="0"/>
    </xf>
    <xf borderId="28" fillId="3" fontId="10" numFmtId="0" xfId="0" applyAlignment="1" applyBorder="1" applyFont="1">
      <alignment horizontal="center"/>
    </xf>
    <xf borderId="30" fillId="6" fontId="6" numFmtId="164" xfId="0" applyAlignment="1" applyBorder="1" applyFont="1" applyNumberFormat="1">
      <alignment horizontal="center" readingOrder="0"/>
    </xf>
    <xf borderId="28" fillId="3" fontId="6" numFmtId="0" xfId="0" applyAlignment="1" applyBorder="1" applyFont="1">
      <alignment readingOrder="0"/>
    </xf>
    <xf borderId="28" fillId="3" fontId="13" numFmtId="164" xfId="0" applyBorder="1" applyFont="1" applyNumberFormat="1"/>
    <xf borderId="31" fillId="3" fontId="13" numFmtId="164" xfId="0" applyBorder="1" applyFont="1" applyNumberFormat="1"/>
    <xf borderId="0" fillId="0" fontId="7" numFmtId="0" xfId="0" applyAlignment="1" applyFont="1">
      <alignment horizontal="center" readingOrder="0"/>
    </xf>
    <xf borderId="0" fillId="0" fontId="13" numFmtId="164" xfId="0" applyFont="1" applyNumberFormat="1"/>
    <xf borderId="32" fillId="5" fontId="6" numFmtId="49" xfId="0" applyAlignment="1" applyBorder="1" applyFont="1" applyNumberFormat="1">
      <alignment horizontal="center" readingOrder="0"/>
    </xf>
    <xf borderId="30" fillId="5" fontId="6" numFmtId="0" xfId="0" applyAlignment="1" applyBorder="1" applyFont="1">
      <alignment horizontal="center" readingOrder="0" shrinkToFit="0" vertical="center" wrapText="1"/>
    </xf>
    <xf borderId="25" fillId="5" fontId="10" numFmtId="0" xfId="0" applyAlignment="1" applyBorder="1" applyFont="1">
      <alignment horizontal="center" readingOrder="0" shrinkToFit="0" vertical="center" wrapText="1"/>
    </xf>
    <xf borderId="30" fillId="5" fontId="6" numFmtId="0" xfId="0" applyAlignment="1" applyBorder="1" applyFont="1">
      <alignment horizontal="center" readingOrder="0"/>
    </xf>
    <xf borderId="30" fillId="5" fontId="10" numFmtId="0" xfId="0" applyAlignment="1" applyBorder="1" applyFont="1">
      <alignment horizontal="center"/>
    </xf>
    <xf borderId="30" fillId="5" fontId="6" numFmtId="0" xfId="0" applyAlignment="1" applyBorder="1" applyFont="1">
      <alignment readingOrder="0"/>
    </xf>
    <xf borderId="30" fillId="5" fontId="13" numFmtId="164" xfId="0" applyBorder="1" applyFont="1" applyNumberFormat="1"/>
    <xf borderId="33" fillId="5" fontId="13" numFmtId="164" xfId="0" applyBorder="1" applyFont="1" applyNumberFormat="1"/>
    <xf borderId="24" fillId="3" fontId="10" numFmtId="49" xfId="0" applyAlignment="1" applyBorder="1" applyFont="1" applyNumberFormat="1">
      <alignment horizontal="center"/>
    </xf>
    <xf borderId="27" fillId="3" fontId="10" numFmtId="49" xfId="0" applyAlignment="1" applyBorder="1" applyFont="1" applyNumberFormat="1">
      <alignment horizontal="center"/>
    </xf>
    <xf borderId="21" fillId="6" fontId="10" numFmtId="164" xfId="0" applyAlignment="1" applyBorder="1" applyFont="1" applyNumberFormat="1">
      <alignment horizontal="center"/>
    </xf>
    <xf borderId="19" fillId="6" fontId="10" numFmtId="164" xfId="0" applyAlignment="1" applyBorder="1" applyFont="1" applyNumberFormat="1">
      <alignment horizontal="center"/>
    </xf>
    <xf borderId="28" fillId="6" fontId="10" numFmtId="164" xfId="0" applyAlignment="1" applyBorder="1" applyFont="1" applyNumberFormat="1">
      <alignment horizontal="center"/>
    </xf>
    <xf borderId="0" fillId="0" fontId="10" numFmtId="0" xfId="0" applyFont="1"/>
    <xf borderId="10" fillId="7" fontId="8" numFmtId="0" xfId="0" applyAlignment="1" applyBorder="1" applyFill="1" applyFont="1">
      <alignment horizontal="center" vertical="center"/>
    </xf>
    <xf borderId="11" fillId="7" fontId="2" numFmtId="0" xfId="0" applyBorder="1" applyFont="1"/>
    <xf borderId="12" fillId="7" fontId="2" numFmtId="0" xfId="0" applyBorder="1" applyFont="1"/>
    <xf borderId="13" fillId="7" fontId="6" numFmtId="0" xfId="0" applyAlignment="1" applyBorder="1" applyFont="1">
      <alignment horizontal="center" readingOrder="0"/>
    </xf>
    <xf borderId="14" fillId="7" fontId="2" numFmtId="0" xfId="0" applyBorder="1" applyFont="1"/>
    <xf borderId="27" fillId="3" fontId="10" numFmtId="0" xfId="0" applyAlignment="1" applyBorder="1" applyFont="1">
      <alignment horizontal="center"/>
    </xf>
    <xf borderId="28" fillId="3" fontId="10" numFmtId="0" xfId="0" applyAlignment="1" applyBorder="1" applyFont="1">
      <alignment horizontal="center" readingOrder="0" shrinkToFit="0" wrapText="1"/>
    </xf>
    <xf borderId="28" fillId="3" fontId="10" numFmtId="0" xfId="0" applyAlignment="1" applyBorder="1" applyFont="1">
      <alignment horizontal="center" shrinkToFit="0" wrapText="1"/>
    </xf>
    <xf borderId="28" fillId="3" fontId="6" numFmtId="0" xfId="0" applyAlignment="1" applyBorder="1" applyFont="1">
      <alignment readingOrder="0" shrinkToFit="0" wrapText="1"/>
    </xf>
    <xf borderId="28" fillId="3" fontId="7" numFmtId="0" xfId="0" applyAlignment="1" applyBorder="1" applyFont="1">
      <alignment readingOrder="0" shrinkToFit="0" wrapText="1"/>
    </xf>
    <xf borderId="31" fillId="3" fontId="6" numFmtId="0" xfId="0" applyAlignment="1" applyBorder="1" applyFont="1">
      <alignment horizontal="center" readingOrder="0" shrinkToFit="0" wrapText="1"/>
    </xf>
    <xf borderId="20" fillId="8" fontId="6" numFmtId="49" xfId="0" applyAlignment="1" applyBorder="1" applyFill="1" applyFont="1" applyNumberFormat="1">
      <alignment horizontal="center" readingOrder="0"/>
    </xf>
    <xf borderId="21" fillId="8" fontId="10" numFmtId="0" xfId="0" applyAlignment="1" applyBorder="1" applyFont="1">
      <alignment horizontal="center" readingOrder="0" shrinkToFit="0" vertical="center" wrapText="1"/>
    </xf>
    <xf borderId="22" fillId="8" fontId="10" numFmtId="0" xfId="0" applyAlignment="1" applyBorder="1" applyFont="1">
      <alignment horizontal="center" readingOrder="0" shrinkToFit="0" vertical="center" wrapText="1"/>
    </xf>
    <xf borderId="21" fillId="8" fontId="6" numFmtId="0" xfId="0" applyAlignment="1" applyBorder="1" applyFont="1">
      <alignment horizontal="center" readingOrder="0"/>
    </xf>
    <xf borderId="21" fillId="8" fontId="10" numFmtId="0" xfId="0" applyAlignment="1" applyBorder="1" applyFont="1">
      <alignment horizontal="center"/>
    </xf>
    <xf borderId="21" fillId="8" fontId="6" numFmtId="0" xfId="0" applyAlignment="1" applyBorder="1" applyFont="1">
      <alignment readingOrder="0"/>
    </xf>
    <xf borderId="21" fillId="8" fontId="13" numFmtId="164" xfId="0" applyBorder="1" applyFont="1" applyNumberFormat="1"/>
    <xf borderId="23" fillId="8" fontId="13" numFmtId="164" xfId="0" applyBorder="1" applyFont="1" applyNumberFormat="1"/>
    <xf borderId="19" fillId="3" fontId="10" numFmtId="0" xfId="0" applyAlignment="1" applyBorder="1" applyFont="1">
      <alignment horizontal="center" readingOrder="0" shrinkToFit="0" vertical="center" wrapText="1"/>
    </xf>
    <xf borderId="24" fillId="8" fontId="6" numFmtId="49" xfId="0" applyAlignment="1" applyBorder="1" applyFont="1" applyNumberFormat="1">
      <alignment horizontal="center" readingOrder="0"/>
    </xf>
    <xf borderId="19" fillId="8" fontId="10" numFmtId="0" xfId="0" applyAlignment="1" applyBorder="1" applyFont="1">
      <alignment horizontal="center" readingOrder="0" shrinkToFit="0" vertical="center" wrapText="1"/>
    </xf>
    <xf borderId="25" fillId="8" fontId="2" numFmtId="0" xfId="0" applyBorder="1" applyFont="1"/>
    <xf borderId="19" fillId="8" fontId="6" numFmtId="0" xfId="0" applyAlignment="1" applyBorder="1" applyFont="1">
      <alignment horizontal="center" readingOrder="0"/>
    </xf>
    <xf borderId="19" fillId="8" fontId="10" numFmtId="0" xfId="0" applyAlignment="1" applyBorder="1" applyFont="1">
      <alignment horizontal="center"/>
    </xf>
    <xf borderId="19" fillId="8" fontId="6" numFmtId="0" xfId="0" applyAlignment="1" applyBorder="1" applyFont="1">
      <alignment readingOrder="0"/>
    </xf>
    <xf borderId="19" fillId="8" fontId="13" numFmtId="164" xfId="0" applyBorder="1" applyFont="1" applyNumberFormat="1"/>
    <xf borderId="26" fillId="8" fontId="13" numFmtId="164" xfId="0" applyBorder="1" applyFont="1" applyNumberFormat="1"/>
    <xf borderId="19" fillId="8" fontId="6" numFmtId="2" xfId="0" applyAlignment="1" applyBorder="1" applyFont="1" applyNumberFormat="1">
      <alignment horizontal="center" readingOrder="0"/>
    </xf>
    <xf borderId="28" fillId="3" fontId="10" numFmtId="0" xfId="0" applyAlignment="1" applyBorder="1" applyFont="1">
      <alignment horizontal="center" readingOrder="0" shrinkToFit="0" vertical="center" wrapText="1"/>
    </xf>
    <xf borderId="0" fillId="0" fontId="13" numFmtId="0" xfId="0" applyFont="1"/>
    <xf borderId="10" fillId="9" fontId="8" numFmtId="0" xfId="0" applyAlignment="1" applyBorder="1" applyFill="1" applyFont="1">
      <alignment horizontal="center" vertical="center"/>
    </xf>
    <xf borderId="11" fillId="9" fontId="2" numFmtId="0" xfId="0" applyBorder="1" applyFont="1"/>
    <xf borderId="12" fillId="9" fontId="2" numFmtId="0" xfId="0" applyBorder="1" applyFont="1"/>
    <xf borderId="13" fillId="9" fontId="6" numFmtId="0" xfId="0" applyAlignment="1" applyBorder="1" applyFont="1">
      <alignment horizontal="center" readingOrder="0"/>
    </xf>
    <xf borderId="14" fillId="9" fontId="2" numFmtId="0" xfId="0" applyBorder="1" applyFont="1"/>
    <xf borderId="20" fillId="10" fontId="6" numFmtId="49" xfId="0" applyAlignment="1" applyBorder="1" applyFill="1" applyFont="1" applyNumberFormat="1">
      <alignment horizontal="center" readingOrder="0"/>
    </xf>
    <xf borderId="21" fillId="10" fontId="10" numFmtId="0" xfId="0" applyAlignment="1" applyBorder="1" applyFont="1">
      <alignment horizontal="center" readingOrder="0" shrinkToFit="0" vertical="center" wrapText="1"/>
    </xf>
    <xf borderId="22" fillId="10" fontId="10" numFmtId="0" xfId="0" applyAlignment="1" applyBorder="1" applyFont="1">
      <alignment horizontal="center" readingOrder="0" shrinkToFit="0" vertical="center" wrapText="1"/>
    </xf>
    <xf borderId="21" fillId="10" fontId="6" numFmtId="0" xfId="0" applyAlignment="1" applyBorder="1" applyFont="1">
      <alignment horizontal="center" readingOrder="0"/>
    </xf>
    <xf borderId="21" fillId="10" fontId="10" numFmtId="0" xfId="0" applyAlignment="1" applyBorder="1" applyFont="1">
      <alignment horizontal="center"/>
    </xf>
    <xf borderId="21" fillId="10" fontId="6" numFmtId="0" xfId="0" applyAlignment="1" applyBorder="1" applyFont="1">
      <alignment readingOrder="0"/>
    </xf>
    <xf borderId="21" fillId="10" fontId="13" numFmtId="164" xfId="0" applyBorder="1" applyFont="1" applyNumberFormat="1"/>
    <xf borderId="23" fillId="10" fontId="13" numFmtId="164" xfId="0" applyBorder="1" applyFont="1" applyNumberFormat="1"/>
    <xf borderId="24" fillId="10" fontId="6" numFmtId="49" xfId="0" applyAlignment="1" applyBorder="1" applyFont="1" applyNumberFormat="1">
      <alignment horizontal="center" readingOrder="0"/>
    </xf>
    <xf borderId="19" fillId="10" fontId="10" numFmtId="0" xfId="0" applyAlignment="1" applyBorder="1" applyFont="1">
      <alignment horizontal="center" readingOrder="0" shrinkToFit="0" vertical="center" wrapText="1"/>
    </xf>
    <xf borderId="25" fillId="10" fontId="2" numFmtId="0" xfId="0" applyBorder="1" applyFont="1"/>
    <xf borderId="19" fillId="10" fontId="6" numFmtId="0" xfId="0" applyAlignment="1" applyBorder="1" applyFont="1">
      <alignment horizontal="center" readingOrder="0"/>
    </xf>
    <xf borderId="19" fillId="10" fontId="10" numFmtId="0" xfId="0" applyAlignment="1" applyBorder="1" applyFont="1">
      <alignment horizontal="center"/>
    </xf>
    <xf borderId="19" fillId="10" fontId="6" numFmtId="0" xfId="0" applyAlignment="1" applyBorder="1" applyFont="1">
      <alignment readingOrder="0"/>
    </xf>
    <xf borderId="19" fillId="10" fontId="13" numFmtId="164" xfId="0" applyBorder="1" applyFont="1" applyNumberFormat="1"/>
    <xf borderId="26" fillId="10" fontId="13" numFmtId="164" xfId="0" applyBorder="1" applyFont="1" applyNumberFormat="1"/>
    <xf borderId="19" fillId="10" fontId="6" numFmtId="2" xfId="0" applyAlignment="1" applyBorder="1" applyFont="1" applyNumberFormat="1">
      <alignment horizontal="center" readingOrder="0"/>
    </xf>
    <xf borderId="10" fillId="11" fontId="8" numFmtId="0" xfId="0" applyAlignment="1" applyBorder="1" applyFill="1" applyFont="1">
      <alignment horizontal="center" vertical="center"/>
    </xf>
    <xf borderId="11" fillId="11" fontId="2" numFmtId="0" xfId="0" applyBorder="1" applyFont="1"/>
    <xf borderId="12" fillId="11" fontId="2" numFmtId="0" xfId="0" applyBorder="1" applyFont="1"/>
    <xf borderId="13" fillId="11" fontId="6" numFmtId="0" xfId="0" applyAlignment="1" applyBorder="1" applyFont="1">
      <alignment horizontal="center" readingOrder="0"/>
    </xf>
    <xf borderId="14" fillId="11" fontId="2" numFmtId="0" xfId="0" applyBorder="1" applyFont="1"/>
    <xf borderId="20" fillId="12" fontId="6" numFmtId="49" xfId="0" applyAlignment="1" applyBorder="1" applyFill="1" applyFont="1" applyNumberFormat="1">
      <alignment horizontal="center" readingOrder="0"/>
    </xf>
    <xf borderId="21" fillId="12" fontId="10" numFmtId="0" xfId="0" applyAlignment="1" applyBorder="1" applyFont="1">
      <alignment horizontal="center" readingOrder="0" shrinkToFit="0" vertical="center" wrapText="1"/>
    </xf>
    <xf borderId="22" fillId="12" fontId="10" numFmtId="0" xfId="0" applyAlignment="1" applyBorder="1" applyFont="1">
      <alignment horizontal="center" readingOrder="0" shrinkToFit="0" vertical="center" wrapText="1"/>
    </xf>
    <xf borderId="21" fillId="12" fontId="6" numFmtId="0" xfId="0" applyAlignment="1" applyBorder="1" applyFont="1">
      <alignment horizontal="center" readingOrder="0"/>
    </xf>
    <xf borderId="21" fillId="12" fontId="10" numFmtId="0" xfId="0" applyAlignment="1" applyBorder="1" applyFont="1">
      <alignment horizontal="center"/>
    </xf>
    <xf borderId="21" fillId="12" fontId="6" numFmtId="0" xfId="0" applyAlignment="1" applyBorder="1" applyFont="1">
      <alignment readingOrder="0"/>
    </xf>
    <xf borderId="21" fillId="12" fontId="13" numFmtId="164" xfId="0" applyBorder="1" applyFont="1" applyNumberFormat="1"/>
    <xf borderId="23" fillId="12" fontId="13" numFmtId="164" xfId="0" applyBorder="1" applyFont="1" applyNumberFormat="1"/>
    <xf borderId="19" fillId="12" fontId="10" numFmtId="0" xfId="0" applyAlignment="1" applyBorder="1" applyFont="1">
      <alignment horizontal="center" readingOrder="0" shrinkToFit="0" vertical="center" wrapText="1"/>
    </xf>
    <xf borderId="25" fillId="12" fontId="2" numFmtId="0" xfId="0" applyBorder="1" applyFont="1"/>
    <xf borderId="19" fillId="12" fontId="6" numFmtId="0" xfId="0" applyAlignment="1" applyBorder="1" applyFont="1">
      <alignment horizontal="center" readingOrder="0"/>
    </xf>
    <xf borderId="19" fillId="12" fontId="10" numFmtId="0" xfId="0" applyAlignment="1" applyBorder="1" applyFont="1">
      <alignment horizontal="center"/>
    </xf>
    <xf borderId="19" fillId="12" fontId="6" numFmtId="0" xfId="0" applyAlignment="1" applyBorder="1" applyFont="1">
      <alignment readingOrder="0"/>
    </xf>
    <xf borderId="19" fillId="12" fontId="13" numFmtId="164" xfId="0" applyBorder="1" applyFont="1" applyNumberFormat="1"/>
    <xf borderId="26" fillId="12" fontId="13" numFmtId="164" xfId="0" applyBorder="1" applyFont="1" applyNumberFormat="1"/>
    <xf borderId="19" fillId="12" fontId="6" numFmtId="2" xfId="0" applyAlignment="1" applyBorder="1" applyFont="1" applyNumberFormat="1">
      <alignment horizontal="center" readingOrder="0"/>
    </xf>
    <xf borderId="0" fillId="0" fontId="7" numFmtId="0" xfId="0" applyAlignment="1" applyFont="1">
      <alignment readingOrder="0"/>
    </xf>
    <xf borderId="0" fillId="0" fontId="13" numFmtId="164" xfId="0" applyFont="1" applyNumberFormat="1"/>
    <xf borderId="0" fillId="0" fontId="10" numFmtId="0" xfId="0" applyAlignment="1" applyFont="1">
      <alignment shrinkToFit="0" wrapText="1"/>
    </xf>
    <xf borderId="10" fillId="13" fontId="8" numFmtId="0" xfId="0" applyAlignment="1" applyBorder="1" applyFill="1" applyFont="1">
      <alignment horizontal="center" vertical="center"/>
    </xf>
    <xf borderId="11" fillId="13" fontId="2" numFmtId="0" xfId="0" applyBorder="1" applyFont="1"/>
    <xf borderId="12" fillId="13" fontId="2" numFmtId="0" xfId="0" applyBorder="1" applyFont="1"/>
    <xf borderId="13" fillId="13" fontId="7" numFmtId="0" xfId="0" applyAlignment="1" applyBorder="1" applyFont="1">
      <alignment horizontal="center" readingOrder="0" shrinkToFit="0" vertical="center" wrapText="1"/>
    </xf>
    <xf borderId="14" fillId="13" fontId="2" numFmtId="0" xfId="0" applyBorder="1" applyFont="1"/>
    <xf borderId="27" fillId="3" fontId="6" numFmtId="0" xfId="0" applyAlignment="1" applyBorder="1" applyFont="1">
      <alignment horizontal="center" readingOrder="0"/>
    </xf>
    <xf borderId="34" fillId="3" fontId="6" numFmtId="0" xfId="0" applyAlignment="1" applyBorder="1" applyFont="1">
      <alignment horizontal="center" readingOrder="0" shrinkToFit="0" wrapText="1"/>
    </xf>
    <xf borderId="28" fillId="3" fontId="6" numFmtId="0" xfId="0" applyAlignment="1" applyBorder="1" applyFont="1">
      <alignment horizontal="center" readingOrder="0" shrinkToFit="0" wrapText="1"/>
    </xf>
    <xf borderId="28" fillId="3" fontId="13" numFmtId="0" xfId="0" applyAlignment="1" applyBorder="1" applyFont="1">
      <alignment horizontal="center" readingOrder="0" shrinkToFit="0" wrapText="1"/>
    </xf>
    <xf borderId="31" fillId="3" fontId="13" numFmtId="0" xfId="0" applyAlignment="1" applyBorder="1" applyFont="1">
      <alignment horizontal="center" readingOrder="0" shrinkToFit="0" wrapText="1"/>
    </xf>
    <xf borderId="20" fillId="14" fontId="6" numFmtId="49" xfId="0" applyAlignment="1" applyBorder="1" applyFill="1" applyFont="1" applyNumberFormat="1">
      <alignment horizontal="center" readingOrder="0"/>
    </xf>
    <xf borderId="21" fillId="14" fontId="6" numFmtId="0" xfId="0" applyAlignment="1" applyBorder="1" applyFont="1">
      <alignment horizontal="center" readingOrder="0" shrinkToFit="0" vertical="center" wrapText="1"/>
    </xf>
    <xf borderId="22" fillId="14" fontId="10" numFmtId="0" xfId="0" applyAlignment="1" applyBorder="1" applyFont="1">
      <alignment horizontal="center" readingOrder="0" shrinkToFit="0" vertical="center" wrapText="1"/>
    </xf>
    <xf borderId="21" fillId="14" fontId="6" numFmtId="0" xfId="0" applyAlignment="1" applyBorder="1" applyFont="1">
      <alignment horizontal="center" readingOrder="0"/>
    </xf>
    <xf borderId="21" fillId="14" fontId="10" numFmtId="0" xfId="0" applyAlignment="1" applyBorder="1" applyFont="1">
      <alignment horizontal="center"/>
    </xf>
    <xf borderId="21" fillId="14" fontId="6" numFmtId="0" xfId="0" applyAlignment="1" applyBorder="1" applyFont="1">
      <alignment readingOrder="0"/>
    </xf>
    <xf borderId="21" fillId="14" fontId="13" numFmtId="164" xfId="0" applyBorder="1" applyFont="1" applyNumberFormat="1"/>
    <xf borderId="23" fillId="14" fontId="13" numFmtId="164" xfId="0" applyBorder="1" applyFont="1" applyNumberFormat="1"/>
    <xf borderId="19" fillId="3" fontId="6" numFmtId="0" xfId="0" applyAlignment="1" applyBorder="1" applyFont="1">
      <alignment horizontal="center" readingOrder="0"/>
    </xf>
    <xf borderId="24" fillId="14" fontId="6" numFmtId="49" xfId="0" applyAlignment="1" applyBorder="1" applyFont="1" applyNumberFormat="1">
      <alignment horizontal="center" readingOrder="0"/>
    </xf>
    <xf borderId="19" fillId="14" fontId="6" numFmtId="0" xfId="0" applyAlignment="1" applyBorder="1" applyFont="1">
      <alignment horizontal="center" readingOrder="0" shrinkToFit="0" vertical="center" wrapText="1"/>
    </xf>
    <xf borderId="25" fillId="14" fontId="2" numFmtId="0" xfId="0" applyBorder="1" applyFont="1"/>
    <xf borderId="19" fillId="14" fontId="6" numFmtId="2" xfId="0" applyAlignment="1" applyBorder="1" applyFont="1" applyNumberFormat="1">
      <alignment horizontal="center" readingOrder="0"/>
    </xf>
    <xf borderId="19" fillId="14" fontId="10" numFmtId="0" xfId="0" applyAlignment="1" applyBorder="1" applyFont="1">
      <alignment horizontal="center"/>
    </xf>
    <xf borderId="19" fillId="14" fontId="6" numFmtId="0" xfId="0" applyAlignment="1" applyBorder="1" applyFont="1">
      <alignment readingOrder="0"/>
    </xf>
    <xf borderId="19" fillId="14" fontId="13" numFmtId="164" xfId="0" applyBorder="1" applyFont="1" applyNumberFormat="1"/>
    <xf borderId="26" fillId="14" fontId="13" numFmtId="164" xfId="0" applyBorder="1" applyFont="1" applyNumberFormat="1"/>
    <xf borderId="10" fillId="15" fontId="8" numFmtId="0" xfId="0" applyAlignment="1" applyBorder="1" applyFill="1" applyFont="1">
      <alignment horizontal="center" vertical="center"/>
    </xf>
    <xf borderId="11" fillId="15" fontId="2" numFmtId="0" xfId="0" applyBorder="1" applyFont="1"/>
    <xf borderId="12" fillId="15" fontId="2" numFmtId="0" xfId="0" applyBorder="1" applyFont="1"/>
    <xf borderId="13" fillId="15" fontId="7" numFmtId="0" xfId="0" applyAlignment="1" applyBorder="1" applyFont="1">
      <alignment horizontal="center" readingOrder="0"/>
    </xf>
    <xf borderId="14" fillId="15" fontId="2" numFmtId="0" xfId="0" applyBorder="1" applyFont="1"/>
    <xf borderId="0" fillId="0" fontId="13" numFmtId="0" xfId="0" applyAlignment="1" applyFont="1">
      <alignment horizontal="center" readingOrder="0"/>
    </xf>
    <xf borderId="20" fillId="16" fontId="6" numFmtId="49" xfId="0" applyAlignment="1" applyBorder="1" applyFill="1" applyFont="1" applyNumberFormat="1">
      <alignment horizontal="center" readingOrder="0"/>
    </xf>
    <xf borderId="21" fillId="16" fontId="10" numFmtId="0" xfId="0" applyAlignment="1" applyBorder="1" applyFont="1">
      <alignment horizontal="center" readingOrder="0" shrinkToFit="0" vertical="center" wrapText="1"/>
    </xf>
    <xf borderId="22" fillId="16" fontId="10" numFmtId="0" xfId="0" applyAlignment="1" applyBorder="1" applyFont="1">
      <alignment horizontal="center" readingOrder="0" shrinkToFit="0" vertical="center" wrapText="1"/>
    </xf>
    <xf borderId="21" fillId="16" fontId="6" numFmtId="3" xfId="0" applyAlignment="1" applyBorder="1" applyFont="1" applyNumberFormat="1">
      <alignment horizontal="center" readingOrder="0"/>
    </xf>
    <xf borderId="21" fillId="16" fontId="10" numFmtId="0" xfId="0" applyAlignment="1" applyBorder="1" applyFont="1">
      <alignment horizontal="center"/>
    </xf>
    <xf borderId="21" fillId="16" fontId="13" numFmtId="164" xfId="0" applyBorder="1" applyFont="1" applyNumberFormat="1"/>
    <xf borderId="23" fillId="16" fontId="13" numFmtId="164" xfId="0" applyBorder="1" applyFont="1" applyNumberFormat="1"/>
    <xf borderId="19" fillId="3" fontId="6" numFmtId="3" xfId="0" applyAlignment="1" applyBorder="1" applyFont="1" applyNumberFormat="1">
      <alignment horizontal="center" readingOrder="0"/>
    </xf>
    <xf borderId="24" fillId="16" fontId="6" numFmtId="49" xfId="0" applyAlignment="1" applyBorder="1" applyFont="1" applyNumberFormat="1">
      <alignment horizontal="center" readingOrder="0"/>
    </xf>
    <xf borderId="19" fillId="16" fontId="10" numFmtId="0" xfId="0" applyAlignment="1" applyBorder="1" applyFont="1">
      <alignment horizontal="center" readingOrder="0" shrinkToFit="0" vertical="center" wrapText="1"/>
    </xf>
    <xf borderId="25" fillId="16" fontId="2" numFmtId="0" xfId="0" applyBorder="1" applyFont="1"/>
    <xf borderId="19" fillId="16" fontId="6" numFmtId="3" xfId="0" applyAlignment="1" applyBorder="1" applyFont="1" applyNumberFormat="1">
      <alignment horizontal="center" readingOrder="0"/>
    </xf>
    <xf borderId="19" fillId="16" fontId="10" numFmtId="0" xfId="0" applyAlignment="1" applyBorder="1" applyFont="1">
      <alignment horizontal="center"/>
    </xf>
    <xf borderId="19" fillId="16" fontId="13" numFmtId="164" xfId="0" applyBorder="1" applyFont="1" applyNumberFormat="1"/>
    <xf borderId="26" fillId="16" fontId="13" numFmtId="164" xfId="0" applyBorder="1" applyFont="1" applyNumberFormat="1"/>
    <xf borderId="28" fillId="3" fontId="6" numFmtId="3" xfId="0" applyAlignment="1" applyBorder="1" applyFont="1" applyNumberFormat="1">
      <alignment horizontal="center" readingOrder="0"/>
    </xf>
    <xf borderId="13" fillId="9" fontId="7" numFmtId="0" xfId="0" applyAlignment="1" applyBorder="1" applyFont="1">
      <alignment horizontal="center" readingOrder="0"/>
    </xf>
    <xf borderId="28" fillId="3" fontId="6" numFmtId="0" xfId="0" applyAlignment="1" applyBorder="1" applyFont="1">
      <alignment horizontal="center" readingOrder="0"/>
    </xf>
    <xf borderId="31" fillId="3" fontId="13" numFmtId="0" xfId="0" applyAlignment="1" applyBorder="1" applyFont="1">
      <alignment readingOrder="0"/>
    </xf>
    <xf borderId="21" fillId="10" fontId="6" numFmtId="0" xfId="0" applyAlignment="1" applyBorder="1" applyFont="1">
      <alignment horizontal="center" readingOrder="0" shrinkToFit="0" vertical="center" wrapText="1"/>
    </xf>
    <xf borderId="22" fillId="10" fontId="6" numFmtId="0" xfId="0" applyAlignment="1" applyBorder="1" applyFont="1">
      <alignment horizontal="center" readingOrder="0" shrinkToFit="0" vertical="center" wrapText="1"/>
    </xf>
    <xf borderId="21" fillId="10" fontId="6" numFmtId="2" xfId="0" applyAlignment="1" applyBorder="1" applyFont="1" applyNumberFormat="1">
      <alignment horizontal="center" readingOrder="0"/>
    </xf>
    <xf borderId="21" fillId="10" fontId="6" numFmtId="3" xfId="0" applyAlignment="1" applyBorder="1" applyFont="1" applyNumberFormat="1">
      <alignment readingOrder="0"/>
    </xf>
    <xf borderId="19" fillId="3" fontId="6" numFmtId="3" xfId="0" applyAlignment="1" applyBorder="1" applyFont="1" applyNumberFormat="1">
      <alignment readingOrder="0"/>
    </xf>
    <xf borderId="19" fillId="10" fontId="6" numFmtId="0" xfId="0" applyAlignment="1" applyBorder="1" applyFont="1">
      <alignment horizontal="center" readingOrder="0" shrinkToFit="0" vertical="center" wrapText="1"/>
    </xf>
    <xf borderId="19" fillId="10" fontId="6" numFmtId="3" xfId="0" applyAlignment="1" applyBorder="1" applyFont="1" applyNumberFormat="1">
      <alignment readingOrder="0"/>
    </xf>
    <xf borderId="30" fillId="3" fontId="2" numFmtId="0" xfId="0" applyBorder="1" applyFont="1"/>
    <xf borderId="28" fillId="3" fontId="6" numFmtId="3" xfId="0" applyAlignment="1" applyBorder="1" applyFont="1" applyNumberFormat="1">
      <alignment readingOrder="0"/>
    </xf>
    <xf borderId="13" fillId="7" fontId="7" numFmtId="0" xfId="0" applyAlignment="1" applyBorder="1" applyFont="1">
      <alignment horizontal="center" readingOrder="0"/>
    </xf>
    <xf borderId="21" fillId="8" fontId="6" numFmtId="0" xfId="0" applyAlignment="1" applyBorder="1" applyFont="1">
      <alignment horizontal="center" readingOrder="0" shrinkToFit="0" vertical="center" wrapText="1"/>
    </xf>
    <xf borderId="22" fillId="8" fontId="6" numFmtId="0" xfId="0" applyAlignment="1" applyBorder="1" applyFont="1">
      <alignment horizontal="center" readingOrder="0" shrinkToFit="0" vertical="center" wrapText="1"/>
    </xf>
    <xf borderId="21" fillId="8" fontId="6" numFmtId="2" xfId="0" applyAlignment="1" applyBorder="1" applyFont="1" applyNumberFormat="1">
      <alignment horizontal="center" readingOrder="0"/>
    </xf>
    <xf borderId="21" fillId="8" fontId="6" numFmtId="3" xfId="0" applyAlignment="1" applyBorder="1" applyFont="1" applyNumberFormat="1">
      <alignment readingOrder="0"/>
    </xf>
    <xf borderId="19" fillId="8" fontId="6" numFmtId="0" xfId="0" applyAlignment="1" applyBorder="1" applyFont="1">
      <alignment horizontal="center" readingOrder="0" shrinkToFit="0" vertical="center" wrapText="1"/>
    </xf>
    <xf borderId="19" fillId="8" fontId="6" numFmtId="3" xfId="0" applyAlignment="1" applyBorder="1" applyFont="1" applyNumberFormat="1">
      <alignment readingOrder="0"/>
    </xf>
    <xf borderId="24" fillId="0" fontId="6" numFmtId="49" xfId="0" applyAlignment="1" applyBorder="1" applyFont="1" applyNumberFormat="1">
      <alignment horizontal="center" readingOrder="0"/>
    </xf>
    <xf borderId="19" fillId="0" fontId="6" numFmtId="0" xfId="0" applyAlignment="1" applyBorder="1" applyFont="1">
      <alignment horizontal="center" readingOrder="0" shrinkToFit="0" vertical="center" wrapText="1"/>
    </xf>
    <xf borderId="25" fillId="0" fontId="2" numFmtId="0" xfId="0" applyBorder="1" applyFont="1"/>
    <xf borderId="19" fillId="0" fontId="6" numFmtId="2" xfId="0" applyAlignment="1" applyBorder="1" applyFont="1" applyNumberFormat="1">
      <alignment horizontal="center" readingOrder="0"/>
    </xf>
    <xf borderId="19" fillId="0" fontId="6" numFmtId="0" xfId="0" applyAlignment="1" applyBorder="1" applyFont="1">
      <alignment horizontal="center" readingOrder="0"/>
    </xf>
    <xf borderId="19" fillId="0" fontId="6" numFmtId="3" xfId="0" applyAlignment="1" applyBorder="1" applyFont="1" applyNumberFormat="1">
      <alignment readingOrder="0"/>
    </xf>
    <xf borderId="26" fillId="0" fontId="13" numFmtId="164" xfId="0" applyBorder="1" applyFont="1" applyNumberFormat="1"/>
    <xf borderId="27" fillId="0" fontId="6" numFmtId="49" xfId="0" applyAlignment="1" applyBorder="1" applyFont="1" applyNumberFormat="1">
      <alignment horizontal="center" readingOrder="0"/>
    </xf>
    <xf borderId="28" fillId="0" fontId="6" numFmtId="0" xfId="0" applyAlignment="1" applyBorder="1" applyFont="1">
      <alignment horizontal="center" readingOrder="0" shrinkToFit="0" vertical="center" wrapText="1"/>
    </xf>
    <xf borderId="29" fillId="0" fontId="2" numFmtId="0" xfId="0" applyBorder="1" applyFont="1"/>
    <xf borderId="28" fillId="0" fontId="6" numFmtId="2" xfId="0" applyAlignment="1" applyBorder="1" applyFont="1" applyNumberFormat="1">
      <alignment horizontal="center" readingOrder="0"/>
    </xf>
    <xf borderId="28" fillId="0" fontId="6" numFmtId="0" xfId="0" applyAlignment="1" applyBorder="1" applyFont="1">
      <alignment horizontal="center" readingOrder="0"/>
    </xf>
    <xf borderId="28" fillId="0" fontId="6" numFmtId="3" xfId="0" applyAlignment="1" applyBorder="1" applyFont="1" applyNumberFormat="1">
      <alignment readingOrder="0"/>
    </xf>
    <xf borderId="28" fillId="0" fontId="13" numFmtId="164" xfId="0" applyBorder="1" applyFont="1" applyNumberFormat="1"/>
    <xf borderId="31" fillId="0" fontId="13" numFmtId="164" xfId="0" applyBorder="1" applyFont="1" applyNumberFormat="1"/>
    <xf borderId="13" fillId="4" fontId="7" numFmtId="0" xfId="0" applyAlignment="1" applyBorder="1" applyFont="1">
      <alignment horizontal="center" readingOrder="0"/>
    </xf>
    <xf borderId="21" fillId="5" fontId="10" numFmtId="0" xfId="0" applyAlignment="1" applyBorder="1" applyFont="1">
      <alignment horizontal="center" readingOrder="0" shrinkToFit="0" vertical="center" wrapText="1"/>
    </xf>
    <xf borderId="21" fillId="5" fontId="6" numFmtId="3" xfId="0" applyAlignment="1" applyBorder="1" applyFont="1" applyNumberFormat="1">
      <alignment horizontal="center" readingOrder="0"/>
    </xf>
    <xf borderId="21" fillId="5" fontId="10" numFmtId="164" xfId="0" applyBorder="1" applyFont="1" applyNumberFormat="1"/>
    <xf borderId="19" fillId="3" fontId="10" numFmtId="164" xfId="0" applyBorder="1" applyFont="1" applyNumberFormat="1"/>
    <xf borderId="19" fillId="5" fontId="10" numFmtId="0" xfId="0" applyAlignment="1" applyBorder="1" applyFont="1">
      <alignment horizontal="center" readingOrder="0" shrinkToFit="0" vertical="center" wrapText="1"/>
    </xf>
    <xf borderId="19" fillId="5" fontId="6" numFmtId="3" xfId="0" applyAlignment="1" applyBorder="1" applyFont="1" applyNumberFormat="1">
      <alignment horizontal="center" readingOrder="0"/>
    </xf>
    <xf borderId="19" fillId="5" fontId="10" numFmtId="164" xfId="0" applyBorder="1" applyFont="1" applyNumberFormat="1"/>
    <xf borderId="27" fillId="5" fontId="6" numFmtId="49" xfId="0" applyAlignment="1" applyBorder="1" applyFont="1" applyNumberFormat="1">
      <alignment horizontal="center" readingOrder="0"/>
    </xf>
    <xf borderId="28" fillId="5" fontId="10" numFmtId="0" xfId="0" applyAlignment="1" applyBorder="1" applyFont="1">
      <alignment horizontal="center" readingOrder="0" shrinkToFit="0" vertical="center" wrapText="1"/>
    </xf>
    <xf borderId="29" fillId="5" fontId="2" numFmtId="0" xfId="0" applyBorder="1" applyFont="1"/>
    <xf borderId="28" fillId="5" fontId="6" numFmtId="3" xfId="0" applyAlignment="1" applyBorder="1" applyFont="1" applyNumberFormat="1">
      <alignment horizontal="center" readingOrder="0"/>
    </xf>
    <xf borderId="28" fillId="5" fontId="10" numFmtId="0" xfId="0" applyAlignment="1" applyBorder="1" applyFont="1">
      <alignment horizontal="center"/>
    </xf>
    <xf borderId="28" fillId="5" fontId="10" numFmtId="164" xfId="0" applyBorder="1" applyFont="1" applyNumberFormat="1"/>
    <xf borderId="31" fillId="5" fontId="13" numFmtId="164" xfId="0" applyBorder="1" applyFont="1" applyNumberFormat="1"/>
    <xf borderId="20" fillId="3" fontId="6" numFmtId="49" xfId="0" applyAlignment="1" applyBorder="1" applyFont="1" applyNumberFormat="1">
      <alignment horizontal="center" readingOrder="0"/>
    </xf>
    <xf borderId="21" fillId="3" fontId="10" numFmtId="0" xfId="0" applyAlignment="1" applyBorder="1" applyFont="1">
      <alignment horizontal="center" readingOrder="0" shrinkToFit="0" vertical="center" wrapText="1"/>
    </xf>
    <xf borderId="22" fillId="3" fontId="10" numFmtId="0" xfId="0" applyAlignment="1" applyBorder="1" applyFont="1">
      <alignment horizontal="center" readingOrder="0" shrinkToFit="0" vertical="center" wrapText="1"/>
    </xf>
    <xf borderId="21" fillId="3" fontId="6" numFmtId="3" xfId="0" applyAlignment="1" applyBorder="1" applyFont="1" applyNumberFormat="1">
      <alignment horizontal="center" readingOrder="0"/>
    </xf>
    <xf borderId="21" fillId="3" fontId="10" numFmtId="0" xfId="0" applyAlignment="1" applyBorder="1" applyFont="1">
      <alignment horizontal="center"/>
    </xf>
    <xf borderId="21" fillId="3" fontId="10" numFmtId="164" xfId="0" applyBorder="1" applyFont="1" applyNumberFormat="1"/>
    <xf borderId="23" fillId="3" fontId="13" numFmtId="164" xfId="0" applyBorder="1" applyFont="1" applyNumberFormat="1"/>
    <xf borderId="28" fillId="3" fontId="10" numFmtId="164" xfId="0" applyBorder="1" applyFont="1" applyNumberFormat="1"/>
    <xf borderId="21" fillId="3" fontId="13" numFmtId="0" xfId="0" applyAlignment="1" applyBorder="1" applyFont="1">
      <alignment horizontal="center" readingOrder="0"/>
    </xf>
    <xf borderId="19" fillId="5" fontId="13" numFmtId="0" xfId="0" applyAlignment="1" applyBorder="1" applyFont="1">
      <alignment horizontal="center" readingOrder="0"/>
    </xf>
    <xf borderId="19" fillId="3" fontId="13" numFmtId="0" xfId="0" applyAlignment="1" applyBorder="1" applyFont="1">
      <alignment horizontal="center" readingOrder="0"/>
    </xf>
    <xf borderId="28" fillId="3" fontId="13" numFmtId="0" xfId="0" applyAlignment="1" applyBorder="1" applyFont="1">
      <alignment horizontal="center" readingOrder="0"/>
    </xf>
    <xf borderId="21" fillId="5" fontId="13" numFmtId="0" xfId="0" applyAlignment="1" applyBorder="1" applyFont="1">
      <alignment horizontal="center" readingOrder="0"/>
    </xf>
    <xf borderId="28" fillId="5" fontId="13" numFmtId="0" xfId="0" applyAlignment="1" applyBorder="1" applyFont="1">
      <alignment horizontal="center" readingOrder="0"/>
    </xf>
    <xf borderId="0" fillId="0" fontId="6" numFmtId="0" xfId="0" applyAlignment="1" applyFont="1">
      <alignment horizontal="center" readingOrder="0" shrinkToFit="0" wrapText="1"/>
    </xf>
    <xf borderId="0" fillId="0" fontId="10" numFmtId="0" xfId="0" applyAlignment="1" applyFont="1">
      <alignment horizontal="center"/>
    </xf>
    <xf borderId="0" fillId="0" fontId="10" numFmtId="164" xfId="0" applyAlignment="1" applyFont="1" applyNumberFormat="1">
      <alignment shrinkToFit="0" wrapText="1"/>
    </xf>
    <xf borderId="0" fillId="0" fontId="13" numFmtId="0" xfId="0" applyAlignment="1" applyFont="1">
      <alignment shrinkToFit="0" wrapText="1"/>
    </xf>
    <xf borderId="0" fillId="0" fontId="10" numFmtId="164" xfId="0" applyFont="1" applyNumberFormat="1"/>
    <xf borderId="10" fillId="17" fontId="8" numFmtId="0" xfId="0" applyAlignment="1" applyBorder="1" applyFill="1" applyFont="1">
      <alignment horizontal="center" vertical="center"/>
    </xf>
    <xf borderId="11" fillId="17" fontId="2" numFmtId="0" xfId="0" applyBorder="1" applyFont="1"/>
    <xf borderId="12" fillId="17" fontId="2" numFmtId="0" xfId="0" applyBorder="1" applyFont="1"/>
    <xf borderId="13" fillId="17" fontId="7" numFmtId="0" xfId="0" applyAlignment="1" applyBorder="1" applyFont="1">
      <alignment horizontal="center" readingOrder="0"/>
    </xf>
    <xf borderId="14" fillId="17" fontId="2" numFmtId="0" xfId="0" applyBorder="1" applyFont="1"/>
    <xf borderId="20" fillId="18" fontId="6" numFmtId="49" xfId="0" applyAlignment="1" applyBorder="1" applyFill="1" applyFont="1" applyNumberFormat="1">
      <alignment horizontal="center" readingOrder="0"/>
    </xf>
    <xf borderId="21" fillId="18" fontId="10" numFmtId="0" xfId="0" applyAlignment="1" applyBorder="1" applyFont="1">
      <alignment horizontal="center" readingOrder="0" shrinkToFit="0" vertical="center" wrapText="1"/>
    </xf>
    <xf borderId="22" fillId="18" fontId="10" numFmtId="0" xfId="0" applyAlignment="1" applyBorder="1" applyFont="1">
      <alignment horizontal="center" readingOrder="0" shrinkToFit="0" vertical="center" wrapText="1"/>
    </xf>
    <xf borderId="21" fillId="18" fontId="6" numFmtId="0" xfId="0" applyAlignment="1" applyBorder="1" applyFont="1">
      <alignment horizontal="center" readingOrder="0"/>
    </xf>
    <xf borderId="21" fillId="18" fontId="10" numFmtId="0" xfId="0" applyAlignment="1" applyBorder="1" applyFont="1">
      <alignment horizontal="center"/>
    </xf>
    <xf borderId="21" fillId="18" fontId="10" numFmtId="0" xfId="0" applyAlignment="1" applyBorder="1" applyFont="1">
      <alignment readingOrder="0"/>
    </xf>
    <xf borderId="21" fillId="18" fontId="13" numFmtId="164" xfId="0" applyBorder="1" applyFont="1" applyNumberFormat="1"/>
    <xf borderId="23" fillId="18" fontId="13" numFmtId="164" xfId="0" applyBorder="1" applyFont="1" applyNumberFormat="1"/>
    <xf borderId="19" fillId="3" fontId="10" numFmtId="0" xfId="0" applyAlignment="1" applyBorder="1" applyFont="1">
      <alignment readingOrder="0"/>
    </xf>
    <xf borderId="24" fillId="18" fontId="6" numFmtId="49" xfId="0" applyAlignment="1" applyBorder="1" applyFont="1" applyNumberFormat="1">
      <alignment horizontal="center" readingOrder="0"/>
    </xf>
    <xf borderId="19" fillId="18" fontId="10" numFmtId="0" xfId="0" applyAlignment="1" applyBorder="1" applyFont="1">
      <alignment horizontal="center" readingOrder="0" shrinkToFit="0" vertical="center" wrapText="1"/>
    </xf>
    <xf borderId="25" fillId="18" fontId="2" numFmtId="0" xfId="0" applyBorder="1" applyFont="1"/>
    <xf borderId="19" fillId="18" fontId="10" numFmtId="0" xfId="0" applyAlignment="1" applyBorder="1" applyFont="1">
      <alignment horizontal="center" readingOrder="0"/>
    </xf>
    <xf borderId="19" fillId="18" fontId="10" numFmtId="0" xfId="0" applyAlignment="1" applyBorder="1" applyFont="1">
      <alignment horizontal="center"/>
    </xf>
    <xf borderId="19" fillId="18" fontId="10" numFmtId="0" xfId="0" applyAlignment="1" applyBorder="1" applyFont="1">
      <alignment readingOrder="0"/>
    </xf>
    <xf borderId="19" fillId="18" fontId="13" numFmtId="164" xfId="0" applyBorder="1" applyFont="1" applyNumberFormat="1"/>
    <xf borderId="26" fillId="18" fontId="13" numFmtId="164" xfId="0" applyBorder="1" applyFont="1" applyNumberFormat="1"/>
    <xf borderId="19" fillId="3" fontId="10" numFmtId="2" xfId="0" applyAlignment="1" applyBorder="1" applyFont="1" applyNumberFormat="1">
      <alignment horizontal="center" readingOrder="0"/>
    </xf>
    <xf borderId="15" fillId="18" fontId="10" numFmtId="49" xfId="0" applyAlignment="1" applyBorder="1" applyFont="1" applyNumberFormat="1">
      <alignment horizontal="center" readingOrder="0"/>
    </xf>
    <xf borderId="17" fillId="18" fontId="10" numFmtId="0" xfId="0" applyAlignment="1" applyBorder="1" applyFont="1">
      <alignment horizontal="center" readingOrder="0" shrinkToFit="0" vertical="center" wrapText="1"/>
    </xf>
    <xf borderId="17" fillId="18" fontId="10" numFmtId="2" xfId="0" applyAlignment="1" applyBorder="1" applyFont="1" applyNumberFormat="1">
      <alignment horizontal="center" readingOrder="0"/>
    </xf>
    <xf borderId="17" fillId="18" fontId="10" numFmtId="0" xfId="0" applyAlignment="1" applyBorder="1" applyFont="1">
      <alignment horizontal="center"/>
    </xf>
    <xf borderId="17" fillId="6" fontId="10" numFmtId="164" xfId="0" applyAlignment="1" applyBorder="1" applyFont="1" applyNumberFormat="1">
      <alignment horizontal="center"/>
    </xf>
    <xf borderId="17" fillId="18" fontId="10" numFmtId="0" xfId="0" applyAlignment="1" applyBorder="1" applyFont="1">
      <alignment readingOrder="0"/>
    </xf>
    <xf borderId="17" fillId="18" fontId="13" numFmtId="164" xfId="0" applyBorder="1" applyFont="1" applyNumberFormat="1"/>
    <xf borderId="18" fillId="18" fontId="13" numFmtId="164" xfId="0" applyBorder="1" applyFont="1" applyNumberFormat="1"/>
    <xf borderId="24" fillId="3" fontId="10" numFmtId="49" xfId="0" applyAlignment="1" applyBorder="1" applyFont="1" applyNumberFormat="1">
      <alignment horizontal="center" readingOrder="0"/>
    </xf>
    <xf borderId="35" fillId="18" fontId="10" numFmtId="49" xfId="0" applyAlignment="1" applyBorder="1" applyFont="1" applyNumberFormat="1">
      <alignment horizontal="center" readingOrder="0"/>
    </xf>
    <xf borderId="29" fillId="18" fontId="6" numFmtId="0" xfId="0" applyAlignment="1" applyBorder="1" applyFont="1">
      <alignment horizontal="center" readingOrder="0" shrinkToFit="0" vertical="center" wrapText="1"/>
    </xf>
    <xf borderId="29" fillId="18" fontId="2" numFmtId="0" xfId="0" applyBorder="1" applyFont="1"/>
    <xf borderId="29" fillId="18" fontId="6" numFmtId="2" xfId="0" applyAlignment="1" applyBorder="1" applyFont="1" applyNumberFormat="1">
      <alignment horizontal="center" readingOrder="0"/>
    </xf>
    <xf borderId="29" fillId="18" fontId="10" numFmtId="0" xfId="0" applyAlignment="1" applyBorder="1" applyFont="1">
      <alignment horizontal="center"/>
    </xf>
    <xf borderId="29" fillId="6" fontId="10" numFmtId="164" xfId="0" applyAlignment="1" applyBorder="1" applyFont="1" applyNumberFormat="1">
      <alignment horizontal="center"/>
    </xf>
    <xf borderId="29" fillId="18" fontId="6" numFmtId="0" xfId="0" applyAlignment="1" applyBorder="1" applyFont="1">
      <alignment readingOrder="0"/>
    </xf>
    <xf borderId="29" fillId="18" fontId="13" numFmtId="164" xfId="0" applyBorder="1" applyFont="1" applyNumberFormat="1"/>
    <xf borderId="36" fillId="18" fontId="13" numFmtId="164" xfId="0" applyBorder="1" applyFont="1" applyNumberFormat="1"/>
    <xf borderId="21" fillId="3" fontId="6" numFmtId="0" xfId="0" applyAlignment="1" applyBorder="1" applyFont="1">
      <alignment horizontal="center" readingOrder="0"/>
    </xf>
    <xf borderId="21" fillId="3" fontId="10" numFmtId="0" xfId="0" applyAlignment="1" applyBorder="1" applyFont="1">
      <alignment readingOrder="0"/>
    </xf>
    <xf borderId="21" fillId="3" fontId="13" numFmtId="164" xfId="0" applyBorder="1" applyFont="1" applyNumberFormat="1"/>
    <xf borderId="19" fillId="18" fontId="6" numFmtId="2" xfId="0" applyAlignment="1" applyBorder="1" applyFont="1" applyNumberFormat="1">
      <alignment horizontal="center" readingOrder="0"/>
    </xf>
    <xf borderId="19" fillId="3" fontId="10" numFmtId="0" xfId="0" applyAlignment="1" applyBorder="1" applyFont="1">
      <alignment horizontal="center" readingOrder="0"/>
    </xf>
    <xf borderId="19" fillId="18" fontId="10" numFmtId="2" xfId="0" applyAlignment="1" applyBorder="1" applyFont="1" applyNumberFormat="1">
      <alignment horizontal="center" readingOrder="0"/>
    </xf>
    <xf borderId="19" fillId="18" fontId="6" numFmtId="0" xfId="0" applyAlignment="1" applyBorder="1" applyFont="1">
      <alignment horizontal="center" readingOrder="0" shrinkToFit="0" vertical="center" wrapText="1"/>
    </xf>
    <xf borderId="19" fillId="18" fontId="6" numFmtId="0" xfId="0" applyAlignment="1" applyBorder="1" applyFont="1">
      <alignment readingOrder="0"/>
    </xf>
    <xf borderId="29" fillId="3" fontId="6" numFmtId="2" xfId="0" applyAlignment="1" applyBorder="1" applyFont="1" applyNumberFormat="1">
      <alignment horizontal="center" readingOrder="0"/>
    </xf>
    <xf borderId="27" fillId="18" fontId="6" numFmtId="49" xfId="0" applyAlignment="1" applyBorder="1" applyFont="1" applyNumberFormat="1">
      <alignment horizontal="center" readingOrder="0"/>
    </xf>
    <xf borderId="28" fillId="18" fontId="6" numFmtId="0" xfId="0" applyAlignment="1" applyBorder="1" applyFont="1">
      <alignment readingOrder="0"/>
    </xf>
    <xf borderId="28" fillId="18" fontId="6" numFmtId="0" xfId="0" applyAlignment="1" applyBorder="1" applyFont="1">
      <alignment horizontal="center" readingOrder="0" shrinkToFit="0" vertical="center" wrapText="1"/>
    </xf>
    <xf borderId="28" fillId="18" fontId="10" numFmtId="0" xfId="0" applyAlignment="1" applyBorder="1" applyFont="1">
      <alignment horizontal="center"/>
    </xf>
    <xf borderId="28" fillId="18" fontId="13" numFmtId="164" xfId="0" applyBorder="1" applyFont="1" applyNumberFormat="1"/>
    <xf borderId="31" fillId="18" fontId="13" numFmtId="164" xfId="0" applyBorder="1" applyFont="1" applyNumberFormat="1"/>
    <xf borderId="19" fillId="0" fontId="10" numFmtId="0" xfId="0" applyAlignment="1" applyBorder="1" applyFont="1">
      <alignment horizontal="center" readingOrder="0" shrinkToFit="0" vertical="center" wrapText="1"/>
    </xf>
    <xf borderId="19" fillId="0" fontId="10" numFmtId="0" xfId="0" applyAlignment="1" applyBorder="1" applyFont="1">
      <alignment horizontal="center" readingOrder="0"/>
    </xf>
    <xf borderId="19" fillId="0" fontId="10" numFmtId="0" xfId="0" applyAlignment="1" applyBorder="1" applyFont="1">
      <alignment horizontal="center"/>
    </xf>
    <xf borderId="19" fillId="0" fontId="10" numFmtId="0" xfId="0" applyAlignment="1" applyBorder="1" applyFont="1">
      <alignment readingOrder="0"/>
    </xf>
    <xf borderId="19" fillId="0" fontId="10" numFmtId="2" xfId="0" applyAlignment="1" applyBorder="1" applyFont="1" applyNumberFormat="1">
      <alignment horizontal="center" readingOrder="0"/>
    </xf>
    <xf borderId="19" fillId="0" fontId="6" numFmtId="0" xfId="0" applyAlignment="1" applyBorder="1" applyFont="1">
      <alignment readingOrder="0"/>
    </xf>
    <xf borderId="29" fillId="0" fontId="6" numFmtId="2" xfId="0" applyAlignment="1" applyBorder="1" applyFont="1" applyNumberFormat="1">
      <alignment horizontal="center" readingOrder="0"/>
    </xf>
    <xf borderId="28" fillId="0" fontId="10" numFmtId="0" xfId="0" applyAlignment="1" applyBorder="1" applyFont="1">
      <alignment horizontal="center"/>
    </xf>
    <xf borderId="28" fillId="0" fontId="6" numFmtId="0" xfId="0" applyAlignment="1" applyBorder="1" applyFont="1">
      <alignment readingOrder="0"/>
    </xf>
    <xf borderId="10" fillId="7" fontId="14" numFmtId="0" xfId="0" applyAlignment="1" applyBorder="1" applyFont="1">
      <alignment horizontal="center" readingOrder="0" vertical="center"/>
    </xf>
    <xf borderId="0" fillId="0" fontId="14" numFmtId="0" xfId="0" applyAlignment="1" applyFont="1">
      <alignment horizontal="center" readingOrder="0" vertical="center"/>
    </xf>
    <xf borderId="10" fillId="19" fontId="14" numFmtId="0" xfId="0" applyAlignment="1" applyBorder="1" applyFill="1" applyFont="1">
      <alignment horizontal="center" readingOrder="0" vertical="center"/>
    </xf>
    <xf borderId="11" fillId="19" fontId="2" numFmtId="0" xfId="0" applyBorder="1" applyFont="1"/>
    <xf borderId="12" fillId="19" fontId="2" numFmtId="0" xfId="0" applyBorder="1" applyFont="1"/>
    <xf borderId="13" fillId="19" fontId="7" numFmtId="0" xfId="0" applyAlignment="1" applyBorder="1" applyFont="1">
      <alignment horizontal="center" readingOrder="0"/>
    </xf>
    <xf borderId="14" fillId="19" fontId="2" numFmtId="0" xfId="0" applyBorder="1" applyFont="1"/>
    <xf borderId="10" fillId="13" fontId="14" numFmtId="0" xfId="0" applyAlignment="1" applyBorder="1" applyFont="1">
      <alignment horizontal="center" readingOrder="0" vertical="center"/>
    </xf>
    <xf borderId="13" fillId="13" fontId="7" numFmtId="0" xfId="0" applyAlignment="1" applyBorder="1" applyFont="1">
      <alignment horizontal="center" readingOrder="0"/>
    </xf>
    <xf borderId="10" fillId="4" fontId="14" numFmtId="0" xfId="0" applyAlignment="1" applyBorder="1" applyFont="1">
      <alignment horizontal="center" readingOrder="0" vertical="center"/>
    </xf>
    <xf borderId="31" fillId="3" fontId="10" numFmtId="0" xfId="0" applyAlignment="1" applyBorder="1" applyFont="1">
      <alignment horizontal="center" readingOrder="0" shrinkToFit="0" wrapText="1"/>
    </xf>
    <xf borderId="6" fillId="0" fontId="7" numFmtId="0" xfId="0" applyAlignment="1" applyBorder="1" applyFont="1">
      <alignment horizontal="center" readingOrder="0"/>
    </xf>
    <xf borderId="0" fillId="0" fontId="10" numFmtId="0" xfId="0" applyAlignment="1" applyFont="1">
      <alignment horizontal="center" shrinkToFit="0" wrapText="1"/>
    </xf>
    <xf borderId="0" fillId="0" fontId="7" numFmtId="0" xfId="0" applyAlignment="1" applyFont="1">
      <alignment horizontal="center" readingOrder="0"/>
    </xf>
    <xf borderId="21" fillId="8" fontId="6" numFmtId="164" xfId="0" applyAlignment="1" applyBorder="1" applyFont="1" applyNumberFormat="1">
      <alignment horizontal="center" readingOrder="0"/>
    </xf>
    <xf borderId="21" fillId="8" fontId="10" numFmtId="164" xfId="0" applyAlignment="1" applyBorder="1" applyFont="1" applyNumberFormat="1">
      <alignment horizontal="center"/>
    </xf>
    <xf borderId="23" fillId="8" fontId="10" numFmtId="164" xfId="0" applyAlignment="1" applyBorder="1" applyFont="1" applyNumberFormat="1">
      <alignment horizontal="center"/>
    </xf>
    <xf borderId="20" fillId="20" fontId="6" numFmtId="49" xfId="0" applyAlignment="1" applyBorder="1" applyFill="1" applyFont="1" applyNumberFormat="1">
      <alignment horizontal="center" readingOrder="0"/>
    </xf>
    <xf borderId="21" fillId="20" fontId="6" numFmtId="0" xfId="0" applyAlignment="1" applyBorder="1" applyFont="1">
      <alignment horizontal="center" readingOrder="0" shrinkToFit="0" vertical="center" wrapText="1"/>
    </xf>
    <xf borderId="22" fillId="20" fontId="6" numFmtId="0" xfId="0" applyAlignment="1" applyBorder="1" applyFont="1">
      <alignment horizontal="center" readingOrder="0" shrinkToFit="0" vertical="center" wrapText="1"/>
    </xf>
    <xf borderId="21" fillId="20" fontId="6" numFmtId="2" xfId="0" applyAlignment="1" applyBorder="1" applyFont="1" applyNumberFormat="1">
      <alignment horizontal="center" readingOrder="0"/>
    </xf>
    <xf borderId="21" fillId="20" fontId="6" numFmtId="0" xfId="0" applyAlignment="1" applyBorder="1" applyFont="1">
      <alignment horizontal="center" readingOrder="0"/>
    </xf>
    <xf borderId="21" fillId="20" fontId="6" numFmtId="164" xfId="0" applyAlignment="1" applyBorder="1" applyFont="1" applyNumberFormat="1">
      <alignment horizontal="center" readingOrder="0"/>
    </xf>
    <xf borderId="21" fillId="20" fontId="6" numFmtId="3" xfId="0" applyAlignment="1" applyBorder="1" applyFont="1" applyNumberFormat="1">
      <alignment readingOrder="0"/>
    </xf>
    <xf borderId="21" fillId="20" fontId="10" numFmtId="164" xfId="0" applyAlignment="1" applyBorder="1" applyFont="1" applyNumberFormat="1">
      <alignment horizontal="center"/>
    </xf>
    <xf borderId="23" fillId="20" fontId="10" numFmtId="164" xfId="0" applyAlignment="1" applyBorder="1" applyFont="1" applyNumberFormat="1">
      <alignment horizontal="center"/>
    </xf>
    <xf borderId="22" fillId="14" fontId="6" numFmtId="0" xfId="0" applyAlignment="1" applyBorder="1" applyFont="1">
      <alignment horizontal="center" readingOrder="0" shrinkToFit="0" vertical="center" wrapText="1"/>
    </xf>
    <xf borderId="21" fillId="14" fontId="6" numFmtId="2" xfId="0" applyAlignment="1" applyBorder="1" applyFont="1" applyNumberFormat="1">
      <alignment horizontal="center" readingOrder="0"/>
    </xf>
    <xf borderId="21" fillId="14" fontId="6" numFmtId="164" xfId="0" applyAlignment="1" applyBorder="1" applyFont="1" applyNumberFormat="1">
      <alignment horizontal="center" readingOrder="0"/>
    </xf>
    <xf borderId="21" fillId="14" fontId="6" numFmtId="3" xfId="0" applyAlignment="1" applyBorder="1" applyFont="1" applyNumberFormat="1">
      <alignment readingOrder="0"/>
    </xf>
    <xf borderId="21" fillId="14" fontId="10" numFmtId="164" xfId="0" applyAlignment="1" applyBorder="1" applyFont="1" applyNumberFormat="1">
      <alignment horizontal="center"/>
    </xf>
    <xf borderId="23" fillId="14" fontId="10" numFmtId="164" xfId="0" applyAlignment="1" applyBorder="1" applyFont="1" applyNumberFormat="1">
      <alignment horizontal="center"/>
    </xf>
    <xf borderId="22" fillId="5" fontId="6" numFmtId="0" xfId="0" applyAlignment="1" applyBorder="1" applyFont="1">
      <alignment horizontal="center" readingOrder="0" shrinkToFit="0" vertical="center" wrapText="1"/>
    </xf>
    <xf borderId="21" fillId="5" fontId="6" numFmtId="2" xfId="0" applyAlignment="1" applyBorder="1" applyFont="1" applyNumberFormat="1">
      <alignment horizontal="center" readingOrder="0"/>
    </xf>
    <xf borderId="21" fillId="5" fontId="6" numFmtId="164" xfId="0" applyAlignment="1" applyBorder="1" applyFont="1" applyNumberFormat="1">
      <alignment horizontal="center" readingOrder="0"/>
    </xf>
    <xf borderId="21" fillId="5" fontId="6" numFmtId="3" xfId="0" applyAlignment="1" applyBorder="1" applyFont="1" applyNumberFormat="1">
      <alignment readingOrder="0"/>
    </xf>
    <xf borderId="21" fillId="5" fontId="10" numFmtId="164" xfId="0" applyAlignment="1" applyBorder="1" applyFont="1" applyNumberFormat="1">
      <alignment horizontal="center"/>
    </xf>
    <xf borderId="23" fillId="5" fontId="10" numFmtId="164" xfId="0" applyAlignment="1" applyBorder="1" applyFont="1" applyNumberFormat="1">
      <alignment horizontal="center"/>
    </xf>
    <xf borderId="19" fillId="3" fontId="6" numFmtId="164" xfId="0" applyAlignment="1" applyBorder="1" applyFont="1" applyNumberFormat="1">
      <alignment horizontal="center" readingOrder="0"/>
    </xf>
    <xf borderId="19" fillId="3" fontId="10" numFmtId="164" xfId="0" applyAlignment="1" applyBorder="1" applyFont="1" applyNumberFormat="1">
      <alignment horizontal="center"/>
    </xf>
    <xf borderId="26" fillId="3" fontId="10" numFmtId="164" xfId="0" applyAlignment="1" applyBorder="1" applyFont="1" applyNumberFormat="1">
      <alignment horizontal="center"/>
    </xf>
    <xf borderId="19" fillId="8" fontId="6" numFmtId="164" xfId="0" applyAlignment="1" applyBorder="1" applyFont="1" applyNumberFormat="1">
      <alignment horizontal="center" readingOrder="0"/>
    </xf>
    <xf borderId="19" fillId="8" fontId="10" numFmtId="164" xfId="0" applyAlignment="1" applyBorder="1" applyFont="1" applyNumberFormat="1">
      <alignment horizontal="center"/>
    </xf>
    <xf borderId="26" fillId="8" fontId="10" numFmtId="164" xfId="0" applyAlignment="1" applyBorder="1" applyFont="1" applyNumberFormat="1">
      <alignment horizontal="center"/>
    </xf>
    <xf borderId="24" fillId="20" fontId="6" numFmtId="49" xfId="0" applyAlignment="1" applyBorder="1" applyFont="1" applyNumberFormat="1">
      <alignment horizontal="center" readingOrder="0"/>
    </xf>
    <xf borderId="19" fillId="20" fontId="6" numFmtId="0" xfId="0" applyAlignment="1" applyBorder="1" applyFont="1">
      <alignment horizontal="center" readingOrder="0" shrinkToFit="0" vertical="center" wrapText="1"/>
    </xf>
    <xf borderId="25" fillId="20" fontId="2" numFmtId="0" xfId="0" applyBorder="1" applyFont="1"/>
    <xf borderId="19" fillId="20" fontId="6" numFmtId="2" xfId="0" applyAlignment="1" applyBorder="1" applyFont="1" applyNumberFormat="1">
      <alignment horizontal="center" readingOrder="0"/>
    </xf>
    <xf borderId="19" fillId="20" fontId="6" numFmtId="0" xfId="0" applyAlignment="1" applyBorder="1" applyFont="1">
      <alignment horizontal="center" readingOrder="0"/>
    </xf>
    <xf borderId="19" fillId="20" fontId="6" numFmtId="164" xfId="0" applyAlignment="1" applyBorder="1" applyFont="1" applyNumberFormat="1">
      <alignment horizontal="center" readingOrder="0"/>
    </xf>
    <xf borderId="19" fillId="20" fontId="6" numFmtId="3" xfId="0" applyAlignment="1" applyBorder="1" applyFont="1" applyNumberFormat="1">
      <alignment readingOrder="0"/>
    </xf>
    <xf borderId="19" fillId="20" fontId="10" numFmtId="164" xfId="0" applyAlignment="1" applyBorder="1" applyFont="1" applyNumberFormat="1">
      <alignment horizontal="center"/>
    </xf>
    <xf borderId="26" fillId="20" fontId="10" numFmtId="164" xfId="0" applyAlignment="1" applyBorder="1" applyFont="1" applyNumberFormat="1">
      <alignment horizontal="center"/>
    </xf>
    <xf borderId="19" fillId="14" fontId="6" numFmtId="0" xfId="0" applyAlignment="1" applyBorder="1" applyFont="1">
      <alignment horizontal="center" readingOrder="0"/>
    </xf>
    <xf borderId="19" fillId="14" fontId="6" numFmtId="164" xfId="0" applyAlignment="1" applyBorder="1" applyFont="1" applyNumberFormat="1">
      <alignment horizontal="center" readingOrder="0"/>
    </xf>
    <xf borderId="19" fillId="14" fontId="6" numFmtId="3" xfId="0" applyAlignment="1" applyBorder="1" applyFont="1" applyNumberFormat="1">
      <alignment readingOrder="0"/>
    </xf>
    <xf borderId="19" fillId="14" fontId="10" numFmtId="164" xfId="0" applyAlignment="1" applyBorder="1" applyFont="1" applyNumberFormat="1">
      <alignment horizontal="center"/>
    </xf>
    <xf borderId="26" fillId="14" fontId="10" numFmtId="164" xfId="0" applyAlignment="1" applyBorder="1" applyFont="1" applyNumberFormat="1">
      <alignment horizontal="center"/>
    </xf>
    <xf borderId="19" fillId="5" fontId="6" numFmtId="164" xfId="0" applyAlignment="1" applyBorder="1" applyFont="1" applyNumberFormat="1">
      <alignment horizontal="center" readingOrder="0"/>
    </xf>
    <xf borderId="19" fillId="5" fontId="6" numFmtId="3" xfId="0" applyAlignment="1" applyBorder="1" applyFont="1" applyNumberFormat="1">
      <alignment readingOrder="0"/>
    </xf>
    <xf borderId="19" fillId="5" fontId="10" numFmtId="164" xfId="0" applyAlignment="1" applyBorder="1" applyFont="1" applyNumberFormat="1">
      <alignment horizontal="center"/>
    </xf>
    <xf borderId="26" fillId="5" fontId="10" numFmtId="164" xfId="0" applyAlignment="1" applyBorder="1" applyFont="1" applyNumberFormat="1">
      <alignment horizontal="center"/>
    </xf>
    <xf borderId="28" fillId="3" fontId="6" numFmtId="164" xfId="0" applyAlignment="1" applyBorder="1" applyFont="1" applyNumberFormat="1">
      <alignment horizontal="center" readingOrder="0"/>
    </xf>
    <xf borderId="28" fillId="3" fontId="10" numFmtId="164" xfId="0" applyAlignment="1" applyBorder="1" applyFont="1" applyNumberFormat="1">
      <alignment horizontal="center"/>
    </xf>
    <xf borderId="31" fillId="3" fontId="10" numFmtId="164" xfId="0" applyAlignment="1" applyBorder="1" applyFont="1" applyNumberFormat="1">
      <alignment horizontal="center"/>
    </xf>
    <xf borderId="0" fillId="0" fontId="6" numFmtId="49" xfId="0" applyAlignment="1" applyFont="1" applyNumberFormat="1">
      <alignment horizontal="center" readingOrder="0"/>
    </xf>
    <xf borderId="0" fillId="0" fontId="6" numFmtId="164" xfId="0" applyAlignment="1" applyFont="1" applyNumberFormat="1">
      <alignment horizontal="center" readingOrder="0"/>
    </xf>
    <xf borderId="0" fillId="0" fontId="6" numFmtId="49" xfId="0" applyAlignment="1" applyFont="1" applyNumberFormat="1">
      <alignment horizontal="center" readingOrder="0"/>
    </xf>
    <xf borderId="0" fillId="0" fontId="10" numFmtId="49" xfId="0" applyAlignment="1" applyFont="1" applyNumberFormat="1">
      <alignment horizontal="center"/>
    </xf>
    <xf borderId="0" fillId="0" fontId="5" numFmtId="0" xfId="0" applyAlignment="1" applyFont="1">
      <alignment readingOrder="0"/>
    </xf>
    <xf borderId="13" fillId="19" fontId="7" numFmtId="0" xfId="0" applyAlignment="1" applyBorder="1" applyFont="1">
      <alignment readingOrder="0" shrinkToFit="0" wrapText="1"/>
    </xf>
    <xf borderId="27" fillId="3" fontId="10" numFmtId="0" xfId="0" applyAlignment="1" applyBorder="1" applyFont="1">
      <alignment horizontal="center" readingOrder="0"/>
    </xf>
    <xf borderId="32" fillId="20" fontId="6" numFmtId="49" xfId="0" applyAlignment="1" applyBorder="1" applyFont="1" applyNumberFormat="1">
      <alignment horizontal="center" readingOrder="0"/>
    </xf>
    <xf borderId="30" fillId="20" fontId="10" numFmtId="0" xfId="0" applyAlignment="1" applyBorder="1" applyFont="1">
      <alignment horizontal="center" readingOrder="0" shrinkToFit="0" vertical="center" wrapText="1"/>
    </xf>
    <xf borderId="25" fillId="20" fontId="10" numFmtId="0" xfId="0" applyAlignment="1" applyBorder="1" applyFont="1">
      <alignment horizontal="center" readingOrder="0" shrinkToFit="0" vertical="center" wrapText="1"/>
    </xf>
    <xf borderId="30" fillId="20" fontId="6" numFmtId="3" xfId="0" applyAlignment="1" applyBorder="1" applyFont="1" applyNumberFormat="1">
      <alignment horizontal="center" readingOrder="0"/>
    </xf>
    <xf borderId="30" fillId="20" fontId="10" numFmtId="0" xfId="0" applyAlignment="1" applyBorder="1" applyFont="1">
      <alignment horizontal="center"/>
    </xf>
    <xf borderId="30" fillId="20" fontId="10" numFmtId="164" xfId="0" applyAlignment="1" applyBorder="1" applyFont="1" applyNumberFormat="1">
      <alignment horizontal="center"/>
    </xf>
    <xf borderId="37" fillId="20" fontId="13" numFmtId="164" xfId="0" applyBorder="1" applyFont="1" applyNumberFormat="1"/>
    <xf borderId="33" fillId="20" fontId="13" numFmtId="164" xfId="0" applyBorder="1" applyFont="1" applyNumberFormat="1"/>
    <xf borderId="4" fillId="3" fontId="10" numFmtId="164" xfId="0" applyAlignment="1" applyBorder="1" applyFont="1" applyNumberFormat="1">
      <alignment horizontal="center"/>
    </xf>
    <xf borderId="38" fillId="3" fontId="13" numFmtId="164" xfId="0" applyBorder="1" applyFont="1" applyNumberFormat="1"/>
    <xf borderId="19" fillId="20" fontId="10" numFmtId="0" xfId="0" applyAlignment="1" applyBorder="1" applyFont="1">
      <alignment horizontal="center" readingOrder="0" shrinkToFit="0" vertical="center" wrapText="1"/>
    </xf>
    <xf borderId="19" fillId="20" fontId="6" numFmtId="3" xfId="0" applyAlignment="1" applyBorder="1" applyFont="1" applyNumberFormat="1">
      <alignment horizontal="center" readingOrder="0"/>
    </xf>
    <xf borderId="19" fillId="20" fontId="10" numFmtId="0" xfId="0" applyAlignment="1" applyBorder="1" applyFont="1">
      <alignment horizontal="center"/>
    </xf>
    <xf borderId="4" fillId="20" fontId="10" numFmtId="164" xfId="0" applyAlignment="1" applyBorder="1" applyFont="1" applyNumberFormat="1">
      <alignment horizontal="center"/>
    </xf>
    <xf borderId="26" fillId="20" fontId="13" numFmtId="164" xfId="0" applyBorder="1" applyFont="1" applyNumberFormat="1"/>
    <xf borderId="38" fillId="20" fontId="13" numFmtId="164" xfId="0" applyBorder="1" applyFont="1" applyNumberFormat="1"/>
    <xf borderId="27" fillId="20" fontId="6" numFmtId="49" xfId="0" applyAlignment="1" applyBorder="1" applyFont="1" applyNumberFormat="1">
      <alignment horizontal="center" readingOrder="0"/>
    </xf>
    <xf borderId="28" fillId="20" fontId="10" numFmtId="0" xfId="0" applyAlignment="1" applyBorder="1" applyFont="1">
      <alignment horizontal="center" readingOrder="0" shrinkToFit="0" vertical="center" wrapText="1"/>
    </xf>
    <xf borderId="29" fillId="20" fontId="2" numFmtId="0" xfId="0" applyBorder="1" applyFont="1"/>
    <xf borderId="28" fillId="20" fontId="6" numFmtId="3" xfId="0" applyAlignment="1" applyBorder="1" applyFont="1" applyNumberFormat="1">
      <alignment horizontal="center" readingOrder="0"/>
    </xf>
    <xf borderId="28" fillId="20" fontId="10" numFmtId="0" xfId="0" applyAlignment="1" applyBorder="1" applyFont="1">
      <alignment horizontal="center"/>
    </xf>
    <xf borderId="28" fillId="20" fontId="10" numFmtId="164" xfId="0" applyAlignment="1" applyBorder="1" applyFont="1" applyNumberFormat="1">
      <alignment horizontal="center"/>
    </xf>
    <xf borderId="31" fillId="20" fontId="13" numFmtId="164" xfId="0" applyBorder="1" applyFont="1" applyNumberFormat="1"/>
    <xf borderId="21" fillId="3" fontId="10" numFmtId="164" xfId="0" applyAlignment="1" applyBorder="1" applyFont="1" applyNumberFormat="1">
      <alignment horizontal="center"/>
    </xf>
    <xf borderId="33" fillId="3" fontId="13" numFmtId="164" xfId="0" applyBorder="1" applyFont="1" applyNumberFormat="1"/>
    <xf borderId="21" fillId="20" fontId="10" numFmtId="0" xfId="0" applyAlignment="1" applyBorder="1" applyFont="1">
      <alignment horizontal="center" readingOrder="0" shrinkToFit="0" vertical="center" wrapText="1"/>
    </xf>
    <xf borderId="22" fillId="20" fontId="10" numFmtId="0" xfId="0" applyAlignment="1" applyBorder="1" applyFont="1">
      <alignment horizontal="center" readingOrder="0" shrinkToFit="0" vertical="center" wrapText="1"/>
    </xf>
    <xf borderId="21" fillId="20" fontId="6" numFmtId="3" xfId="0" applyAlignment="1" applyBorder="1" applyFont="1" applyNumberFormat="1">
      <alignment horizontal="center" readingOrder="0"/>
    </xf>
    <xf borderId="21" fillId="20" fontId="10" numFmtId="0" xfId="0" applyAlignment="1" applyBorder="1" applyFont="1">
      <alignment horizontal="center"/>
    </xf>
    <xf borderId="23" fillId="20" fontId="13" numFmtId="164" xfId="0" applyBorder="1" applyFont="1" applyNumberFormat="1"/>
    <xf borderId="19" fillId="20" fontId="13" numFmtId="0" xfId="0" applyAlignment="1" applyBorder="1" applyFont="1">
      <alignment horizontal="center" readingOrder="0"/>
    </xf>
    <xf borderId="21" fillId="20" fontId="13" numFmtId="0" xfId="0" applyAlignment="1" applyBorder="1" applyFont="1">
      <alignment horizontal="center" readingOrder="0"/>
    </xf>
    <xf borderId="28" fillId="20" fontId="13" numFmtId="0" xfId="0" applyAlignment="1" applyBorder="1" applyFont="1">
      <alignment horizontal="center" readingOrder="0"/>
    </xf>
    <xf borderId="36" fillId="20" fontId="13" numFmtId="164" xfId="0" applyBorder="1" applyFont="1" applyNumberFormat="1"/>
  </cellXfs>
  <cellStyles count="1">
    <cellStyle xfId="0" name="Normal" builtinId="0"/>
  </cellStyles>
  <dxfs count="6">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BDBDBD"/>
          <bgColor rgb="FFBDBDBD"/>
        </patternFill>
      </fill>
      <border/>
    </dxf>
    <dxf>
      <font/>
      <fill>
        <patternFill patternType="solid">
          <fgColor rgb="FFF3F3F3"/>
          <bgColor rgb="FFF3F3F3"/>
        </patternFill>
      </fill>
      <border/>
    </dxf>
  </dxfs>
  <tableStyles count="30">
    <tableStyle count="3" pivot="0" name="FC 1 - GNSS-RO (Base)-style">
      <tableStyleElement dxfId="1" type="headerRow"/>
      <tableStyleElement dxfId="2" type="firstRowStripe"/>
      <tableStyleElement dxfId="3" type="secondRowStripe"/>
    </tableStyle>
    <tableStyle count="3" pivot="0" name="FC 1 - GNSS-RO (Base)-style 2">
      <tableStyleElement dxfId="1" type="headerRow"/>
      <tableStyleElement dxfId="2" type="firstRowStripe"/>
      <tableStyleElement dxfId="3" type="secondRowStripe"/>
    </tableStyle>
    <tableStyle count="3" pivot="0" name="FC 1 - GNSS-RO (Base)-style 3">
      <tableStyleElement dxfId="1" type="headerRow"/>
      <tableStyleElement dxfId="2" type="firstRowStripe"/>
      <tableStyleElement dxfId="3" type="secondRowStripe"/>
    </tableStyle>
    <tableStyle count="3" pivot="0" name="FC 1 - GNSS-RO (Base)-style 4">
      <tableStyleElement dxfId="1" type="headerRow"/>
      <tableStyleElement dxfId="2" type="firstRowStripe"/>
      <tableStyleElement dxfId="3" type="secondRowStripe"/>
    </tableStyle>
    <tableStyle count="3" pivot="0" name="FC 1 - GNSS-RO (Option)-style">
      <tableStyleElement dxfId="4" type="headerRow"/>
      <tableStyleElement dxfId="2" type="firstRowStripe"/>
      <tableStyleElement dxfId="5" type="secondRowStripe"/>
    </tableStyle>
    <tableStyle count="3" pivot="0" name="FC 1 - GNSS-RO (Option)-style 2">
      <tableStyleElement dxfId="4" type="headerRow"/>
      <tableStyleElement dxfId="2" type="firstRowStripe"/>
      <tableStyleElement dxfId="5" type="secondRowStripe"/>
    </tableStyle>
    <tableStyle count="3" pivot="0" name="FC 1 - GNSS-RO (Option)-style 3">
      <tableStyleElement dxfId="4" type="headerRow"/>
      <tableStyleElement dxfId="2" type="firstRowStripe"/>
      <tableStyleElement dxfId="5" type="secondRowStripe"/>
    </tableStyle>
    <tableStyle count="3" pivot="0" name="FC 1 - GNSS-RO (Option)-style 4">
      <tableStyleElement dxfId="4" type="headerRow"/>
      <tableStyleElement dxfId="2" type="firstRowStripe"/>
      <tableStyleElement dxfId="5" type="secondRowStripe"/>
    </tableStyle>
    <tableStyle count="3" pivot="0" name="FC 2 - GNSS-R (Base)-style">
      <tableStyleElement dxfId="1" type="headerRow"/>
      <tableStyleElement dxfId="2" type="firstRowStripe"/>
      <tableStyleElement dxfId="3" type="secondRowStripe"/>
    </tableStyle>
    <tableStyle count="3" pivot="0" name="FC 2 - GNSS-R (Option)-style">
      <tableStyleElement dxfId="4" type="headerRow"/>
      <tableStyleElement dxfId="2" type="firstRowStripe"/>
      <tableStyleElement dxfId="5" type="secondRowStripe"/>
    </tableStyle>
    <tableStyle count="3" pivot="0" name="FC 3 - MWS (Base)-style">
      <tableStyleElement dxfId="1" type="headerRow"/>
      <tableStyleElement dxfId="2" type="firstRowStripe"/>
      <tableStyleElement dxfId="3" type="secondRowStripe"/>
    </tableStyle>
    <tableStyle count="3" pivot="0" name="FC 3 - MWS (Option)-style">
      <tableStyleElement dxfId="4" type="headerRow"/>
      <tableStyleElement dxfId="2" type="firstRowStripe"/>
      <tableStyleElement dxfId="5" type="secondRowStripe"/>
    </tableStyle>
    <tableStyle count="3" pivot="0" name="FC 4 - MSI (Base)-style">
      <tableStyleElement dxfId="1" type="headerRow"/>
      <tableStyleElement dxfId="2" type="firstRowStripe"/>
      <tableStyleElement dxfId="3" type="secondRowStripe"/>
    </tableStyle>
    <tableStyle count="3" pivot="0" name="FC 4 - MSI (Base)-style 2">
      <tableStyleElement dxfId="1" type="headerRow"/>
      <tableStyleElement dxfId="2" type="firstRowStripe"/>
      <tableStyleElement dxfId="3" type="secondRowStripe"/>
    </tableStyle>
    <tableStyle count="3" pivot="0" name="FC 4 - MSI (Option)-style">
      <tableStyleElement dxfId="4" type="headerRow"/>
      <tableStyleElement dxfId="2" type="firstRowStripe"/>
      <tableStyleElement dxfId="5" type="secondRowStripe"/>
    </tableStyle>
    <tableStyle count="3" pivot="0" name="FC 4 - MSI (Option)-style 2">
      <tableStyleElement dxfId="4" type="headerRow"/>
      <tableStyleElement dxfId="2" type="firstRowStripe"/>
      <tableStyleElement dxfId="5" type="secondRowStripe"/>
    </tableStyle>
    <tableStyle count="3" pivot="0" name="FC 5 - IRS (Base)-style">
      <tableStyleElement dxfId="1" type="headerRow"/>
      <tableStyleElement dxfId="2" type="firstRowStripe"/>
      <tableStyleElement dxfId="3" type="secondRowStripe"/>
    </tableStyle>
    <tableStyle count="3" pivot="0" name="FC 5 - IRS (Option)-style">
      <tableStyleElement dxfId="4" type="headerRow"/>
      <tableStyleElement dxfId="2" type="firstRowStripe"/>
      <tableStyleElement dxfId="5" type="secondRowStripe"/>
    </tableStyle>
    <tableStyle count="3" pivot="0" name="FC 6 - TND (Base)-style">
      <tableStyleElement dxfId="1" type="headerRow"/>
      <tableStyleElement dxfId="2" type="firstRowStripe"/>
      <tableStyleElement dxfId="3" type="secondRowStripe"/>
    </tableStyle>
    <tableStyle count="3" pivot="0" name="FC 6 - TND (Option)-style">
      <tableStyleElement dxfId="4" type="headerRow"/>
      <tableStyleElement dxfId="2" type="firstRowStripe"/>
      <tableStyleElement dxfId="5" type="secondRowStripe"/>
    </tableStyle>
    <tableStyle count="3" pivot="0" name="FC 7 - AS (Base)-style">
      <tableStyleElement dxfId="1" type="headerRow"/>
      <tableStyleElement dxfId="2" type="firstRowStripe"/>
      <tableStyleElement dxfId="3" type="secondRowStripe"/>
    </tableStyle>
    <tableStyle count="3" pivot="0" name="FC 7 - AS (Base)-style 2">
      <tableStyleElement dxfId="1" type="headerRow"/>
      <tableStyleElement dxfId="2" type="firstRowStripe"/>
      <tableStyleElement dxfId="3" type="secondRowStripe"/>
    </tableStyle>
    <tableStyle count="3" pivot="0" name="FC 7 - AS (Base)-style 3">
      <tableStyleElement dxfId="1" type="headerRow"/>
      <tableStyleElement dxfId="2" type="firstRowStripe"/>
      <tableStyleElement dxfId="3" type="secondRowStripe"/>
    </tableStyle>
    <tableStyle count="3" pivot="0" name="FC 7 - AS (Base)-style 4">
      <tableStyleElement dxfId="1" type="headerRow"/>
      <tableStyleElement dxfId="2" type="firstRowStripe"/>
      <tableStyleElement dxfId="3" type="secondRowStripe"/>
    </tableStyle>
    <tableStyle count="3" pivot="0" name="FC 7 - AS (Base)-style 5">
      <tableStyleElement dxfId="1" type="headerRow"/>
      <tableStyleElement dxfId="2" type="firstRowStripe"/>
      <tableStyleElement dxfId="3" type="secondRowStripe"/>
    </tableStyle>
    <tableStyle count="3" pivot="0" name="FC 7 - AS (Option)-style">
      <tableStyleElement dxfId="4" type="headerRow"/>
      <tableStyleElement dxfId="2" type="firstRowStripe"/>
      <tableStyleElement dxfId="5" type="secondRowStripe"/>
    </tableStyle>
    <tableStyle count="3" pivot="0" name="FC 7 - AS (Option)-style 2">
      <tableStyleElement dxfId="4" type="headerRow"/>
      <tableStyleElement dxfId="2" type="firstRowStripe"/>
      <tableStyleElement dxfId="5" type="secondRowStripe"/>
    </tableStyle>
    <tableStyle count="3" pivot="0" name="FC 7 - AS (Option)-style 3">
      <tableStyleElement dxfId="4" type="headerRow"/>
      <tableStyleElement dxfId="2" type="firstRowStripe"/>
      <tableStyleElement dxfId="5" type="secondRowStripe"/>
    </tableStyle>
    <tableStyle count="3" pivot="0" name="FC 7 - AS (Option)-style 4">
      <tableStyleElement dxfId="4" type="headerRow"/>
      <tableStyleElement dxfId="2" type="firstRowStripe"/>
      <tableStyleElement dxfId="5" type="secondRowStripe"/>
    </tableStyle>
    <tableStyle count="3" pivot="0" name="FC 7 - AS (Option)-style 5">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K5:L11" displayName="Table_1" name="Table_1" id="1">
  <tableColumns count="2">
    <tableColumn name="License" id="1"/>
    <tableColumn name="FC1 Total Evaluated Price Subcategory 1_x000a_BASE Period" id="2"/>
  </tableColumns>
  <tableStyleInfo name="FC 1 - GNSS-RO (Base)-style" showColumnStripes="0" showFirstColumn="1" showLastColumn="1" showRowStripes="1"/>
</table>
</file>

<file path=xl/tables/table2.xml><?xml version="1.0" encoding="utf-8"?>
<table xmlns="http://schemas.openxmlformats.org/spreadsheetml/2006/main" ref="K40:L46" displayName="Table_2" name="Table_2" id="2">
  <tableColumns count="2">
    <tableColumn name="License" id="1"/>
    <tableColumn name="FC1 Total Evaluated Price Subcategory 2_x000a_BASE Period" id="2"/>
  </tableColumns>
  <tableStyleInfo name="FC 1 - GNSS-RO (Base)-style 2" showColumnStripes="0" showFirstColumn="1" showLastColumn="1" showRowStripes="1"/>
</table>
</file>

<file path=xl/tables/table3.xml><?xml version="1.0" encoding="utf-8"?>
<table xmlns="http://schemas.openxmlformats.org/spreadsheetml/2006/main" ref="K75:L81" displayName="Table_3" name="Table_3" id="3">
  <tableColumns count="2">
    <tableColumn name="License" id="1"/>
    <tableColumn name="FC1 Total Evaluated Price Subcategory 3_x000a_BASE Period" id="2"/>
  </tableColumns>
  <tableStyleInfo name="FC 1 - GNSS-RO (Base)-style 3" showColumnStripes="0" showFirstColumn="1" showLastColumn="1" showRowStripes="1"/>
</table>
</file>

<file path=xl/tables/table4.xml><?xml version="1.0" encoding="utf-8"?>
<table xmlns="http://schemas.openxmlformats.org/spreadsheetml/2006/main" ref="K110:L116" displayName="Table_4" name="Table_4" id="4">
  <tableColumns count="2">
    <tableColumn name="License" id="1"/>
    <tableColumn name="FC1 Total Evaluated Price Subcategory 4_x000a_BASE Period" id="2"/>
  </tableColumns>
  <tableStyleInfo name="FC 1 - GNSS-RO (Base)-style 4" showColumnStripes="0" showFirstColumn="1" showLastColumn="1" showRowStripes="1"/>
</table>
</file>

<file path=xl/tables/table5.xml><?xml version="1.0" encoding="utf-8"?>
<table xmlns="http://schemas.openxmlformats.org/spreadsheetml/2006/main" ref="K5:L11" displayName="Table_5" name="Table_5" id="5">
  <tableColumns count="2">
    <tableColumn name="License" id="1"/>
    <tableColumn name="FC1 Total Evaluated Price Subcategory 1_x000a_OPTION Period" id="2"/>
  </tableColumns>
  <tableStyleInfo name="FC 1 - GNSS-RO (Option)-style" showColumnStripes="0" showFirstColumn="1" showLastColumn="1" showRowStripes="1"/>
</table>
</file>

<file path=xl/tables/table6.xml><?xml version="1.0" encoding="utf-8"?>
<table xmlns="http://schemas.openxmlformats.org/spreadsheetml/2006/main" ref="K40:L46" displayName="Table_6" name="Table_6" id="6">
  <tableColumns count="2">
    <tableColumn name="License" id="1"/>
    <tableColumn name="FC1 Total Evaluated Price Subcategory 2_x000a_OPTION Period" id="2"/>
  </tableColumns>
  <tableStyleInfo name="FC 1 - GNSS-RO (Option)-style 2" showColumnStripes="0" showFirstColumn="1" showLastColumn="1" showRowStripes="1"/>
</table>
</file>

<file path=xl/tables/table7.xml><?xml version="1.0" encoding="utf-8"?>
<table xmlns="http://schemas.openxmlformats.org/spreadsheetml/2006/main" ref="K75:L81" displayName="Table_7" name="Table_7" id="7">
  <tableColumns count="2">
    <tableColumn name="License" id="1"/>
    <tableColumn name="FC1 Total Evaluated Price Subcategory 3_x000a_OPTION Period" id="2"/>
  </tableColumns>
  <tableStyleInfo name="FC 1 - GNSS-RO (Option)-style 3" showColumnStripes="0" showFirstColumn="1" showLastColumn="1" showRowStripes="1"/>
</table>
</file>

<file path=xl/tables/table8.xml><?xml version="1.0" encoding="utf-8"?>
<table xmlns="http://schemas.openxmlformats.org/spreadsheetml/2006/main" ref="K110:L116" displayName="Table_8" name="Table_8" id="8">
  <tableColumns count="2">
    <tableColumn name="License" id="1"/>
    <tableColumn name="FC1 Total Evaluated Price Subcategory 4_x000a_OPTION Period" id="2"/>
  </tableColumns>
  <tableStyleInfo name="FC 1 - GNSS-RO (Option)-style 4" showColumnStripes="0" showFirstColumn="1" showLastColumn="1" showRowStripes="1"/>
</table>
</file>

<file path=xl/tables/table9.xml><?xml version="1.0" encoding="utf-8"?>
<table xmlns="http://schemas.openxmlformats.org/spreadsheetml/2006/main" ref="K5:L11" displayName="Table_9" name="Table_9" id="9">
  <tableColumns count="2">
    <tableColumn name="License" id="1"/>
    <tableColumn name="FC2 Total Evaluated Price BASE Period" id="2"/>
  </tableColumns>
  <tableStyleInfo name="FC 2 - GNSS-R (Base)-style" showColumnStripes="0" showFirstColumn="1" showLastColumn="1" showRowStripes="1"/>
</table>
</file>

<file path=xl/tables/table10.xml><?xml version="1.0" encoding="utf-8"?>
<table xmlns="http://schemas.openxmlformats.org/spreadsheetml/2006/main" ref="K5:L11" displayName="Table_10" name="Table_10" id="10">
  <tableColumns count="2">
    <tableColumn name="License" id="1"/>
    <tableColumn name="FC2 Total Evaluated Price OPTION Period" id="2"/>
  </tableColumns>
  <tableStyleInfo name="FC 2 - GNSS-R (Option)-style" showColumnStripes="0" showFirstColumn="1" showLastColumn="1" showRowStripes="1"/>
</table>
</file>

<file path=xl/tables/table11.xml><?xml version="1.0" encoding="utf-8"?>
<table xmlns="http://schemas.openxmlformats.org/spreadsheetml/2006/main" ref="J5:K11" displayName="Table_11" name="Table_11" id="11">
  <tableColumns count="2">
    <tableColumn name="License" id="1"/>
    <tableColumn name="FC3 Total Evaluated Price BASE Period" id="2"/>
  </tableColumns>
  <tableStyleInfo name="FC 3 - MWS (Base)-style" showColumnStripes="0" showFirstColumn="1" showLastColumn="1" showRowStripes="1"/>
</table>
</file>

<file path=xl/tables/table12.xml><?xml version="1.0" encoding="utf-8"?>
<table xmlns="http://schemas.openxmlformats.org/spreadsheetml/2006/main" ref="J5:K11" displayName="Table_12" name="Table_12" id="12">
  <tableColumns count="2">
    <tableColumn name="License" id="1"/>
    <tableColumn name="FC3 Total Evaluated Price OPTION Period" id="2"/>
  </tableColumns>
  <tableStyleInfo name="FC 3 - MWS (Option)-style" showColumnStripes="0" showFirstColumn="1" showLastColumn="1" showRowStripes="1"/>
</table>
</file>

<file path=xl/tables/table13.xml><?xml version="1.0" encoding="utf-8"?>
<table xmlns="http://schemas.openxmlformats.org/spreadsheetml/2006/main" ref="K5:L11" displayName="Table_13" name="Table_13" id="13">
  <tableColumns count="2">
    <tableColumn name="License" id="1"/>
    <tableColumn name="FC4 Total Evaluated Price Subcategory 1_x000a_BASE Period" id="2"/>
  </tableColumns>
  <tableStyleInfo name="FC 4 - MSI (Base)-style" showColumnStripes="0" showFirstColumn="1" showLastColumn="1" showRowStripes="1"/>
</table>
</file>

<file path=xl/tables/table14.xml><?xml version="1.0" encoding="utf-8"?>
<table xmlns="http://schemas.openxmlformats.org/spreadsheetml/2006/main" ref="K50:L56" displayName="Table_14" name="Table_14" id="14">
  <tableColumns count="2">
    <tableColumn name="License" id="1"/>
    <tableColumn name="FC4 Total Evaluated Price Subcategory 2_x000a_BASE Period" id="2"/>
  </tableColumns>
  <tableStyleInfo name="FC 4 - MSI (Base)-style 2" showColumnStripes="0" showFirstColumn="1" showLastColumn="1" showRowStripes="1"/>
</table>
</file>

<file path=xl/tables/table15.xml><?xml version="1.0" encoding="utf-8"?>
<table xmlns="http://schemas.openxmlformats.org/spreadsheetml/2006/main" ref="K5:L11" displayName="Table_15" name="Table_15" id="15">
  <tableColumns count="2">
    <tableColumn name="License" id="1"/>
    <tableColumn name="FC4 Total Evaluated Price Subcategory 1_x000a_OPTION Period" id="2"/>
  </tableColumns>
  <tableStyleInfo name="FC 4 - MSI (Option)-style" showColumnStripes="0" showFirstColumn="1" showLastColumn="1" showRowStripes="1"/>
</table>
</file>

<file path=xl/tables/table16.xml><?xml version="1.0" encoding="utf-8"?>
<table xmlns="http://schemas.openxmlformats.org/spreadsheetml/2006/main" ref="K50:L56" displayName="Table_16" name="Table_16" id="16">
  <tableColumns count="2">
    <tableColumn name="License" id="1"/>
    <tableColumn name="FC4 Total Evaluated Price Subcategory 2_x000a_OPTION Period" id="2"/>
  </tableColumns>
  <tableStyleInfo name="FC 4 - MSI (Option)-style 2" showColumnStripes="0" showFirstColumn="1" showLastColumn="1" showRowStripes="1"/>
</table>
</file>

<file path=xl/tables/table17.xml><?xml version="1.0" encoding="utf-8"?>
<table xmlns="http://schemas.openxmlformats.org/spreadsheetml/2006/main" ref="J5:K11" displayName="Table_17" name="Table_17" id="17">
  <tableColumns count="2">
    <tableColumn name="License" id="1"/>
    <tableColumn name="FC5 Total Evaluated Price BASE Period" id="2"/>
  </tableColumns>
  <tableStyleInfo name="FC 5 - IRS (Base)-style" showColumnStripes="0" showFirstColumn="1" showLastColumn="1" showRowStripes="1"/>
</table>
</file>

<file path=xl/tables/table18.xml><?xml version="1.0" encoding="utf-8"?>
<table xmlns="http://schemas.openxmlformats.org/spreadsheetml/2006/main" ref="J5:K11" displayName="Table_18" name="Table_18" id="18">
  <tableColumns count="2">
    <tableColumn name="License" id="1"/>
    <tableColumn name="FC5 Total Evaluated Price OPTION Period" id="2"/>
  </tableColumns>
  <tableStyleInfo name="FC 5 - IRS (Option)-style" showColumnStripes="0" showFirstColumn="1" showLastColumn="1" showRowStripes="1"/>
</table>
</file>

<file path=xl/tables/table19.xml><?xml version="1.0" encoding="utf-8"?>
<table xmlns="http://schemas.openxmlformats.org/spreadsheetml/2006/main" ref="K5:L12" displayName="Table_19" name="Table_19" id="19">
  <tableColumns count="2">
    <tableColumn name="License" id="1"/>
    <tableColumn name="FC6 Total Evaluated Price BASE Period" id="2"/>
  </tableColumns>
  <tableStyleInfo name="FC 6 - TND (Base)-style" showColumnStripes="0" showFirstColumn="1" showLastColumn="1" showRowStripes="1"/>
</table>
</file>

<file path=xl/tables/table20.xml><?xml version="1.0" encoding="utf-8"?>
<table xmlns="http://schemas.openxmlformats.org/spreadsheetml/2006/main" ref="K5:L11" displayName="Table_20" name="Table_20" id="20">
  <tableColumns count="2">
    <tableColumn name="License" id="1"/>
    <tableColumn name="FC6 Total Evaluated Price OPTION Period" id="2"/>
  </tableColumns>
  <tableStyleInfo name="FC 6 - TND (Option)-style" showColumnStripes="0" showFirstColumn="1" showLastColumn="1" showRowStripes="1"/>
</table>
</file>

<file path=xl/tables/table21.xml><?xml version="1.0" encoding="utf-8"?>
<table xmlns="http://schemas.openxmlformats.org/spreadsheetml/2006/main" ref="J5:K11" displayName="Table_21" name="Table_21" id="21">
  <tableColumns count="2">
    <tableColumn name="License" id="1"/>
    <tableColumn name="FC7 SC1 Total Evaluated Price BASE Period_x000a_(SAR) Resolution 3 - 10 meters" id="2"/>
  </tableColumns>
  <tableStyleInfo name="FC 7 - AS (Base)-style" showColumnStripes="0" showFirstColumn="1" showLastColumn="1" showRowStripes="1"/>
</table>
</file>

<file path=xl/tables/table22.xml><?xml version="1.0" encoding="utf-8"?>
<table xmlns="http://schemas.openxmlformats.org/spreadsheetml/2006/main" ref="V5:W11" displayName="Table_22" name="Table_22" id="22">
  <tableColumns count="2">
    <tableColumn name="License" id="1"/>
    <tableColumn name="FC7 SC1 Total Evaluated Price BASE Period_x000a_(SAR) Resolution 11-50 meters" id="2"/>
  </tableColumns>
  <tableStyleInfo name="FC 7 - AS (Base)-style 2" showColumnStripes="0" showFirstColumn="1" showLastColumn="1" showRowStripes="1"/>
</table>
</file>

<file path=xl/tables/table23.xml><?xml version="1.0" encoding="utf-8"?>
<table xmlns="http://schemas.openxmlformats.org/spreadsheetml/2006/main" ref="AH5:AI11" displayName="Table_23" name="Table_23" id="23">
  <tableColumns count="2">
    <tableColumn name="License" id="1"/>
    <tableColumn name="FC7 SC1 Total Evaluated Price BASE Period_x000a_(SAR) Resolution 51 - 100 meters" id="2"/>
  </tableColumns>
  <tableStyleInfo name="FC 7 - AS (Base)-style 3" showColumnStripes="0" showFirstColumn="1" showLastColumn="1" showRowStripes="1"/>
</table>
</file>

<file path=xl/tables/table24.xml><?xml version="1.0" encoding="utf-8"?>
<table xmlns="http://schemas.openxmlformats.org/spreadsheetml/2006/main" ref="AT5:AU11" displayName="Table_24" name="Table_24" id="24">
  <tableColumns count="2">
    <tableColumn name="License" id="1"/>
    <tableColumn name="FC7 SC1 Total Evaluated Price BASE Period_x000a_(SAR) Resolution 101 - 150 meters" id="2"/>
  </tableColumns>
  <tableStyleInfo name="FC 7 - AS (Base)-style 4" showColumnStripes="0" showFirstColumn="1" showLastColumn="1" showRowStripes="1"/>
</table>
</file>

<file path=xl/tables/table25.xml><?xml version="1.0" encoding="utf-8"?>
<table xmlns="http://schemas.openxmlformats.org/spreadsheetml/2006/main" ref="J39:K45" displayName="Table_25" name="Table_25" id="25">
  <tableColumns count="2">
    <tableColumn name="License" id="1"/>
    <tableColumn name="FC7 SC2 Total Evaluated Price BASE Period_x000a_(Altimetry, K/Ka/Ku-Band Radar and Scatterometry)" id="2"/>
  </tableColumns>
  <tableStyleInfo name="FC 7 - AS (Base)-style 5" showColumnStripes="0" showFirstColumn="1" showLastColumn="1" showRowStripes="1"/>
</table>
</file>

<file path=xl/tables/table26.xml><?xml version="1.0" encoding="utf-8"?>
<table xmlns="http://schemas.openxmlformats.org/spreadsheetml/2006/main" ref="J5:K11" displayName="Table_26" name="Table_26" id="26">
  <tableColumns count="2">
    <tableColumn name="License" id="1"/>
    <tableColumn name="FC7 SC1 Total Evaluated Price OPTION Period_x000a_(SAR) Resolution 3 - 10 meters" id="2"/>
  </tableColumns>
  <tableStyleInfo name="FC 7 - AS (Option)-style" showColumnStripes="0" showFirstColumn="1" showLastColumn="1" showRowStripes="1"/>
</table>
</file>

<file path=xl/tables/table27.xml><?xml version="1.0" encoding="utf-8"?>
<table xmlns="http://schemas.openxmlformats.org/spreadsheetml/2006/main" ref="V5:W10" displayName="Table_27" name="Table_27" id="27">
  <tableColumns count="2">
    <tableColumn name="License" id="1"/>
    <tableColumn name="FC7 SC1 Total Evaluated Price OPTION Period_x000a_(SAR) Resolution 11-50 meters" id="2"/>
  </tableColumns>
  <tableStyleInfo name="FC 7 - AS (Option)-style 2" showColumnStripes="0" showFirstColumn="1" showLastColumn="1" showRowStripes="1"/>
</table>
</file>

<file path=xl/tables/table28.xml><?xml version="1.0" encoding="utf-8"?>
<table xmlns="http://schemas.openxmlformats.org/spreadsheetml/2006/main" ref="AH5:AI10" displayName="Table_28" name="Table_28" id="28">
  <tableColumns count="2">
    <tableColumn name="License" id="1"/>
    <tableColumn name="FC7 SC1 Total Evaluated Price OPTION Period_x000a_(SAR) Resolution 51 - 100 meters" id="2"/>
  </tableColumns>
  <tableStyleInfo name="FC 7 - AS (Option)-style 3" showColumnStripes="0" showFirstColumn="1" showLastColumn="1" showRowStripes="1"/>
</table>
</file>

<file path=xl/tables/table29.xml><?xml version="1.0" encoding="utf-8"?>
<table xmlns="http://schemas.openxmlformats.org/spreadsheetml/2006/main" ref="AT5:AU11" displayName="Table_29" name="Table_29" id="29">
  <tableColumns count="2">
    <tableColumn name="License" id="1"/>
    <tableColumn name="FC7 SC1 Total Evaluated Price OPTION Period_x000a_(SAR) Resolution 101 - 150 meters" id="2"/>
  </tableColumns>
  <tableStyleInfo name="FC 7 - AS (Option)-style 4" showColumnStripes="0" showFirstColumn="1" showLastColumn="1" showRowStripes="1"/>
</table>
</file>

<file path=xl/tables/table30.xml><?xml version="1.0" encoding="utf-8"?>
<table xmlns="http://schemas.openxmlformats.org/spreadsheetml/2006/main" ref="J39:K45" displayName="Table_30" name="Table_30" id="30">
  <tableColumns count="2">
    <tableColumn name="License" id="1"/>
    <tableColumn name="FC7 SC2 Total Evaluated Price OPTION Period_x000a_(Altimetry, K/Ka/Ku-Band Radar and Scatterometry)" id="2"/>
  </tableColumns>
  <tableStyleInfo name="FC 7 - AS (Option)-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3.xml"/><Relationship Id="rId5"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5.xml"/><Relationship Id="rId5"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11" Type="http://schemas.openxmlformats.org/officeDocument/2006/relationships/table" Target="../tables/table25.xml"/><Relationship Id="rId10" Type="http://schemas.openxmlformats.org/officeDocument/2006/relationships/table" Target="../tables/table24.xml"/><Relationship Id="rId9" Type="http://schemas.openxmlformats.org/officeDocument/2006/relationships/table" Target="../tables/table23.xml"/><Relationship Id="rId7" Type="http://schemas.openxmlformats.org/officeDocument/2006/relationships/table" Target="../tables/table21.xml"/><Relationship Id="rId8"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11" Type="http://schemas.openxmlformats.org/officeDocument/2006/relationships/table" Target="../tables/table30.xml"/><Relationship Id="rId10" Type="http://schemas.openxmlformats.org/officeDocument/2006/relationships/table" Target="../tables/table29.xml"/><Relationship Id="rId9" Type="http://schemas.openxmlformats.org/officeDocument/2006/relationships/table" Target="../tables/table28.xml"/><Relationship Id="rId7" Type="http://schemas.openxmlformats.org/officeDocument/2006/relationships/table" Target="../tables/table26.xml"/><Relationship Id="rId8"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25.75"/>
    <col customWidth="1" min="6" max="6" width="43.63"/>
    <col customWidth="1" min="7" max="26" width="8.63"/>
  </cols>
  <sheetData>
    <row r="1">
      <c r="A1" s="1" t="s">
        <v>0</v>
      </c>
      <c r="B1" s="2"/>
      <c r="C1" s="2"/>
      <c r="D1" s="2"/>
      <c r="E1" s="2"/>
      <c r="F1" s="3"/>
    </row>
    <row r="3">
      <c r="A3" s="4" t="s">
        <v>1</v>
      </c>
      <c r="B3" s="5"/>
      <c r="C3" s="5"/>
      <c r="D3" s="5"/>
      <c r="E3" s="5"/>
      <c r="F3" s="6"/>
    </row>
    <row r="4" ht="5.25" customHeight="1">
      <c r="A4" s="7"/>
      <c r="B4" s="7"/>
      <c r="C4" s="7"/>
      <c r="D4" s="7"/>
      <c r="E4" s="7"/>
      <c r="F4" s="7"/>
    </row>
    <row r="5">
      <c r="A5" s="4" t="s">
        <v>2</v>
      </c>
      <c r="B5" s="5"/>
      <c r="C5" s="5"/>
      <c r="D5" s="5"/>
      <c r="E5" s="5"/>
      <c r="F5" s="6"/>
    </row>
    <row r="6" ht="6.0" customHeight="1"/>
    <row r="7">
      <c r="A7" s="8" t="s">
        <v>3</v>
      </c>
      <c r="B7" s="5"/>
      <c r="C7" s="5"/>
      <c r="D7" s="5"/>
      <c r="E7" s="5"/>
      <c r="F7" s="6"/>
    </row>
    <row r="8" ht="4.5" customHeight="1"/>
    <row r="9">
      <c r="A9" s="8" t="s">
        <v>4</v>
      </c>
      <c r="B9" s="5"/>
      <c r="C9" s="5"/>
      <c r="D9" s="5"/>
      <c r="E9" s="5"/>
      <c r="F9" s="6"/>
    </row>
    <row r="10" ht="4.5" customHeight="1"/>
    <row r="11">
      <c r="A11" s="9" t="s">
        <v>5</v>
      </c>
      <c r="B11" s="5"/>
      <c r="C11" s="5"/>
      <c r="D11" s="5"/>
      <c r="E11" s="5"/>
      <c r="F11" s="6"/>
    </row>
    <row r="12" ht="8.25" customHeight="1"/>
    <row r="13">
      <c r="A13" s="10" t="s">
        <v>6</v>
      </c>
    </row>
    <row r="14">
      <c r="A14" s="11" t="s">
        <v>7</v>
      </c>
      <c r="B14" s="5"/>
      <c r="C14" s="5"/>
      <c r="D14" s="5"/>
      <c r="E14" s="5"/>
      <c r="F14" s="6"/>
    </row>
    <row r="15">
      <c r="A15" s="11" t="s">
        <v>8</v>
      </c>
      <c r="B15" s="5"/>
      <c r="C15" s="5"/>
      <c r="D15" s="5"/>
      <c r="E15" s="5"/>
      <c r="F15" s="6"/>
    </row>
    <row r="16">
      <c r="A16" s="11" t="s">
        <v>9</v>
      </c>
      <c r="B16" s="5"/>
      <c r="C16" s="5"/>
      <c r="D16" s="5"/>
      <c r="E16" s="5"/>
      <c r="F16" s="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0">
    <mergeCell ref="A14:F14"/>
    <mergeCell ref="A15:F15"/>
    <mergeCell ref="A16:F16"/>
    <mergeCell ref="A1:F1"/>
    <mergeCell ref="A3:F3"/>
    <mergeCell ref="A5:F5"/>
    <mergeCell ref="A7:F7"/>
    <mergeCell ref="A9:F9"/>
    <mergeCell ref="A11:F11"/>
    <mergeCell ref="A13:F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88"/>
    <col customWidth="1" min="2" max="26" width="8.63"/>
  </cols>
  <sheetData>
    <row r="1">
      <c r="A1" s="12" t="s">
        <v>10</v>
      </c>
      <c r="B1" s="13"/>
      <c r="C1" s="13"/>
      <c r="D1" s="13"/>
      <c r="E1" s="13"/>
      <c r="F1" s="14"/>
    </row>
    <row r="2" ht="22.5" customHeight="1">
      <c r="A2" s="15" t="s">
        <v>11</v>
      </c>
    </row>
    <row r="3">
      <c r="A3" s="16" t="s">
        <v>12</v>
      </c>
    </row>
    <row r="4" ht="22.5" customHeight="1">
      <c r="A4" s="15" t="s">
        <v>13</v>
      </c>
    </row>
    <row r="5">
      <c r="A5" s="16" t="s">
        <v>14</v>
      </c>
    </row>
    <row r="6" ht="22.5" customHeight="1">
      <c r="A6" s="15" t="s">
        <v>15</v>
      </c>
    </row>
    <row r="7">
      <c r="A7" s="16" t="s">
        <v>16</v>
      </c>
    </row>
    <row r="8" ht="22.5" customHeight="1">
      <c r="A8" s="15" t="s">
        <v>17</v>
      </c>
    </row>
    <row r="9">
      <c r="A9" s="17" t="s">
        <v>18</v>
      </c>
    </row>
    <row r="10" ht="22.5" customHeight="1">
      <c r="A10" s="15" t="s">
        <v>19</v>
      </c>
    </row>
    <row r="11">
      <c r="A11" s="16" t="s">
        <v>20</v>
      </c>
    </row>
    <row r="12">
      <c r="A12" s="18" t="s">
        <v>21</v>
      </c>
    </row>
    <row r="13">
      <c r="A13" s="17"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0.88"/>
    <col customWidth="1" min="2" max="2" width="12.38"/>
    <col customWidth="1" min="3" max="3" width="27.88"/>
    <col customWidth="1" min="4" max="4" width="14.38"/>
    <col customWidth="1" min="5" max="6" width="8.63"/>
    <col customWidth="1" min="7" max="7" width="11.0"/>
    <col customWidth="1" min="8" max="8" width="14.38"/>
    <col customWidth="1" min="9" max="9" width="20.88"/>
    <col customWidth="1" min="10" max="10" width="7.38"/>
    <col customWidth="1" min="11" max="11" width="14.0"/>
    <col customWidth="1" min="12" max="12" width="35.38"/>
    <col customWidth="1" min="13" max="13" width="24.13"/>
    <col customWidth="1" min="14" max="23" width="8.63"/>
  </cols>
  <sheetData>
    <row r="1">
      <c r="A1" s="19" t="s">
        <v>23</v>
      </c>
    </row>
    <row r="2">
      <c r="A2" s="20" t="s">
        <v>24</v>
      </c>
    </row>
    <row r="3">
      <c r="A3" s="20" t="s">
        <v>25</v>
      </c>
    </row>
    <row r="4">
      <c r="A4" s="21" t="s">
        <v>26</v>
      </c>
      <c r="B4" s="22"/>
      <c r="C4" s="22"/>
      <c r="D4" s="22"/>
      <c r="E4" s="22"/>
      <c r="F4" s="23"/>
      <c r="G4" s="24" t="s">
        <v>27</v>
      </c>
      <c r="H4" s="22"/>
      <c r="I4" s="25"/>
    </row>
    <row r="5">
      <c r="A5" s="26" t="s">
        <v>28</v>
      </c>
      <c r="B5" s="27" t="s">
        <v>29</v>
      </c>
      <c r="C5" s="28" t="s">
        <v>30</v>
      </c>
      <c r="D5" s="29" t="s">
        <v>31</v>
      </c>
      <c r="E5" s="29" t="s">
        <v>32</v>
      </c>
      <c r="F5" s="28" t="s">
        <v>33</v>
      </c>
      <c r="G5" s="30" t="s">
        <v>34</v>
      </c>
      <c r="H5" s="31" t="s">
        <v>35</v>
      </c>
      <c r="I5" s="32" t="s">
        <v>36</v>
      </c>
      <c r="K5" s="33" t="s">
        <v>37</v>
      </c>
      <c r="L5" s="33" t="s">
        <v>38</v>
      </c>
    </row>
    <row r="6" ht="15.75" customHeight="1">
      <c r="A6" s="34" t="s">
        <v>39</v>
      </c>
      <c r="B6" s="35">
        <v>1.0</v>
      </c>
      <c r="C6" s="36" t="s">
        <v>40</v>
      </c>
      <c r="D6" s="37">
        <v>500.0</v>
      </c>
      <c r="E6" s="38" t="s">
        <v>41</v>
      </c>
      <c r="F6" s="39">
        <v>0.0</v>
      </c>
      <c r="G6" s="40">
        <v>500.0</v>
      </c>
      <c r="H6" s="41">
        <f t="shared" ref="H6:H35" si="1">F6*G6</f>
        <v>0</v>
      </c>
      <c r="I6" s="42">
        <f t="shared" ref="I6:I35" si="2">H6*365</f>
        <v>0</v>
      </c>
      <c r="K6" s="43">
        <v>1.0</v>
      </c>
      <c r="L6" s="44">
        <f>sum(I6:I11)</f>
        <v>0</v>
      </c>
    </row>
    <row r="7" ht="15.75" customHeight="1">
      <c r="A7" s="45" t="s">
        <v>39</v>
      </c>
      <c r="B7" s="46">
        <v>1.0</v>
      </c>
      <c r="C7" s="47"/>
      <c r="D7" s="48" t="s">
        <v>42</v>
      </c>
      <c r="E7" s="49" t="s">
        <v>41</v>
      </c>
      <c r="F7" s="50">
        <v>0.0</v>
      </c>
      <c r="G7" s="51">
        <v>1000.0</v>
      </c>
      <c r="H7" s="52">
        <f t="shared" si="1"/>
        <v>0</v>
      </c>
      <c r="I7" s="53">
        <f t="shared" si="2"/>
        <v>0</v>
      </c>
      <c r="K7" s="43">
        <v>2.0</v>
      </c>
      <c r="L7" s="44">
        <f>sum(I12:I17)</f>
        <v>0</v>
      </c>
    </row>
    <row r="8">
      <c r="A8" s="54" t="s">
        <v>39</v>
      </c>
      <c r="B8" s="55">
        <v>1.0</v>
      </c>
      <c r="C8" s="56"/>
      <c r="D8" s="57" t="s">
        <v>43</v>
      </c>
      <c r="E8" s="58" t="s">
        <v>41</v>
      </c>
      <c r="F8" s="50">
        <v>0.0</v>
      </c>
      <c r="G8" s="59">
        <v>5000.0</v>
      </c>
      <c r="H8" s="60">
        <f t="shared" si="1"/>
        <v>0</v>
      </c>
      <c r="I8" s="61">
        <f t="shared" si="2"/>
        <v>0</v>
      </c>
      <c r="K8" s="43" t="s">
        <v>44</v>
      </c>
      <c r="L8" s="44">
        <f>sum(I18:I23)</f>
        <v>0</v>
      </c>
    </row>
    <row r="9">
      <c r="A9" s="45" t="s">
        <v>39</v>
      </c>
      <c r="B9" s="46">
        <v>1.0</v>
      </c>
      <c r="C9" s="47"/>
      <c r="D9" s="48" t="s">
        <v>45</v>
      </c>
      <c r="E9" s="49" t="s">
        <v>41</v>
      </c>
      <c r="F9" s="50">
        <v>0.0</v>
      </c>
      <c r="G9" s="51">
        <v>10000.0</v>
      </c>
      <c r="H9" s="52">
        <f t="shared" si="1"/>
        <v>0</v>
      </c>
      <c r="I9" s="53">
        <f t="shared" si="2"/>
        <v>0</v>
      </c>
      <c r="K9" s="43">
        <v>3.0</v>
      </c>
      <c r="L9" s="44">
        <f>sum(I24:I29)</f>
        <v>0</v>
      </c>
    </row>
    <row r="10">
      <c r="A10" s="54" t="s">
        <v>39</v>
      </c>
      <c r="B10" s="55">
        <v>1.0</v>
      </c>
      <c r="C10" s="56"/>
      <c r="D10" s="62" t="s">
        <v>46</v>
      </c>
      <c r="E10" s="58" t="s">
        <v>41</v>
      </c>
      <c r="F10" s="50">
        <v>0.0</v>
      </c>
      <c r="G10" s="59">
        <v>20000.0</v>
      </c>
      <c r="H10" s="60">
        <f t="shared" si="1"/>
        <v>0</v>
      </c>
      <c r="I10" s="61">
        <f t="shared" si="2"/>
        <v>0</v>
      </c>
      <c r="K10" s="43" t="s">
        <v>47</v>
      </c>
      <c r="L10" s="44">
        <f>sum(I30:I35)</f>
        <v>0</v>
      </c>
    </row>
    <row r="11">
      <c r="A11" s="63" t="s">
        <v>39</v>
      </c>
      <c r="B11" s="64">
        <v>1.0</v>
      </c>
      <c r="C11" s="65"/>
      <c r="D11" s="66" t="s">
        <v>48</v>
      </c>
      <c r="E11" s="67" t="s">
        <v>41</v>
      </c>
      <c r="F11" s="68">
        <v>0.0</v>
      </c>
      <c r="G11" s="69">
        <v>30000.0</v>
      </c>
      <c r="H11" s="70">
        <f t="shared" si="1"/>
        <v>0</v>
      </c>
      <c r="I11" s="71">
        <f t="shared" si="2"/>
        <v>0</v>
      </c>
      <c r="K11" s="72" t="s">
        <v>49</v>
      </c>
      <c r="L11" s="73">
        <f>sum(L6:L10)</f>
        <v>0</v>
      </c>
    </row>
    <row r="12" ht="15.75" customHeight="1">
      <c r="A12" s="34" t="s">
        <v>50</v>
      </c>
      <c r="B12" s="35">
        <v>2.0</v>
      </c>
      <c r="C12" s="36" t="s">
        <v>51</v>
      </c>
      <c r="D12" s="37">
        <v>500.0</v>
      </c>
      <c r="E12" s="38" t="s">
        <v>41</v>
      </c>
      <c r="F12" s="39">
        <v>0.0</v>
      </c>
      <c r="G12" s="40">
        <v>500.0</v>
      </c>
      <c r="H12" s="41">
        <f t="shared" si="1"/>
        <v>0</v>
      </c>
      <c r="I12" s="42">
        <f t="shared" si="2"/>
        <v>0</v>
      </c>
    </row>
    <row r="13" ht="15.75" customHeight="1">
      <c r="A13" s="45" t="s">
        <v>50</v>
      </c>
      <c r="B13" s="46">
        <v>2.0</v>
      </c>
      <c r="C13" s="47"/>
      <c r="D13" s="48" t="s">
        <v>42</v>
      </c>
      <c r="E13" s="49" t="s">
        <v>41</v>
      </c>
      <c r="F13" s="50">
        <v>0.0</v>
      </c>
      <c r="G13" s="51">
        <v>1000.0</v>
      </c>
      <c r="H13" s="52">
        <f t="shared" si="1"/>
        <v>0</v>
      </c>
      <c r="I13" s="53">
        <f t="shared" si="2"/>
        <v>0</v>
      </c>
    </row>
    <row r="14">
      <c r="A14" s="54" t="s">
        <v>50</v>
      </c>
      <c r="B14" s="55">
        <v>2.0</v>
      </c>
      <c r="C14" s="56"/>
      <c r="D14" s="57" t="s">
        <v>43</v>
      </c>
      <c r="E14" s="58" t="s">
        <v>41</v>
      </c>
      <c r="F14" s="50">
        <v>0.0</v>
      </c>
      <c r="G14" s="59">
        <v>5000.0</v>
      </c>
      <c r="H14" s="60">
        <f t="shared" si="1"/>
        <v>0</v>
      </c>
      <c r="I14" s="61">
        <f t="shared" si="2"/>
        <v>0</v>
      </c>
    </row>
    <row r="15">
      <c r="A15" s="45" t="s">
        <v>50</v>
      </c>
      <c r="B15" s="46">
        <v>2.0</v>
      </c>
      <c r="C15" s="47"/>
      <c r="D15" s="48" t="s">
        <v>45</v>
      </c>
      <c r="E15" s="49" t="s">
        <v>41</v>
      </c>
      <c r="F15" s="50">
        <v>0.0</v>
      </c>
      <c r="G15" s="51">
        <v>10000.0</v>
      </c>
      <c r="H15" s="52">
        <f t="shared" si="1"/>
        <v>0</v>
      </c>
      <c r="I15" s="53">
        <f t="shared" si="2"/>
        <v>0</v>
      </c>
    </row>
    <row r="16">
      <c r="A16" s="54" t="s">
        <v>50</v>
      </c>
      <c r="B16" s="55">
        <v>2.0</v>
      </c>
      <c r="C16" s="56"/>
      <c r="D16" s="62" t="s">
        <v>46</v>
      </c>
      <c r="E16" s="58" t="s">
        <v>41</v>
      </c>
      <c r="F16" s="50">
        <v>0.0</v>
      </c>
      <c r="G16" s="59">
        <v>20000.0</v>
      </c>
      <c r="H16" s="60">
        <f t="shared" si="1"/>
        <v>0</v>
      </c>
      <c r="I16" s="61">
        <f t="shared" si="2"/>
        <v>0</v>
      </c>
    </row>
    <row r="17">
      <c r="A17" s="63" t="s">
        <v>50</v>
      </c>
      <c r="B17" s="64">
        <v>2.0</v>
      </c>
      <c r="C17" s="65"/>
      <c r="D17" s="66" t="s">
        <v>48</v>
      </c>
      <c r="E17" s="67" t="s">
        <v>41</v>
      </c>
      <c r="F17" s="68">
        <v>0.0</v>
      </c>
      <c r="G17" s="69">
        <v>30000.0</v>
      </c>
      <c r="H17" s="70">
        <f t="shared" si="1"/>
        <v>0</v>
      </c>
      <c r="I17" s="71">
        <f t="shared" si="2"/>
        <v>0</v>
      </c>
    </row>
    <row r="18" ht="15.75" customHeight="1">
      <c r="A18" s="74" t="s">
        <v>52</v>
      </c>
      <c r="B18" s="75" t="s">
        <v>44</v>
      </c>
      <c r="C18" s="76" t="s">
        <v>53</v>
      </c>
      <c r="D18" s="77">
        <v>500.0</v>
      </c>
      <c r="E18" s="78" t="s">
        <v>41</v>
      </c>
      <c r="F18" s="39">
        <v>0.0</v>
      </c>
      <c r="G18" s="79">
        <v>500.0</v>
      </c>
      <c r="H18" s="80">
        <f t="shared" si="1"/>
        <v>0</v>
      </c>
      <c r="I18" s="81">
        <f t="shared" si="2"/>
        <v>0</v>
      </c>
    </row>
    <row r="19">
      <c r="A19" s="82" t="s">
        <v>52</v>
      </c>
      <c r="B19" s="46" t="s">
        <v>44</v>
      </c>
      <c r="C19" s="47"/>
      <c r="D19" s="48" t="s">
        <v>42</v>
      </c>
      <c r="E19" s="49" t="s">
        <v>41</v>
      </c>
      <c r="F19" s="50">
        <v>0.0</v>
      </c>
      <c r="G19" s="51">
        <v>1000.0</v>
      </c>
      <c r="H19" s="52">
        <f t="shared" si="1"/>
        <v>0</v>
      </c>
      <c r="I19" s="53">
        <f t="shared" si="2"/>
        <v>0</v>
      </c>
    </row>
    <row r="20" ht="15.75" customHeight="1">
      <c r="A20" s="54" t="s">
        <v>52</v>
      </c>
      <c r="B20" s="55" t="s">
        <v>44</v>
      </c>
      <c r="C20" s="56"/>
      <c r="D20" s="57" t="s">
        <v>43</v>
      </c>
      <c r="E20" s="58" t="s">
        <v>41</v>
      </c>
      <c r="F20" s="50">
        <v>0.0</v>
      </c>
      <c r="G20" s="59">
        <v>5000.0</v>
      </c>
      <c r="H20" s="60">
        <f t="shared" si="1"/>
        <v>0</v>
      </c>
      <c r="I20" s="61">
        <f t="shared" si="2"/>
        <v>0</v>
      </c>
    </row>
    <row r="21" ht="15.75" customHeight="1">
      <c r="A21" s="82" t="s">
        <v>52</v>
      </c>
      <c r="B21" s="46" t="s">
        <v>44</v>
      </c>
      <c r="C21" s="47"/>
      <c r="D21" s="48" t="s">
        <v>45</v>
      </c>
      <c r="E21" s="49" t="s">
        <v>41</v>
      </c>
      <c r="F21" s="50">
        <v>0.0</v>
      </c>
      <c r="G21" s="51">
        <v>10000.0</v>
      </c>
      <c r="H21" s="52">
        <f t="shared" si="1"/>
        <v>0</v>
      </c>
      <c r="I21" s="53">
        <f t="shared" si="2"/>
        <v>0</v>
      </c>
    </row>
    <row r="22" ht="15.75" customHeight="1">
      <c r="A22" s="54" t="s">
        <v>52</v>
      </c>
      <c r="B22" s="55" t="s">
        <v>44</v>
      </c>
      <c r="C22" s="56"/>
      <c r="D22" s="62" t="s">
        <v>46</v>
      </c>
      <c r="E22" s="58" t="s">
        <v>41</v>
      </c>
      <c r="F22" s="50">
        <v>0.0</v>
      </c>
      <c r="G22" s="59">
        <v>20000.0</v>
      </c>
      <c r="H22" s="60">
        <f t="shared" si="1"/>
        <v>0</v>
      </c>
      <c r="I22" s="61">
        <f t="shared" si="2"/>
        <v>0</v>
      </c>
    </row>
    <row r="23" ht="15.75" customHeight="1">
      <c r="A23" s="83" t="s">
        <v>52</v>
      </c>
      <c r="B23" s="64" t="s">
        <v>44</v>
      </c>
      <c r="C23" s="65"/>
      <c r="D23" s="66" t="s">
        <v>48</v>
      </c>
      <c r="E23" s="67" t="s">
        <v>41</v>
      </c>
      <c r="F23" s="68">
        <v>0.0</v>
      </c>
      <c r="G23" s="69">
        <v>30000.0</v>
      </c>
      <c r="H23" s="70">
        <f t="shared" si="1"/>
        <v>0</v>
      </c>
      <c r="I23" s="71">
        <f t="shared" si="2"/>
        <v>0</v>
      </c>
    </row>
    <row r="24" ht="15.75" customHeight="1">
      <c r="A24" s="74" t="s">
        <v>54</v>
      </c>
      <c r="B24" s="75">
        <v>3.0</v>
      </c>
      <c r="C24" s="76" t="s">
        <v>55</v>
      </c>
      <c r="D24" s="77">
        <v>500.0</v>
      </c>
      <c r="E24" s="78" t="s">
        <v>41</v>
      </c>
      <c r="F24" s="39">
        <v>0.0</v>
      </c>
      <c r="G24" s="79">
        <v>500.0</v>
      </c>
      <c r="H24" s="80">
        <f t="shared" si="1"/>
        <v>0</v>
      </c>
      <c r="I24" s="81">
        <f t="shared" si="2"/>
        <v>0</v>
      </c>
    </row>
    <row r="25" ht="15.75" customHeight="1">
      <c r="A25" s="82" t="s">
        <v>54</v>
      </c>
      <c r="B25" s="46">
        <v>3.0</v>
      </c>
      <c r="C25" s="47"/>
      <c r="D25" s="48" t="s">
        <v>42</v>
      </c>
      <c r="E25" s="49" t="s">
        <v>41</v>
      </c>
      <c r="F25" s="50">
        <v>0.0</v>
      </c>
      <c r="G25" s="51">
        <v>1000.0</v>
      </c>
      <c r="H25" s="52">
        <f t="shared" si="1"/>
        <v>0</v>
      </c>
      <c r="I25" s="53">
        <f t="shared" si="2"/>
        <v>0</v>
      </c>
    </row>
    <row r="26" ht="15.75" customHeight="1">
      <c r="A26" s="54" t="s">
        <v>54</v>
      </c>
      <c r="B26" s="55">
        <v>3.0</v>
      </c>
      <c r="C26" s="56"/>
      <c r="D26" s="57" t="s">
        <v>43</v>
      </c>
      <c r="E26" s="58" t="s">
        <v>41</v>
      </c>
      <c r="F26" s="50">
        <v>0.0</v>
      </c>
      <c r="G26" s="59">
        <v>5000.0</v>
      </c>
      <c r="H26" s="60">
        <f t="shared" si="1"/>
        <v>0</v>
      </c>
      <c r="I26" s="61">
        <f t="shared" si="2"/>
        <v>0</v>
      </c>
    </row>
    <row r="27" ht="15.75" customHeight="1">
      <c r="A27" s="82" t="s">
        <v>54</v>
      </c>
      <c r="B27" s="46">
        <v>3.0</v>
      </c>
      <c r="C27" s="47"/>
      <c r="D27" s="48" t="s">
        <v>45</v>
      </c>
      <c r="E27" s="49" t="s">
        <v>41</v>
      </c>
      <c r="F27" s="50">
        <v>0.0</v>
      </c>
      <c r="G27" s="51">
        <v>10000.0</v>
      </c>
      <c r="H27" s="52">
        <f t="shared" si="1"/>
        <v>0</v>
      </c>
      <c r="I27" s="53">
        <f t="shared" si="2"/>
        <v>0</v>
      </c>
    </row>
    <row r="28" ht="15.75" customHeight="1">
      <c r="A28" s="54" t="s">
        <v>54</v>
      </c>
      <c r="B28" s="55">
        <v>3.0</v>
      </c>
      <c r="C28" s="56"/>
      <c r="D28" s="62" t="s">
        <v>46</v>
      </c>
      <c r="E28" s="58" t="s">
        <v>41</v>
      </c>
      <c r="F28" s="50">
        <v>0.0</v>
      </c>
      <c r="G28" s="59">
        <v>20000.0</v>
      </c>
      <c r="H28" s="60">
        <f t="shared" si="1"/>
        <v>0</v>
      </c>
      <c r="I28" s="61">
        <f t="shared" si="2"/>
        <v>0</v>
      </c>
    </row>
    <row r="29" ht="15.75" customHeight="1">
      <c r="A29" s="83" t="s">
        <v>54</v>
      </c>
      <c r="B29" s="64">
        <v>3.0</v>
      </c>
      <c r="C29" s="65"/>
      <c r="D29" s="66" t="s">
        <v>48</v>
      </c>
      <c r="E29" s="67" t="s">
        <v>41</v>
      </c>
      <c r="F29" s="39">
        <v>0.0</v>
      </c>
      <c r="G29" s="69">
        <v>30000.0</v>
      </c>
      <c r="H29" s="70">
        <f t="shared" si="1"/>
        <v>0</v>
      </c>
      <c r="I29" s="71">
        <f t="shared" si="2"/>
        <v>0</v>
      </c>
    </row>
    <row r="30" ht="15.75" customHeight="1">
      <c r="A30" s="74" t="s">
        <v>56</v>
      </c>
      <c r="B30" s="75" t="s">
        <v>47</v>
      </c>
      <c r="C30" s="76" t="s">
        <v>57</v>
      </c>
      <c r="D30" s="77">
        <v>500.0</v>
      </c>
      <c r="E30" s="78" t="s">
        <v>41</v>
      </c>
      <c r="F30" s="84">
        <v>0.0</v>
      </c>
      <c r="G30" s="79">
        <v>500.0</v>
      </c>
      <c r="H30" s="80">
        <f t="shared" si="1"/>
        <v>0</v>
      </c>
      <c r="I30" s="81">
        <f t="shared" si="2"/>
        <v>0</v>
      </c>
    </row>
    <row r="31" ht="15.75" customHeight="1">
      <c r="A31" s="82" t="s">
        <v>56</v>
      </c>
      <c r="B31" s="46" t="s">
        <v>47</v>
      </c>
      <c r="C31" s="47"/>
      <c r="D31" s="48" t="s">
        <v>42</v>
      </c>
      <c r="E31" s="49" t="s">
        <v>41</v>
      </c>
      <c r="F31" s="85">
        <v>0.0</v>
      </c>
      <c r="G31" s="51">
        <v>1000.0</v>
      </c>
      <c r="H31" s="52">
        <f t="shared" si="1"/>
        <v>0</v>
      </c>
      <c r="I31" s="53">
        <f t="shared" si="2"/>
        <v>0</v>
      </c>
    </row>
    <row r="32" ht="15.75" customHeight="1">
      <c r="A32" s="54" t="s">
        <v>56</v>
      </c>
      <c r="B32" s="55" t="s">
        <v>47</v>
      </c>
      <c r="C32" s="56"/>
      <c r="D32" s="57" t="s">
        <v>43</v>
      </c>
      <c r="E32" s="58" t="s">
        <v>41</v>
      </c>
      <c r="F32" s="85">
        <v>0.0</v>
      </c>
      <c r="G32" s="59">
        <v>5000.0</v>
      </c>
      <c r="H32" s="60">
        <f t="shared" si="1"/>
        <v>0</v>
      </c>
      <c r="I32" s="61">
        <f t="shared" si="2"/>
        <v>0</v>
      </c>
    </row>
    <row r="33" ht="15.75" customHeight="1">
      <c r="A33" s="82" t="s">
        <v>56</v>
      </c>
      <c r="B33" s="46" t="s">
        <v>47</v>
      </c>
      <c r="C33" s="47"/>
      <c r="D33" s="48" t="s">
        <v>45</v>
      </c>
      <c r="E33" s="49" t="s">
        <v>41</v>
      </c>
      <c r="F33" s="85">
        <v>0.0</v>
      </c>
      <c r="G33" s="51">
        <v>10000.0</v>
      </c>
      <c r="H33" s="52">
        <f t="shared" si="1"/>
        <v>0</v>
      </c>
      <c r="I33" s="53">
        <f t="shared" si="2"/>
        <v>0</v>
      </c>
    </row>
    <row r="34" ht="15.75" customHeight="1">
      <c r="A34" s="54" t="s">
        <v>56</v>
      </c>
      <c r="B34" s="55" t="s">
        <v>47</v>
      </c>
      <c r="C34" s="56"/>
      <c r="D34" s="62" t="s">
        <v>46</v>
      </c>
      <c r="E34" s="58" t="s">
        <v>41</v>
      </c>
      <c r="F34" s="85">
        <v>0.0</v>
      </c>
      <c r="G34" s="59">
        <v>20000.0</v>
      </c>
      <c r="H34" s="60">
        <f t="shared" si="1"/>
        <v>0</v>
      </c>
      <c r="I34" s="61">
        <f t="shared" si="2"/>
        <v>0</v>
      </c>
    </row>
    <row r="35" ht="15.75" customHeight="1">
      <c r="A35" s="83" t="s">
        <v>56</v>
      </c>
      <c r="B35" s="64" t="s">
        <v>47</v>
      </c>
      <c r="C35" s="65"/>
      <c r="D35" s="66" t="s">
        <v>48</v>
      </c>
      <c r="E35" s="67" t="s">
        <v>41</v>
      </c>
      <c r="F35" s="86">
        <v>0.0</v>
      </c>
      <c r="G35" s="69">
        <v>30000.0</v>
      </c>
      <c r="H35" s="70">
        <f t="shared" si="1"/>
        <v>0</v>
      </c>
      <c r="I35" s="71">
        <f t="shared" si="2"/>
        <v>0</v>
      </c>
    </row>
    <row r="36" ht="15.75" customHeight="1"/>
    <row r="37" ht="15.75" customHeight="1">
      <c r="A37" s="87"/>
      <c r="B37" s="87"/>
      <c r="C37" s="87"/>
      <c r="D37" s="87"/>
      <c r="E37" s="87"/>
      <c r="F37" s="87"/>
      <c r="G37" s="87"/>
    </row>
    <row r="38" ht="15.75" customHeight="1">
      <c r="A38" s="20" t="s">
        <v>58</v>
      </c>
    </row>
    <row r="39" ht="15.75" customHeight="1">
      <c r="A39" s="88" t="s">
        <v>26</v>
      </c>
      <c r="B39" s="89"/>
      <c r="C39" s="89"/>
      <c r="D39" s="89"/>
      <c r="E39" s="89"/>
      <c r="F39" s="90"/>
      <c r="G39" s="91" t="s">
        <v>59</v>
      </c>
      <c r="H39" s="89"/>
      <c r="I39" s="92"/>
    </row>
    <row r="40" ht="15.75" customHeight="1">
      <c r="A40" s="93" t="s">
        <v>60</v>
      </c>
      <c r="B40" s="94" t="s">
        <v>29</v>
      </c>
      <c r="C40" s="95" t="s">
        <v>30</v>
      </c>
      <c r="D40" s="67" t="s">
        <v>31</v>
      </c>
      <c r="E40" s="67" t="s">
        <v>32</v>
      </c>
      <c r="F40" s="95" t="s">
        <v>33</v>
      </c>
      <c r="G40" s="96" t="s">
        <v>61</v>
      </c>
      <c r="H40" s="97" t="s">
        <v>35</v>
      </c>
      <c r="I40" s="98" t="s">
        <v>36</v>
      </c>
      <c r="K40" s="33" t="s">
        <v>37</v>
      </c>
      <c r="L40" s="33" t="s">
        <v>62</v>
      </c>
    </row>
    <row r="41" ht="15.75" customHeight="1">
      <c r="A41" s="99" t="s">
        <v>63</v>
      </c>
      <c r="B41" s="100">
        <v>1.0</v>
      </c>
      <c r="C41" s="101" t="s">
        <v>64</v>
      </c>
      <c r="D41" s="102">
        <v>500.0</v>
      </c>
      <c r="E41" s="103" t="s">
        <v>41</v>
      </c>
      <c r="F41" s="84">
        <v>0.0</v>
      </c>
      <c r="G41" s="104">
        <v>500.0</v>
      </c>
      <c r="H41" s="105">
        <f t="shared" ref="H41:H70" si="3">F41*G41</f>
        <v>0</v>
      </c>
      <c r="I41" s="106">
        <f t="shared" ref="I41:I70" si="4">H41*365</f>
        <v>0</v>
      </c>
      <c r="K41" s="43">
        <v>1.0</v>
      </c>
      <c r="L41" s="44">
        <f>sum(I41:I46)</f>
        <v>0</v>
      </c>
    </row>
    <row r="42" ht="15.75" customHeight="1">
      <c r="A42" s="45" t="s">
        <v>63</v>
      </c>
      <c r="B42" s="107">
        <v>1.0</v>
      </c>
      <c r="C42" s="47"/>
      <c r="D42" s="48" t="s">
        <v>42</v>
      </c>
      <c r="E42" s="49" t="s">
        <v>41</v>
      </c>
      <c r="F42" s="85">
        <v>0.0</v>
      </c>
      <c r="G42" s="51">
        <v>1000.0</v>
      </c>
      <c r="H42" s="52">
        <f t="shared" si="3"/>
        <v>0</v>
      </c>
      <c r="I42" s="53">
        <f t="shared" si="4"/>
        <v>0</v>
      </c>
      <c r="K42" s="43">
        <v>2.0</v>
      </c>
      <c r="L42" s="44">
        <f>sum(I47:I52)</f>
        <v>0</v>
      </c>
    </row>
    <row r="43" ht="15.75" customHeight="1">
      <c r="A43" s="108" t="s">
        <v>63</v>
      </c>
      <c r="B43" s="109">
        <v>1.0</v>
      </c>
      <c r="C43" s="110"/>
      <c r="D43" s="111" t="s">
        <v>43</v>
      </c>
      <c r="E43" s="112" t="s">
        <v>41</v>
      </c>
      <c r="F43" s="50">
        <v>0.0</v>
      </c>
      <c r="G43" s="113">
        <v>5000.0</v>
      </c>
      <c r="H43" s="114">
        <f t="shared" si="3"/>
        <v>0</v>
      </c>
      <c r="I43" s="115">
        <f t="shared" si="4"/>
        <v>0</v>
      </c>
      <c r="K43" s="43" t="s">
        <v>44</v>
      </c>
      <c r="L43" s="44">
        <f>sum(I53:I58)</f>
        <v>0</v>
      </c>
    </row>
    <row r="44" ht="15.75" customHeight="1">
      <c r="A44" s="45" t="s">
        <v>63</v>
      </c>
      <c r="B44" s="107">
        <v>1.0</v>
      </c>
      <c r="C44" s="47"/>
      <c r="D44" s="48" t="s">
        <v>45</v>
      </c>
      <c r="E44" s="49" t="s">
        <v>41</v>
      </c>
      <c r="F44" s="50">
        <v>0.0</v>
      </c>
      <c r="G44" s="51">
        <v>10000.0</v>
      </c>
      <c r="H44" s="52">
        <f t="shared" si="3"/>
        <v>0</v>
      </c>
      <c r="I44" s="53">
        <f t="shared" si="4"/>
        <v>0</v>
      </c>
      <c r="K44" s="43">
        <v>3.0</v>
      </c>
      <c r="L44" s="44">
        <f>sum(I59:I64)</f>
        <v>0</v>
      </c>
    </row>
    <row r="45" ht="15.75" customHeight="1">
      <c r="A45" s="108" t="s">
        <v>63</v>
      </c>
      <c r="B45" s="109">
        <v>1.0</v>
      </c>
      <c r="C45" s="110"/>
      <c r="D45" s="116" t="s">
        <v>46</v>
      </c>
      <c r="E45" s="112" t="s">
        <v>41</v>
      </c>
      <c r="F45" s="50">
        <v>0.0</v>
      </c>
      <c r="G45" s="113">
        <v>20000.0</v>
      </c>
      <c r="H45" s="114">
        <f t="shared" si="3"/>
        <v>0</v>
      </c>
      <c r="I45" s="115">
        <f t="shared" si="4"/>
        <v>0</v>
      </c>
      <c r="K45" s="43" t="s">
        <v>47</v>
      </c>
      <c r="L45" s="44">
        <f>sum(I65:I70)</f>
        <v>0</v>
      </c>
    </row>
    <row r="46" ht="15.75" customHeight="1">
      <c r="A46" s="63" t="s">
        <v>63</v>
      </c>
      <c r="B46" s="117">
        <v>1.0</v>
      </c>
      <c r="C46" s="65"/>
      <c r="D46" s="66" t="s">
        <v>48</v>
      </c>
      <c r="E46" s="67" t="s">
        <v>41</v>
      </c>
      <c r="F46" s="68">
        <v>0.0</v>
      </c>
      <c r="G46" s="69">
        <v>30000.0</v>
      </c>
      <c r="H46" s="70">
        <f t="shared" si="3"/>
        <v>0</v>
      </c>
      <c r="I46" s="71">
        <f t="shared" si="4"/>
        <v>0</v>
      </c>
      <c r="K46" s="72" t="s">
        <v>65</v>
      </c>
      <c r="L46" s="118"/>
    </row>
    <row r="47" ht="15.75" customHeight="1">
      <c r="A47" s="99" t="s">
        <v>66</v>
      </c>
      <c r="B47" s="100">
        <v>2.0</v>
      </c>
      <c r="C47" s="101" t="s">
        <v>67</v>
      </c>
      <c r="D47" s="102">
        <v>500.0</v>
      </c>
      <c r="E47" s="103" t="s">
        <v>41</v>
      </c>
      <c r="F47" s="84">
        <v>0.0</v>
      </c>
      <c r="G47" s="104">
        <v>500.0</v>
      </c>
      <c r="H47" s="105">
        <f t="shared" si="3"/>
        <v>0</v>
      </c>
      <c r="I47" s="106">
        <f t="shared" si="4"/>
        <v>0</v>
      </c>
    </row>
    <row r="48" ht="15.75" customHeight="1">
      <c r="A48" s="45" t="s">
        <v>66</v>
      </c>
      <c r="B48" s="107">
        <v>2.0</v>
      </c>
      <c r="C48" s="47"/>
      <c r="D48" s="48" t="s">
        <v>42</v>
      </c>
      <c r="E48" s="49" t="s">
        <v>41</v>
      </c>
      <c r="F48" s="85">
        <v>0.0</v>
      </c>
      <c r="G48" s="51">
        <v>1000.0</v>
      </c>
      <c r="H48" s="52">
        <f t="shared" si="3"/>
        <v>0</v>
      </c>
      <c r="I48" s="53">
        <f t="shared" si="4"/>
        <v>0</v>
      </c>
    </row>
    <row r="49" ht="15.75" customHeight="1">
      <c r="A49" s="108" t="s">
        <v>66</v>
      </c>
      <c r="B49" s="109">
        <v>2.0</v>
      </c>
      <c r="C49" s="110"/>
      <c r="D49" s="111" t="s">
        <v>43</v>
      </c>
      <c r="E49" s="112" t="s">
        <v>41</v>
      </c>
      <c r="F49" s="85">
        <v>0.0</v>
      </c>
      <c r="G49" s="113">
        <v>5000.0</v>
      </c>
      <c r="H49" s="114">
        <f t="shared" si="3"/>
        <v>0</v>
      </c>
      <c r="I49" s="115">
        <f t="shared" si="4"/>
        <v>0</v>
      </c>
    </row>
    <row r="50" ht="15.75" customHeight="1">
      <c r="A50" s="45" t="s">
        <v>66</v>
      </c>
      <c r="B50" s="107">
        <v>2.0</v>
      </c>
      <c r="C50" s="47"/>
      <c r="D50" s="48" t="s">
        <v>45</v>
      </c>
      <c r="E50" s="49" t="s">
        <v>41</v>
      </c>
      <c r="F50" s="85">
        <v>0.0</v>
      </c>
      <c r="G50" s="51">
        <v>10000.0</v>
      </c>
      <c r="H50" s="52">
        <f t="shared" si="3"/>
        <v>0</v>
      </c>
      <c r="I50" s="53">
        <f t="shared" si="4"/>
        <v>0</v>
      </c>
    </row>
    <row r="51" ht="15.75" customHeight="1">
      <c r="A51" s="108" t="s">
        <v>66</v>
      </c>
      <c r="B51" s="109">
        <v>2.0</v>
      </c>
      <c r="C51" s="110"/>
      <c r="D51" s="116" t="s">
        <v>46</v>
      </c>
      <c r="E51" s="112" t="s">
        <v>41</v>
      </c>
      <c r="F51" s="85">
        <v>0.0</v>
      </c>
      <c r="G51" s="113">
        <v>20000.0</v>
      </c>
      <c r="H51" s="114">
        <f t="shared" si="3"/>
        <v>0</v>
      </c>
      <c r="I51" s="115">
        <f t="shared" si="4"/>
        <v>0</v>
      </c>
    </row>
    <row r="52" ht="15.75" customHeight="1">
      <c r="A52" s="63" t="s">
        <v>66</v>
      </c>
      <c r="B52" s="117">
        <v>2.0</v>
      </c>
      <c r="C52" s="65"/>
      <c r="D52" s="66" t="s">
        <v>48</v>
      </c>
      <c r="E52" s="67" t="s">
        <v>41</v>
      </c>
      <c r="F52" s="84">
        <v>0.0</v>
      </c>
      <c r="G52" s="69">
        <v>30000.0</v>
      </c>
      <c r="H52" s="70">
        <f t="shared" si="3"/>
        <v>0</v>
      </c>
      <c r="I52" s="71">
        <f t="shared" si="4"/>
        <v>0</v>
      </c>
    </row>
    <row r="53" ht="15.75" customHeight="1">
      <c r="A53" s="99" t="s">
        <v>68</v>
      </c>
      <c r="B53" s="100" t="s">
        <v>44</v>
      </c>
      <c r="C53" s="101" t="s">
        <v>69</v>
      </c>
      <c r="D53" s="102">
        <v>500.0</v>
      </c>
      <c r="E53" s="103" t="s">
        <v>41</v>
      </c>
      <c r="F53" s="84">
        <v>0.0</v>
      </c>
      <c r="G53" s="104">
        <v>500.0</v>
      </c>
      <c r="H53" s="105">
        <f t="shared" si="3"/>
        <v>0</v>
      </c>
      <c r="I53" s="106">
        <f t="shared" si="4"/>
        <v>0</v>
      </c>
    </row>
    <row r="54" ht="15.75" customHeight="1">
      <c r="A54" s="45" t="s">
        <v>68</v>
      </c>
      <c r="B54" s="107" t="s">
        <v>44</v>
      </c>
      <c r="C54" s="47"/>
      <c r="D54" s="48" t="s">
        <v>42</v>
      </c>
      <c r="E54" s="49" t="s">
        <v>41</v>
      </c>
      <c r="F54" s="85">
        <v>0.0</v>
      </c>
      <c r="G54" s="51">
        <v>1000.0</v>
      </c>
      <c r="H54" s="52">
        <f t="shared" si="3"/>
        <v>0</v>
      </c>
      <c r="I54" s="53">
        <f t="shared" si="4"/>
        <v>0</v>
      </c>
    </row>
    <row r="55" ht="15.75" customHeight="1">
      <c r="A55" s="108" t="s">
        <v>68</v>
      </c>
      <c r="B55" s="109" t="s">
        <v>44</v>
      </c>
      <c r="C55" s="110"/>
      <c r="D55" s="111" t="s">
        <v>43</v>
      </c>
      <c r="E55" s="112" t="s">
        <v>41</v>
      </c>
      <c r="F55" s="85">
        <v>0.0</v>
      </c>
      <c r="G55" s="113">
        <v>5000.0</v>
      </c>
      <c r="H55" s="114">
        <f t="shared" si="3"/>
        <v>0</v>
      </c>
      <c r="I55" s="115">
        <f t="shared" si="4"/>
        <v>0</v>
      </c>
    </row>
    <row r="56" ht="15.75" customHeight="1">
      <c r="A56" s="45" t="s">
        <v>68</v>
      </c>
      <c r="B56" s="107" t="s">
        <v>44</v>
      </c>
      <c r="C56" s="47"/>
      <c r="D56" s="48" t="s">
        <v>45</v>
      </c>
      <c r="E56" s="49" t="s">
        <v>41</v>
      </c>
      <c r="F56" s="85">
        <v>0.0</v>
      </c>
      <c r="G56" s="51">
        <v>10000.0</v>
      </c>
      <c r="H56" s="52">
        <f t="shared" si="3"/>
        <v>0</v>
      </c>
      <c r="I56" s="53">
        <f t="shared" si="4"/>
        <v>0</v>
      </c>
    </row>
    <row r="57" ht="15.75" customHeight="1">
      <c r="A57" s="108" t="s">
        <v>68</v>
      </c>
      <c r="B57" s="109" t="s">
        <v>44</v>
      </c>
      <c r="C57" s="110"/>
      <c r="D57" s="116" t="s">
        <v>46</v>
      </c>
      <c r="E57" s="112" t="s">
        <v>41</v>
      </c>
      <c r="F57" s="85">
        <v>0.0</v>
      </c>
      <c r="G57" s="113">
        <v>20000.0</v>
      </c>
      <c r="H57" s="114">
        <f t="shared" si="3"/>
        <v>0</v>
      </c>
      <c r="I57" s="115">
        <f t="shared" si="4"/>
        <v>0</v>
      </c>
    </row>
    <row r="58" ht="15.75" customHeight="1">
      <c r="A58" s="63" t="s">
        <v>68</v>
      </c>
      <c r="B58" s="117" t="s">
        <v>44</v>
      </c>
      <c r="C58" s="65"/>
      <c r="D58" s="66" t="s">
        <v>48</v>
      </c>
      <c r="E58" s="67" t="s">
        <v>41</v>
      </c>
      <c r="F58" s="84">
        <v>0.0</v>
      </c>
      <c r="G58" s="69">
        <v>30000.0</v>
      </c>
      <c r="H58" s="70">
        <f t="shared" si="3"/>
        <v>0</v>
      </c>
      <c r="I58" s="71">
        <f t="shared" si="4"/>
        <v>0</v>
      </c>
    </row>
    <row r="59" ht="15.75" customHeight="1">
      <c r="A59" s="99" t="s">
        <v>70</v>
      </c>
      <c r="B59" s="100">
        <v>3.0</v>
      </c>
      <c r="C59" s="101" t="s">
        <v>71</v>
      </c>
      <c r="D59" s="102">
        <v>500.0</v>
      </c>
      <c r="E59" s="103" t="s">
        <v>41</v>
      </c>
      <c r="F59" s="84">
        <v>0.0</v>
      </c>
      <c r="G59" s="104">
        <v>500.0</v>
      </c>
      <c r="H59" s="105">
        <f t="shared" si="3"/>
        <v>0</v>
      </c>
      <c r="I59" s="106">
        <f t="shared" si="4"/>
        <v>0</v>
      </c>
    </row>
    <row r="60" ht="15.75" customHeight="1">
      <c r="A60" s="45" t="s">
        <v>70</v>
      </c>
      <c r="B60" s="107">
        <v>3.0</v>
      </c>
      <c r="C60" s="47"/>
      <c r="D60" s="48" t="s">
        <v>42</v>
      </c>
      <c r="E60" s="49" t="s">
        <v>41</v>
      </c>
      <c r="F60" s="85">
        <v>0.0</v>
      </c>
      <c r="G60" s="51">
        <v>1000.0</v>
      </c>
      <c r="H60" s="52">
        <f t="shared" si="3"/>
        <v>0</v>
      </c>
      <c r="I60" s="53">
        <f t="shared" si="4"/>
        <v>0</v>
      </c>
    </row>
    <row r="61" ht="15.75" customHeight="1">
      <c r="A61" s="108" t="s">
        <v>70</v>
      </c>
      <c r="B61" s="109">
        <v>3.0</v>
      </c>
      <c r="C61" s="110"/>
      <c r="D61" s="111" t="s">
        <v>43</v>
      </c>
      <c r="E61" s="112" t="s">
        <v>41</v>
      </c>
      <c r="F61" s="85">
        <v>0.0</v>
      </c>
      <c r="G61" s="113">
        <v>5000.0</v>
      </c>
      <c r="H61" s="114">
        <f t="shared" si="3"/>
        <v>0</v>
      </c>
      <c r="I61" s="115">
        <f t="shared" si="4"/>
        <v>0</v>
      </c>
    </row>
    <row r="62" ht="15.75" customHeight="1">
      <c r="A62" s="45" t="s">
        <v>70</v>
      </c>
      <c r="B62" s="107">
        <v>3.0</v>
      </c>
      <c r="C62" s="47"/>
      <c r="D62" s="48" t="s">
        <v>45</v>
      </c>
      <c r="E62" s="49" t="s">
        <v>41</v>
      </c>
      <c r="F62" s="85">
        <v>0.0</v>
      </c>
      <c r="G62" s="51">
        <v>10000.0</v>
      </c>
      <c r="H62" s="52">
        <f t="shared" si="3"/>
        <v>0</v>
      </c>
      <c r="I62" s="53">
        <f t="shared" si="4"/>
        <v>0</v>
      </c>
    </row>
    <row r="63" ht="15.75" customHeight="1">
      <c r="A63" s="108" t="s">
        <v>70</v>
      </c>
      <c r="B63" s="109">
        <v>3.0</v>
      </c>
      <c r="C63" s="110"/>
      <c r="D63" s="116" t="s">
        <v>46</v>
      </c>
      <c r="E63" s="112" t="s">
        <v>41</v>
      </c>
      <c r="F63" s="85">
        <v>0.0</v>
      </c>
      <c r="G63" s="113">
        <v>20000.0</v>
      </c>
      <c r="H63" s="114">
        <f t="shared" si="3"/>
        <v>0</v>
      </c>
      <c r="I63" s="115">
        <f t="shared" si="4"/>
        <v>0</v>
      </c>
    </row>
    <row r="64" ht="15.75" customHeight="1">
      <c r="A64" s="63" t="s">
        <v>70</v>
      </c>
      <c r="B64" s="117">
        <v>3.0</v>
      </c>
      <c r="C64" s="65"/>
      <c r="D64" s="66" t="s">
        <v>48</v>
      </c>
      <c r="E64" s="67" t="s">
        <v>41</v>
      </c>
      <c r="F64" s="84">
        <v>0.0</v>
      </c>
      <c r="G64" s="69">
        <v>30000.0</v>
      </c>
      <c r="H64" s="70">
        <f t="shared" si="3"/>
        <v>0</v>
      </c>
      <c r="I64" s="71">
        <f t="shared" si="4"/>
        <v>0</v>
      </c>
    </row>
    <row r="65" ht="15.75" customHeight="1">
      <c r="A65" s="99" t="s">
        <v>72</v>
      </c>
      <c r="B65" s="100" t="s">
        <v>47</v>
      </c>
      <c r="C65" s="101" t="s">
        <v>73</v>
      </c>
      <c r="D65" s="102">
        <v>500.0</v>
      </c>
      <c r="E65" s="103" t="s">
        <v>41</v>
      </c>
      <c r="F65" s="84">
        <v>0.0</v>
      </c>
      <c r="G65" s="104">
        <v>500.0</v>
      </c>
      <c r="H65" s="105">
        <f t="shared" si="3"/>
        <v>0</v>
      </c>
      <c r="I65" s="106">
        <f t="shared" si="4"/>
        <v>0</v>
      </c>
    </row>
    <row r="66" ht="15.75" customHeight="1">
      <c r="A66" s="45" t="s">
        <v>72</v>
      </c>
      <c r="B66" s="107" t="s">
        <v>47</v>
      </c>
      <c r="C66" s="47"/>
      <c r="D66" s="48" t="s">
        <v>42</v>
      </c>
      <c r="E66" s="49" t="s">
        <v>41</v>
      </c>
      <c r="F66" s="85">
        <v>0.0</v>
      </c>
      <c r="G66" s="51">
        <v>1000.0</v>
      </c>
      <c r="H66" s="52">
        <f t="shared" si="3"/>
        <v>0</v>
      </c>
      <c r="I66" s="53">
        <f t="shared" si="4"/>
        <v>0</v>
      </c>
    </row>
    <row r="67" ht="15.75" customHeight="1">
      <c r="A67" s="108" t="s">
        <v>72</v>
      </c>
      <c r="B67" s="109" t="s">
        <v>47</v>
      </c>
      <c r="C67" s="110"/>
      <c r="D67" s="111" t="s">
        <v>43</v>
      </c>
      <c r="E67" s="112" t="s">
        <v>41</v>
      </c>
      <c r="F67" s="85">
        <v>0.0</v>
      </c>
      <c r="G67" s="113">
        <v>5000.0</v>
      </c>
      <c r="H67" s="114">
        <f t="shared" si="3"/>
        <v>0</v>
      </c>
      <c r="I67" s="115">
        <f t="shared" si="4"/>
        <v>0</v>
      </c>
    </row>
    <row r="68" ht="15.75" customHeight="1">
      <c r="A68" s="45" t="s">
        <v>72</v>
      </c>
      <c r="B68" s="107" t="s">
        <v>47</v>
      </c>
      <c r="C68" s="47"/>
      <c r="D68" s="48" t="s">
        <v>45</v>
      </c>
      <c r="E68" s="49" t="s">
        <v>41</v>
      </c>
      <c r="F68" s="85">
        <v>0.0</v>
      </c>
      <c r="G68" s="51">
        <v>10000.0</v>
      </c>
      <c r="H68" s="52">
        <f t="shared" si="3"/>
        <v>0</v>
      </c>
      <c r="I68" s="53">
        <f t="shared" si="4"/>
        <v>0</v>
      </c>
    </row>
    <row r="69" ht="15.75" customHeight="1">
      <c r="A69" s="108" t="s">
        <v>72</v>
      </c>
      <c r="B69" s="109" t="s">
        <v>47</v>
      </c>
      <c r="C69" s="110"/>
      <c r="D69" s="116" t="s">
        <v>46</v>
      </c>
      <c r="E69" s="112" t="s">
        <v>41</v>
      </c>
      <c r="F69" s="85">
        <v>0.0</v>
      </c>
      <c r="G69" s="113">
        <v>20000.0</v>
      </c>
      <c r="H69" s="114">
        <f t="shared" si="3"/>
        <v>0</v>
      </c>
      <c r="I69" s="115">
        <f t="shared" si="4"/>
        <v>0</v>
      </c>
    </row>
    <row r="70" ht="15.75" customHeight="1">
      <c r="A70" s="63" t="s">
        <v>72</v>
      </c>
      <c r="B70" s="117" t="s">
        <v>47</v>
      </c>
      <c r="C70" s="65"/>
      <c r="D70" s="66" t="s">
        <v>48</v>
      </c>
      <c r="E70" s="67" t="s">
        <v>41</v>
      </c>
      <c r="F70" s="86">
        <v>0.0</v>
      </c>
      <c r="G70" s="69">
        <v>30000.0</v>
      </c>
      <c r="H70" s="70">
        <f t="shared" si="3"/>
        <v>0</v>
      </c>
      <c r="I70" s="71">
        <f t="shared" si="4"/>
        <v>0</v>
      </c>
    </row>
    <row r="71" ht="15.75" customHeight="1"/>
    <row r="72" ht="15.75" customHeight="1"/>
    <row r="73" ht="15.75" customHeight="1">
      <c r="A73" s="20" t="s">
        <v>74</v>
      </c>
    </row>
    <row r="74" ht="15.75" customHeight="1">
      <c r="A74" s="119" t="s">
        <v>26</v>
      </c>
      <c r="B74" s="120"/>
      <c r="C74" s="120"/>
      <c r="D74" s="120"/>
      <c r="E74" s="120"/>
      <c r="F74" s="121"/>
      <c r="G74" s="122" t="s">
        <v>75</v>
      </c>
      <c r="H74" s="120"/>
      <c r="I74" s="123"/>
    </row>
    <row r="75" ht="15.75" customHeight="1">
      <c r="A75" s="93" t="s">
        <v>60</v>
      </c>
      <c r="B75" s="94" t="s">
        <v>29</v>
      </c>
      <c r="C75" s="95" t="s">
        <v>30</v>
      </c>
      <c r="D75" s="67" t="s">
        <v>31</v>
      </c>
      <c r="E75" s="67" t="s">
        <v>32</v>
      </c>
      <c r="F75" s="95" t="s">
        <v>33</v>
      </c>
      <c r="G75" s="96" t="s">
        <v>61</v>
      </c>
      <c r="H75" s="97" t="s">
        <v>35</v>
      </c>
      <c r="I75" s="98" t="s">
        <v>36</v>
      </c>
      <c r="K75" s="33" t="s">
        <v>37</v>
      </c>
      <c r="L75" s="33" t="s">
        <v>76</v>
      </c>
    </row>
    <row r="76" ht="15.0" customHeight="1">
      <c r="A76" s="124" t="s">
        <v>77</v>
      </c>
      <c r="B76" s="125">
        <v>1.0</v>
      </c>
      <c r="C76" s="126" t="s">
        <v>78</v>
      </c>
      <c r="D76" s="127">
        <v>500.0</v>
      </c>
      <c r="E76" s="128" t="s">
        <v>41</v>
      </c>
      <c r="F76" s="84">
        <v>0.0</v>
      </c>
      <c r="G76" s="129">
        <v>500.0</v>
      </c>
      <c r="H76" s="130">
        <f t="shared" ref="H76:H105" si="5">F76*G76</f>
        <v>0</v>
      </c>
      <c r="I76" s="131">
        <f t="shared" ref="I76:I105" si="6">H76*365</f>
        <v>0</v>
      </c>
      <c r="K76" s="43">
        <v>1.0</v>
      </c>
      <c r="L76" s="44">
        <f>sum(I76:I81)</f>
        <v>0</v>
      </c>
    </row>
    <row r="77" ht="15.0" customHeight="1">
      <c r="A77" s="45" t="s">
        <v>77</v>
      </c>
      <c r="B77" s="107">
        <v>1.0</v>
      </c>
      <c r="C77" s="47"/>
      <c r="D77" s="48" t="s">
        <v>42</v>
      </c>
      <c r="E77" s="49" t="s">
        <v>41</v>
      </c>
      <c r="F77" s="85">
        <v>0.0</v>
      </c>
      <c r="G77" s="51">
        <v>1000.0</v>
      </c>
      <c r="H77" s="52">
        <f t="shared" si="5"/>
        <v>0</v>
      </c>
      <c r="I77" s="53">
        <f t="shared" si="6"/>
        <v>0</v>
      </c>
      <c r="K77" s="43">
        <v>2.0</v>
      </c>
      <c r="L77" s="44">
        <f>sum(I82:I87)</f>
        <v>0</v>
      </c>
    </row>
    <row r="78" ht="15.0" customHeight="1">
      <c r="A78" s="132" t="s">
        <v>77</v>
      </c>
      <c r="B78" s="133">
        <v>1.0</v>
      </c>
      <c r="C78" s="134"/>
      <c r="D78" s="135" t="s">
        <v>43</v>
      </c>
      <c r="E78" s="136" t="s">
        <v>41</v>
      </c>
      <c r="F78" s="85">
        <v>0.0</v>
      </c>
      <c r="G78" s="137">
        <v>5000.0</v>
      </c>
      <c r="H78" s="138">
        <f t="shared" si="5"/>
        <v>0</v>
      </c>
      <c r="I78" s="139">
        <f t="shared" si="6"/>
        <v>0</v>
      </c>
      <c r="K78" s="43" t="s">
        <v>44</v>
      </c>
      <c r="L78" s="44">
        <f>sum(I88:I93)</f>
        <v>0</v>
      </c>
    </row>
    <row r="79" ht="15.0" customHeight="1">
      <c r="A79" s="45" t="s">
        <v>77</v>
      </c>
      <c r="B79" s="107">
        <v>1.0</v>
      </c>
      <c r="C79" s="47"/>
      <c r="D79" s="48" t="s">
        <v>45</v>
      </c>
      <c r="E79" s="49" t="s">
        <v>41</v>
      </c>
      <c r="F79" s="85">
        <v>0.0</v>
      </c>
      <c r="G79" s="51">
        <v>10000.0</v>
      </c>
      <c r="H79" s="52">
        <f t="shared" si="5"/>
        <v>0</v>
      </c>
      <c r="I79" s="53">
        <f t="shared" si="6"/>
        <v>0</v>
      </c>
      <c r="K79" s="43">
        <v>3.0</v>
      </c>
      <c r="L79" s="44">
        <f>sum(I94:I99)</f>
        <v>0</v>
      </c>
    </row>
    <row r="80" ht="15.75" customHeight="1">
      <c r="A80" s="132" t="s">
        <v>77</v>
      </c>
      <c r="B80" s="133">
        <v>1.0</v>
      </c>
      <c r="C80" s="134"/>
      <c r="D80" s="140" t="s">
        <v>46</v>
      </c>
      <c r="E80" s="136" t="s">
        <v>41</v>
      </c>
      <c r="F80" s="85">
        <v>0.0</v>
      </c>
      <c r="G80" s="137">
        <v>20000.0</v>
      </c>
      <c r="H80" s="138">
        <f t="shared" si="5"/>
        <v>0</v>
      </c>
      <c r="I80" s="139">
        <f t="shared" si="6"/>
        <v>0</v>
      </c>
      <c r="K80" s="43" t="s">
        <v>47</v>
      </c>
      <c r="L80" s="44">
        <f>sum(I100:I105)</f>
        <v>0</v>
      </c>
    </row>
    <row r="81" ht="15.75" customHeight="1">
      <c r="A81" s="63" t="s">
        <v>77</v>
      </c>
      <c r="B81" s="117">
        <v>1.0</v>
      </c>
      <c r="C81" s="65"/>
      <c r="D81" s="66" t="s">
        <v>48</v>
      </c>
      <c r="E81" s="67" t="s">
        <v>41</v>
      </c>
      <c r="F81" s="86">
        <v>0.0</v>
      </c>
      <c r="G81" s="69">
        <v>30000.0</v>
      </c>
      <c r="H81" s="70">
        <f t="shared" si="5"/>
        <v>0</v>
      </c>
      <c r="I81" s="71">
        <f t="shared" si="6"/>
        <v>0</v>
      </c>
      <c r="K81" s="72" t="s">
        <v>79</v>
      </c>
      <c r="L81" s="118"/>
    </row>
    <row r="82" ht="15.0" customHeight="1">
      <c r="A82" s="124" t="s">
        <v>80</v>
      </c>
      <c r="B82" s="125">
        <v>2.0</v>
      </c>
      <c r="C82" s="126" t="s">
        <v>81</v>
      </c>
      <c r="D82" s="127">
        <v>500.0</v>
      </c>
      <c r="E82" s="128" t="s">
        <v>41</v>
      </c>
      <c r="F82" s="84">
        <v>0.0</v>
      </c>
      <c r="G82" s="129">
        <v>500.0</v>
      </c>
      <c r="H82" s="130">
        <f t="shared" si="5"/>
        <v>0</v>
      </c>
      <c r="I82" s="131">
        <f t="shared" si="6"/>
        <v>0</v>
      </c>
    </row>
    <row r="83" ht="15.0" customHeight="1">
      <c r="A83" s="45" t="s">
        <v>80</v>
      </c>
      <c r="B83" s="107">
        <v>2.0</v>
      </c>
      <c r="C83" s="47"/>
      <c r="D83" s="48" t="s">
        <v>42</v>
      </c>
      <c r="E83" s="49" t="s">
        <v>41</v>
      </c>
      <c r="F83" s="85">
        <v>0.0</v>
      </c>
      <c r="G83" s="51">
        <v>1000.0</v>
      </c>
      <c r="H83" s="52">
        <f t="shared" si="5"/>
        <v>0</v>
      </c>
      <c r="I83" s="53">
        <f t="shared" si="6"/>
        <v>0</v>
      </c>
    </row>
    <row r="84" ht="15.0" customHeight="1">
      <c r="A84" s="132" t="s">
        <v>80</v>
      </c>
      <c r="B84" s="133">
        <v>2.0</v>
      </c>
      <c r="C84" s="134"/>
      <c r="D84" s="135" t="s">
        <v>43</v>
      </c>
      <c r="E84" s="136" t="s">
        <v>41</v>
      </c>
      <c r="F84" s="85">
        <v>0.0</v>
      </c>
      <c r="G84" s="137">
        <v>5000.0</v>
      </c>
      <c r="H84" s="138">
        <f t="shared" si="5"/>
        <v>0</v>
      </c>
      <c r="I84" s="139">
        <f t="shared" si="6"/>
        <v>0</v>
      </c>
    </row>
    <row r="85" ht="15.75" customHeight="1">
      <c r="A85" s="45" t="s">
        <v>80</v>
      </c>
      <c r="B85" s="107">
        <v>2.0</v>
      </c>
      <c r="C85" s="47"/>
      <c r="D85" s="48" t="s">
        <v>45</v>
      </c>
      <c r="E85" s="49" t="s">
        <v>41</v>
      </c>
      <c r="F85" s="85">
        <v>0.0</v>
      </c>
      <c r="G85" s="51">
        <v>10000.0</v>
      </c>
      <c r="H85" s="52">
        <f t="shared" si="5"/>
        <v>0</v>
      </c>
      <c r="I85" s="53">
        <f t="shared" si="6"/>
        <v>0</v>
      </c>
    </row>
    <row r="86" ht="15.75" customHeight="1">
      <c r="A86" s="132" t="s">
        <v>80</v>
      </c>
      <c r="B86" s="133">
        <v>2.0</v>
      </c>
      <c r="C86" s="134"/>
      <c r="D86" s="140" t="s">
        <v>46</v>
      </c>
      <c r="E86" s="136" t="s">
        <v>41</v>
      </c>
      <c r="F86" s="85">
        <v>0.0</v>
      </c>
      <c r="G86" s="137">
        <v>20000.0</v>
      </c>
      <c r="H86" s="138">
        <f t="shared" si="5"/>
        <v>0</v>
      </c>
      <c r="I86" s="139">
        <f t="shared" si="6"/>
        <v>0</v>
      </c>
    </row>
    <row r="87" ht="15.0" customHeight="1">
      <c r="A87" s="63" t="s">
        <v>80</v>
      </c>
      <c r="B87" s="117">
        <v>2.0</v>
      </c>
      <c r="C87" s="65"/>
      <c r="D87" s="66" t="s">
        <v>48</v>
      </c>
      <c r="E87" s="67" t="s">
        <v>41</v>
      </c>
      <c r="F87" s="86">
        <v>0.0</v>
      </c>
      <c r="G87" s="69">
        <v>30000.0</v>
      </c>
      <c r="H87" s="70">
        <f t="shared" si="5"/>
        <v>0</v>
      </c>
      <c r="I87" s="71">
        <f t="shared" si="6"/>
        <v>0</v>
      </c>
    </row>
    <row r="88" ht="15.0" customHeight="1">
      <c r="A88" s="124" t="s">
        <v>82</v>
      </c>
      <c r="B88" s="125" t="s">
        <v>44</v>
      </c>
      <c r="C88" s="126" t="s">
        <v>83</v>
      </c>
      <c r="D88" s="127">
        <v>500.0</v>
      </c>
      <c r="E88" s="128" t="s">
        <v>41</v>
      </c>
      <c r="F88" s="84">
        <v>0.0</v>
      </c>
      <c r="G88" s="129">
        <v>500.0</v>
      </c>
      <c r="H88" s="130">
        <f t="shared" si="5"/>
        <v>0</v>
      </c>
      <c r="I88" s="131">
        <f t="shared" si="6"/>
        <v>0</v>
      </c>
    </row>
    <row r="89" ht="15.0" customHeight="1">
      <c r="A89" s="45" t="s">
        <v>82</v>
      </c>
      <c r="B89" s="107" t="s">
        <v>44</v>
      </c>
      <c r="C89" s="47"/>
      <c r="D89" s="48" t="s">
        <v>42</v>
      </c>
      <c r="E89" s="49" t="s">
        <v>41</v>
      </c>
      <c r="F89" s="85">
        <v>0.0</v>
      </c>
      <c r="G89" s="51">
        <v>1000.0</v>
      </c>
      <c r="H89" s="52">
        <f t="shared" si="5"/>
        <v>0</v>
      </c>
      <c r="I89" s="53">
        <f t="shared" si="6"/>
        <v>0</v>
      </c>
    </row>
    <row r="90" ht="15.75" customHeight="1">
      <c r="A90" s="132" t="s">
        <v>82</v>
      </c>
      <c r="B90" s="133" t="s">
        <v>44</v>
      </c>
      <c r="C90" s="134"/>
      <c r="D90" s="135" t="s">
        <v>43</v>
      </c>
      <c r="E90" s="136" t="s">
        <v>41</v>
      </c>
      <c r="F90" s="85">
        <v>0.0</v>
      </c>
      <c r="G90" s="137">
        <v>5000.0</v>
      </c>
      <c r="H90" s="138">
        <f t="shared" si="5"/>
        <v>0</v>
      </c>
      <c r="I90" s="139">
        <f t="shared" si="6"/>
        <v>0</v>
      </c>
    </row>
    <row r="91" ht="15.75" customHeight="1">
      <c r="A91" s="45" t="s">
        <v>82</v>
      </c>
      <c r="B91" s="107" t="s">
        <v>44</v>
      </c>
      <c r="C91" s="47"/>
      <c r="D91" s="48" t="s">
        <v>45</v>
      </c>
      <c r="E91" s="49" t="s">
        <v>41</v>
      </c>
      <c r="F91" s="85">
        <v>0.0</v>
      </c>
      <c r="G91" s="51">
        <v>10000.0</v>
      </c>
      <c r="H91" s="52">
        <f t="shared" si="5"/>
        <v>0</v>
      </c>
      <c r="I91" s="53">
        <f t="shared" si="6"/>
        <v>0</v>
      </c>
    </row>
    <row r="92" ht="15.75" customHeight="1">
      <c r="A92" s="132" t="s">
        <v>82</v>
      </c>
      <c r="B92" s="133" t="s">
        <v>44</v>
      </c>
      <c r="C92" s="134"/>
      <c r="D92" s="140" t="s">
        <v>46</v>
      </c>
      <c r="E92" s="136" t="s">
        <v>41</v>
      </c>
      <c r="F92" s="85">
        <v>0.0</v>
      </c>
      <c r="G92" s="137">
        <v>20000.0</v>
      </c>
      <c r="H92" s="138">
        <f t="shared" si="5"/>
        <v>0</v>
      </c>
      <c r="I92" s="139">
        <f t="shared" si="6"/>
        <v>0</v>
      </c>
    </row>
    <row r="93" ht="15.75" customHeight="1">
      <c r="A93" s="63" t="s">
        <v>82</v>
      </c>
      <c r="B93" s="117" t="s">
        <v>44</v>
      </c>
      <c r="C93" s="65"/>
      <c r="D93" s="66" t="s">
        <v>48</v>
      </c>
      <c r="E93" s="67" t="s">
        <v>41</v>
      </c>
      <c r="F93" s="86">
        <v>0.0</v>
      </c>
      <c r="G93" s="69">
        <v>30000.0</v>
      </c>
      <c r="H93" s="70">
        <f t="shared" si="5"/>
        <v>0</v>
      </c>
      <c r="I93" s="71">
        <f t="shared" si="6"/>
        <v>0</v>
      </c>
    </row>
    <row r="94" ht="15.75" customHeight="1">
      <c r="A94" s="124" t="s">
        <v>84</v>
      </c>
      <c r="B94" s="125">
        <v>3.0</v>
      </c>
      <c r="C94" s="126" t="s">
        <v>85</v>
      </c>
      <c r="D94" s="127">
        <v>500.0</v>
      </c>
      <c r="E94" s="128" t="s">
        <v>41</v>
      </c>
      <c r="F94" s="84">
        <v>0.0</v>
      </c>
      <c r="G94" s="129">
        <v>500.0</v>
      </c>
      <c r="H94" s="130">
        <f t="shared" si="5"/>
        <v>0</v>
      </c>
      <c r="I94" s="131">
        <f t="shared" si="6"/>
        <v>0</v>
      </c>
    </row>
    <row r="95" ht="15.75" customHeight="1">
      <c r="A95" s="45" t="s">
        <v>84</v>
      </c>
      <c r="B95" s="107">
        <v>3.0</v>
      </c>
      <c r="C95" s="47"/>
      <c r="D95" s="48" t="s">
        <v>42</v>
      </c>
      <c r="E95" s="49" t="s">
        <v>41</v>
      </c>
      <c r="F95" s="85">
        <v>0.0</v>
      </c>
      <c r="G95" s="51">
        <v>1000.0</v>
      </c>
      <c r="H95" s="52">
        <f t="shared" si="5"/>
        <v>0</v>
      </c>
      <c r="I95" s="53">
        <f t="shared" si="6"/>
        <v>0</v>
      </c>
    </row>
    <row r="96" ht="15.75" customHeight="1">
      <c r="A96" s="132" t="s">
        <v>84</v>
      </c>
      <c r="B96" s="133">
        <v>3.0</v>
      </c>
      <c r="C96" s="134"/>
      <c r="D96" s="135" t="s">
        <v>43</v>
      </c>
      <c r="E96" s="136" t="s">
        <v>41</v>
      </c>
      <c r="F96" s="85">
        <v>0.0</v>
      </c>
      <c r="G96" s="137">
        <v>5000.0</v>
      </c>
      <c r="H96" s="138">
        <f t="shared" si="5"/>
        <v>0</v>
      </c>
      <c r="I96" s="139">
        <f t="shared" si="6"/>
        <v>0</v>
      </c>
    </row>
    <row r="97" ht="15.75" customHeight="1">
      <c r="A97" s="45" t="s">
        <v>84</v>
      </c>
      <c r="B97" s="107">
        <v>3.0</v>
      </c>
      <c r="C97" s="47"/>
      <c r="D97" s="48" t="s">
        <v>45</v>
      </c>
      <c r="E97" s="49" t="s">
        <v>41</v>
      </c>
      <c r="F97" s="85">
        <v>0.0</v>
      </c>
      <c r="G97" s="51">
        <v>10000.0</v>
      </c>
      <c r="H97" s="52">
        <f t="shared" si="5"/>
        <v>0</v>
      </c>
      <c r="I97" s="53">
        <f t="shared" si="6"/>
        <v>0</v>
      </c>
    </row>
    <row r="98" ht="15.75" customHeight="1">
      <c r="A98" s="132" t="s">
        <v>84</v>
      </c>
      <c r="B98" s="133">
        <v>3.0</v>
      </c>
      <c r="C98" s="134"/>
      <c r="D98" s="140" t="s">
        <v>46</v>
      </c>
      <c r="E98" s="136" t="s">
        <v>41</v>
      </c>
      <c r="F98" s="85">
        <v>0.0</v>
      </c>
      <c r="G98" s="137">
        <v>20000.0</v>
      </c>
      <c r="H98" s="138">
        <f t="shared" si="5"/>
        <v>0</v>
      </c>
      <c r="I98" s="139">
        <f t="shared" si="6"/>
        <v>0</v>
      </c>
    </row>
    <row r="99" ht="15.75" customHeight="1">
      <c r="A99" s="63" t="s">
        <v>84</v>
      </c>
      <c r="B99" s="117">
        <v>3.0</v>
      </c>
      <c r="C99" s="65"/>
      <c r="D99" s="66" t="s">
        <v>48</v>
      </c>
      <c r="E99" s="67" t="s">
        <v>41</v>
      </c>
      <c r="F99" s="86">
        <v>0.0</v>
      </c>
      <c r="G99" s="69">
        <v>30000.0</v>
      </c>
      <c r="H99" s="70">
        <f t="shared" si="5"/>
        <v>0</v>
      </c>
      <c r="I99" s="71">
        <f t="shared" si="6"/>
        <v>0</v>
      </c>
    </row>
    <row r="100" ht="15.75" customHeight="1">
      <c r="A100" s="124" t="s">
        <v>86</v>
      </c>
      <c r="B100" s="125" t="s">
        <v>47</v>
      </c>
      <c r="C100" s="126" t="s">
        <v>87</v>
      </c>
      <c r="D100" s="127">
        <v>500.0</v>
      </c>
      <c r="E100" s="128" t="s">
        <v>41</v>
      </c>
      <c r="F100" s="84">
        <v>0.0</v>
      </c>
      <c r="G100" s="129">
        <v>500.0</v>
      </c>
      <c r="H100" s="130">
        <f t="shared" si="5"/>
        <v>0</v>
      </c>
      <c r="I100" s="131">
        <f t="shared" si="6"/>
        <v>0</v>
      </c>
    </row>
    <row r="101" ht="15.75" customHeight="1">
      <c r="A101" s="45" t="s">
        <v>86</v>
      </c>
      <c r="B101" s="107" t="s">
        <v>47</v>
      </c>
      <c r="C101" s="47"/>
      <c r="D101" s="48" t="s">
        <v>42</v>
      </c>
      <c r="E101" s="49" t="s">
        <v>41</v>
      </c>
      <c r="F101" s="85">
        <v>0.0</v>
      </c>
      <c r="G101" s="51">
        <v>1000.0</v>
      </c>
      <c r="H101" s="52">
        <f t="shared" si="5"/>
        <v>0</v>
      </c>
      <c r="I101" s="53">
        <f t="shared" si="6"/>
        <v>0</v>
      </c>
    </row>
    <row r="102" ht="15.75" customHeight="1">
      <c r="A102" s="132" t="s">
        <v>86</v>
      </c>
      <c r="B102" s="133" t="s">
        <v>47</v>
      </c>
      <c r="C102" s="134"/>
      <c r="D102" s="135" t="s">
        <v>43</v>
      </c>
      <c r="E102" s="136" t="s">
        <v>41</v>
      </c>
      <c r="F102" s="85">
        <v>0.0</v>
      </c>
      <c r="G102" s="137">
        <v>5000.0</v>
      </c>
      <c r="H102" s="138">
        <f t="shared" si="5"/>
        <v>0</v>
      </c>
      <c r="I102" s="139">
        <f t="shared" si="6"/>
        <v>0</v>
      </c>
    </row>
    <row r="103" ht="15.75" customHeight="1">
      <c r="A103" s="45" t="s">
        <v>86</v>
      </c>
      <c r="B103" s="107" t="s">
        <v>47</v>
      </c>
      <c r="C103" s="47"/>
      <c r="D103" s="48" t="s">
        <v>45</v>
      </c>
      <c r="E103" s="49" t="s">
        <v>41</v>
      </c>
      <c r="F103" s="85">
        <v>0.0</v>
      </c>
      <c r="G103" s="51">
        <v>10000.0</v>
      </c>
      <c r="H103" s="52">
        <f t="shared" si="5"/>
        <v>0</v>
      </c>
      <c r="I103" s="53">
        <f t="shared" si="6"/>
        <v>0</v>
      </c>
    </row>
    <row r="104" ht="15.75" customHeight="1">
      <c r="A104" s="132" t="s">
        <v>86</v>
      </c>
      <c r="B104" s="133" t="s">
        <v>47</v>
      </c>
      <c r="C104" s="134"/>
      <c r="D104" s="140" t="s">
        <v>46</v>
      </c>
      <c r="E104" s="136" t="s">
        <v>41</v>
      </c>
      <c r="F104" s="85">
        <v>0.0</v>
      </c>
      <c r="G104" s="137">
        <v>20000.0</v>
      </c>
      <c r="H104" s="138">
        <f t="shared" si="5"/>
        <v>0</v>
      </c>
      <c r="I104" s="139">
        <f t="shared" si="6"/>
        <v>0</v>
      </c>
    </row>
    <row r="105" ht="15.75" customHeight="1">
      <c r="A105" s="63" t="s">
        <v>86</v>
      </c>
      <c r="B105" s="117" t="s">
        <v>47</v>
      </c>
      <c r="C105" s="65"/>
      <c r="D105" s="66" t="s">
        <v>48</v>
      </c>
      <c r="E105" s="67" t="s">
        <v>41</v>
      </c>
      <c r="F105" s="86">
        <v>0.0</v>
      </c>
      <c r="G105" s="69">
        <v>30000.0</v>
      </c>
      <c r="H105" s="70">
        <f t="shared" si="5"/>
        <v>0</v>
      </c>
      <c r="I105" s="71">
        <f t="shared" si="6"/>
        <v>0</v>
      </c>
    </row>
    <row r="106" ht="15.75" customHeight="1"/>
    <row r="107" ht="15.75" customHeight="1"/>
    <row r="108" ht="15.75" customHeight="1">
      <c r="A108" s="20" t="s">
        <v>88</v>
      </c>
    </row>
    <row r="109" ht="15.75" customHeight="1">
      <c r="A109" s="141" t="s">
        <v>26</v>
      </c>
      <c r="B109" s="142"/>
      <c r="C109" s="142"/>
      <c r="D109" s="142"/>
      <c r="E109" s="142"/>
      <c r="F109" s="143"/>
      <c r="G109" s="144" t="s">
        <v>89</v>
      </c>
      <c r="H109" s="142"/>
      <c r="I109" s="145"/>
    </row>
    <row r="110" ht="15.75" customHeight="1">
      <c r="A110" s="93" t="s">
        <v>60</v>
      </c>
      <c r="B110" s="94" t="s">
        <v>29</v>
      </c>
      <c r="C110" s="95" t="s">
        <v>30</v>
      </c>
      <c r="D110" s="67" t="s">
        <v>31</v>
      </c>
      <c r="E110" s="67" t="s">
        <v>32</v>
      </c>
      <c r="F110" s="95" t="s">
        <v>33</v>
      </c>
      <c r="G110" s="96" t="s">
        <v>61</v>
      </c>
      <c r="H110" s="97" t="s">
        <v>35</v>
      </c>
      <c r="I110" s="98" t="s">
        <v>36</v>
      </c>
      <c r="K110" s="33" t="s">
        <v>37</v>
      </c>
      <c r="L110" s="33" t="s">
        <v>90</v>
      </c>
    </row>
    <row r="111" ht="15.0" customHeight="1">
      <c r="A111" s="146" t="s">
        <v>91</v>
      </c>
      <c r="B111" s="147">
        <v>1.0</v>
      </c>
      <c r="C111" s="148" t="s">
        <v>92</v>
      </c>
      <c r="D111" s="149">
        <v>500.0</v>
      </c>
      <c r="E111" s="150" t="s">
        <v>41</v>
      </c>
      <c r="F111" s="84">
        <v>0.0</v>
      </c>
      <c r="G111" s="151">
        <v>500.0</v>
      </c>
      <c r="H111" s="152">
        <f t="shared" ref="H111:H140" si="7">F111*G111</f>
        <v>0</v>
      </c>
      <c r="I111" s="153">
        <f t="shared" ref="I111:I140" si="8">H111*365</f>
        <v>0</v>
      </c>
      <c r="K111" s="43">
        <v>1.0</v>
      </c>
      <c r="L111" s="44">
        <f>sum(I111:I116)</f>
        <v>0</v>
      </c>
    </row>
    <row r="112" ht="15.0" customHeight="1">
      <c r="A112" s="45" t="s">
        <v>91</v>
      </c>
      <c r="B112" s="107">
        <v>1.0</v>
      </c>
      <c r="C112" s="47"/>
      <c r="D112" s="48" t="s">
        <v>42</v>
      </c>
      <c r="E112" s="49" t="s">
        <v>41</v>
      </c>
      <c r="F112" s="85">
        <v>0.0</v>
      </c>
      <c r="G112" s="51">
        <v>1000.0</v>
      </c>
      <c r="H112" s="52">
        <f t="shared" si="7"/>
        <v>0</v>
      </c>
      <c r="I112" s="53">
        <f t="shared" si="8"/>
        <v>0</v>
      </c>
      <c r="K112" s="43">
        <v>2.0</v>
      </c>
      <c r="L112" s="44">
        <f>sum(I117:I122)</f>
        <v>0</v>
      </c>
    </row>
    <row r="113" ht="15.0" customHeight="1">
      <c r="A113" s="146" t="s">
        <v>91</v>
      </c>
      <c r="B113" s="154">
        <v>1.0</v>
      </c>
      <c r="C113" s="155"/>
      <c r="D113" s="156" t="s">
        <v>43</v>
      </c>
      <c r="E113" s="157" t="s">
        <v>41</v>
      </c>
      <c r="F113" s="85">
        <v>0.0</v>
      </c>
      <c r="G113" s="158">
        <v>5000.0</v>
      </c>
      <c r="H113" s="159">
        <f t="shared" si="7"/>
        <v>0</v>
      </c>
      <c r="I113" s="160">
        <f t="shared" si="8"/>
        <v>0</v>
      </c>
      <c r="K113" s="43" t="s">
        <v>44</v>
      </c>
      <c r="L113" s="44">
        <f>sum(I123:I128)</f>
        <v>0</v>
      </c>
    </row>
    <row r="114" ht="15.0" customHeight="1">
      <c r="A114" s="45" t="s">
        <v>91</v>
      </c>
      <c r="B114" s="107">
        <v>1.0</v>
      </c>
      <c r="C114" s="47"/>
      <c r="D114" s="48" t="s">
        <v>45</v>
      </c>
      <c r="E114" s="49" t="s">
        <v>41</v>
      </c>
      <c r="F114" s="85">
        <v>0.0</v>
      </c>
      <c r="G114" s="51">
        <v>10000.0</v>
      </c>
      <c r="H114" s="52">
        <f t="shared" si="7"/>
        <v>0</v>
      </c>
      <c r="I114" s="53">
        <f t="shared" si="8"/>
        <v>0</v>
      </c>
      <c r="K114" s="43">
        <v>3.0</v>
      </c>
      <c r="L114" s="44">
        <f>sum(I129:I134)</f>
        <v>0</v>
      </c>
    </row>
    <row r="115" ht="15.75" customHeight="1">
      <c r="A115" s="146" t="s">
        <v>91</v>
      </c>
      <c r="B115" s="154">
        <v>1.0</v>
      </c>
      <c r="C115" s="155"/>
      <c r="D115" s="161" t="s">
        <v>46</v>
      </c>
      <c r="E115" s="157" t="s">
        <v>41</v>
      </c>
      <c r="F115" s="85">
        <v>0.0</v>
      </c>
      <c r="G115" s="158">
        <v>20000.0</v>
      </c>
      <c r="H115" s="159">
        <f t="shared" si="7"/>
        <v>0</v>
      </c>
      <c r="I115" s="160">
        <f t="shared" si="8"/>
        <v>0</v>
      </c>
      <c r="K115" s="43" t="s">
        <v>47</v>
      </c>
      <c r="L115" s="44">
        <f>sum(I135:I140)</f>
        <v>0</v>
      </c>
    </row>
    <row r="116" ht="15.75" customHeight="1">
      <c r="A116" s="45" t="s">
        <v>91</v>
      </c>
      <c r="B116" s="117">
        <v>1.0</v>
      </c>
      <c r="C116" s="65"/>
      <c r="D116" s="66" t="s">
        <v>48</v>
      </c>
      <c r="E116" s="67" t="s">
        <v>41</v>
      </c>
      <c r="F116" s="86">
        <v>0.0</v>
      </c>
      <c r="G116" s="69">
        <v>30000.0</v>
      </c>
      <c r="H116" s="70">
        <f t="shared" si="7"/>
        <v>0</v>
      </c>
      <c r="I116" s="71">
        <f t="shared" si="8"/>
        <v>0</v>
      </c>
      <c r="K116" s="72" t="s">
        <v>93</v>
      </c>
      <c r="L116" s="118"/>
    </row>
    <row r="117" ht="15.0" customHeight="1">
      <c r="A117" s="146" t="s">
        <v>94</v>
      </c>
      <c r="B117" s="147">
        <v>2.0</v>
      </c>
      <c r="C117" s="148" t="s">
        <v>95</v>
      </c>
      <c r="D117" s="149">
        <v>500.0</v>
      </c>
      <c r="E117" s="150" t="s">
        <v>41</v>
      </c>
      <c r="F117" s="84">
        <v>0.0</v>
      </c>
      <c r="G117" s="151">
        <v>500.0</v>
      </c>
      <c r="H117" s="152">
        <f t="shared" si="7"/>
        <v>0</v>
      </c>
      <c r="I117" s="153">
        <f t="shared" si="8"/>
        <v>0</v>
      </c>
    </row>
    <row r="118" ht="15.0" customHeight="1">
      <c r="A118" s="45" t="s">
        <v>94</v>
      </c>
      <c r="B118" s="107">
        <v>2.0</v>
      </c>
      <c r="C118" s="47"/>
      <c r="D118" s="48" t="s">
        <v>42</v>
      </c>
      <c r="E118" s="49" t="s">
        <v>41</v>
      </c>
      <c r="F118" s="85">
        <v>0.0</v>
      </c>
      <c r="G118" s="51">
        <v>1000.0</v>
      </c>
      <c r="H118" s="52">
        <f t="shared" si="7"/>
        <v>0</v>
      </c>
      <c r="I118" s="53">
        <f t="shared" si="8"/>
        <v>0</v>
      </c>
    </row>
    <row r="119" ht="15.0" customHeight="1">
      <c r="A119" s="146" t="s">
        <v>94</v>
      </c>
      <c r="B119" s="154">
        <v>2.0</v>
      </c>
      <c r="C119" s="155"/>
      <c r="D119" s="156" t="s">
        <v>43</v>
      </c>
      <c r="E119" s="157" t="s">
        <v>41</v>
      </c>
      <c r="F119" s="85">
        <v>0.0</v>
      </c>
      <c r="G119" s="158">
        <v>5000.0</v>
      </c>
      <c r="H119" s="159">
        <f t="shared" si="7"/>
        <v>0</v>
      </c>
      <c r="I119" s="160">
        <f t="shared" si="8"/>
        <v>0</v>
      </c>
    </row>
    <row r="120" ht="15.75" customHeight="1">
      <c r="A120" s="45" t="s">
        <v>94</v>
      </c>
      <c r="B120" s="107">
        <v>2.0</v>
      </c>
      <c r="C120" s="47"/>
      <c r="D120" s="48" t="s">
        <v>45</v>
      </c>
      <c r="E120" s="49" t="s">
        <v>41</v>
      </c>
      <c r="F120" s="85">
        <v>0.0</v>
      </c>
      <c r="G120" s="51">
        <v>10000.0</v>
      </c>
      <c r="H120" s="52">
        <f t="shared" si="7"/>
        <v>0</v>
      </c>
      <c r="I120" s="53">
        <f t="shared" si="8"/>
        <v>0</v>
      </c>
    </row>
    <row r="121" ht="15.75" customHeight="1">
      <c r="A121" s="146" t="s">
        <v>94</v>
      </c>
      <c r="B121" s="154">
        <v>2.0</v>
      </c>
      <c r="C121" s="155"/>
      <c r="D121" s="161" t="s">
        <v>46</v>
      </c>
      <c r="E121" s="157" t="s">
        <v>41</v>
      </c>
      <c r="F121" s="85">
        <v>0.0</v>
      </c>
      <c r="G121" s="158">
        <v>20000.0</v>
      </c>
      <c r="H121" s="159">
        <f t="shared" si="7"/>
        <v>0</v>
      </c>
      <c r="I121" s="160">
        <f t="shared" si="8"/>
        <v>0</v>
      </c>
    </row>
    <row r="122" ht="15.0" customHeight="1">
      <c r="A122" s="45" t="s">
        <v>94</v>
      </c>
      <c r="B122" s="117">
        <v>2.0</v>
      </c>
      <c r="C122" s="65"/>
      <c r="D122" s="66" t="s">
        <v>48</v>
      </c>
      <c r="E122" s="67" t="s">
        <v>41</v>
      </c>
      <c r="F122" s="86">
        <v>0.0</v>
      </c>
      <c r="G122" s="69">
        <v>30000.0</v>
      </c>
      <c r="H122" s="70">
        <f t="shared" si="7"/>
        <v>0</v>
      </c>
      <c r="I122" s="71">
        <f t="shared" si="8"/>
        <v>0</v>
      </c>
    </row>
    <row r="123" ht="15.0" customHeight="1">
      <c r="A123" s="146" t="s">
        <v>96</v>
      </c>
      <c r="B123" s="147" t="s">
        <v>44</v>
      </c>
      <c r="C123" s="148" t="s">
        <v>97</v>
      </c>
      <c r="D123" s="149">
        <v>500.0</v>
      </c>
      <c r="E123" s="150" t="s">
        <v>41</v>
      </c>
      <c r="F123" s="84">
        <v>0.0</v>
      </c>
      <c r="G123" s="151">
        <v>500.0</v>
      </c>
      <c r="H123" s="152">
        <f t="shared" si="7"/>
        <v>0</v>
      </c>
      <c r="I123" s="153">
        <f t="shared" si="8"/>
        <v>0</v>
      </c>
    </row>
    <row r="124" ht="15.0" customHeight="1">
      <c r="A124" s="45" t="s">
        <v>96</v>
      </c>
      <c r="B124" s="107" t="s">
        <v>44</v>
      </c>
      <c r="C124" s="47"/>
      <c r="D124" s="48" t="s">
        <v>42</v>
      </c>
      <c r="E124" s="49" t="s">
        <v>41</v>
      </c>
      <c r="F124" s="85">
        <v>0.0</v>
      </c>
      <c r="G124" s="51">
        <v>1000.0</v>
      </c>
      <c r="H124" s="52">
        <f t="shared" si="7"/>
        <v>0</v>
      </c>
      <c r="I124" s="53">
        <f t="shared" si="8"/>
        <v>0</v>
      </c>
    </row>
    <row r="125" ht="15.75" customHeight="1">
      <c r="A125" s="146" t="s">
        <v>96</v>
      </c>
      <c r="B125" s="154" t="s">
        <v>44</v>
      </c>
      <c r="C125" s="155"/>
      <c r="D125" s="156" t="s">
        <v>43</v>
      </c>
      <c r="E125" s="157" t="s">
        <v>41</v>
      </c>
      <c r="F125" s="85">
        <v>0.0</v>
      </c>
      <c r="G125" s="158">
        <v>5000.0</v>
      </c>
      <c r="H125" s="159">
        <f t="shared" si="7"/>
        <v>0</v>
      </c>
      <c r="I125" s="160">
        <f t="shared" si="8"/>
        <v>0</v>
      </c>
    </row>
    <row r="126" ht="15.75" customHeight="1">
      <c r="A126" s="45" t="s">
        <v>96</v>
      </c>
      <c r="B126" s="107" t="s">
        <v>44</v>
      </c>
      <c r="C126" s="47"/>
      <c r="D126" s="48" t="s">
        <v>45</v>
      </c>
      <c r="E126" s="49" t="s">
        <v>41</v>
      </c>
      <c r="F126" s="85">
        <v>0.0</v>
      </c>
      <c r="G126" s="51">
        <v>10000.0</v>
      </c>
      <c r="H126" s="52">
        <f t="shared" si="7"/>
        <v>0</v>
      </c>
      <c r="I126" s="53">
        <f t="shared" si="8"/>
        <v>0</v>
      </c>
    </row>
    <row r="127" ht="15.75" customHeight="1">
      <c r="A127" s="146" t="s">
        <v>96</v>
      </c>
      <c r="B127" s="154" t="s">
        <v>44</v>
      </c>
      <c r="C127" s="155"/>
      <c r="D127" s="161" t="s">
        <v>46</v>
      </c>
      <c r="E127" s="157" t="s">
        <v>41</v>
      </c>
      <c r="F127" s="85">
        <v>0.0</v>
      </c>
      <c r="G127" s="158">
        <v>20000.0</v>
      </c>
      <c r="H127" s="159">
        <f t="shared" si="7"/>
        <v>0</v>
      </c>
      <c r="I127" s="160">
        <f t="shared" si="8"/>
        <v>0</v>
      </c>
    </row>
    <row r="128" ht="15.75" customHeight="1">
      <c r="A128" s="45" t="s">
        <v>96</v>
      </c>
      <c r="B128" s="117" t="s">
        <v>44</v>
      </c>
      <c r="C128" s="65"/>
      <c r="D128" s="66" t="s">
        <v>48</v>
      </c>
      <c r="E128" s="67" t="s">
        <v>41</v>
      </c>
      <c r="F128" s="86">
        <v>0.0</v>
      </c>
      <c r="G128" s="69">
        <v>30000.0</v>
      </c>
      <c r="H128" s="70">
        <f t="shared" si="7"/>
        <v>0</v>
      </c>
      <c r="I128" s="71">
        <f t="shared" si="8"/>
        <v>0</v>
      </c>
    </row>
    <row r="129" ht="15.75" customHeight="1">
      <c r="A129" s="146" t="s">
        <v>98</v>
      </c>
      <c r="B129" s="147">
        <v>3.0</v>
      </c>
      <c r="C129" s="148" t="s">
        <v>99</v>
      </c>
      <c r="D129" s="149">
        <v>500.0</v>
      </c>
      <c r="E129" s="150" t="s">
        <v>41</v>
      </c>
      <c r="F129" s="84">
        <v>0.0</v>
      </c>
      <c r="G129" s="151">
        <v>500.0</v>
      </c>
      <c r="H129" s="152">
        <f t="shared" si="7"/>
        <v>0</v>
      </c>
      <c r="I129" s="153">
        <f t="shared" si="8"/>
        <v>0</v>
      </c>
    </row>
    <row r="130" ht="15.75" customHeight="1">
      <c r="A130" s="45" t="s">
        <v>98</v>
      </c>
      <c r="B130" s="107">
        <v>3.0</v>
      </c>
      <c r="C130" s="47"/>
      <c r="D130" s="48" t="s">
        <v>42</v>
      </c>
      <c r="E130" s="49" t="s">
        <v>41</v>
      </c>
      <c r="F130" s="85">
        <v>0.0</v>
      </c>
      <c r="G130" s="51">
        <v>1000.0</v>
      </c>
      <c r="H130" s="52">
        <f t="shared" si="7"/>
        <v>0</v>
      </c>
      <c r="I130" s="53">
        <f t="shared" si="8"/>
        <v>0</v>
      </c>
    </row>
    <row r="131" ht="15.75" customHeight="1">
      <c r="A131" s="146" t="s">
        <v>98</v>
      </c>
      <c r="B131" s="154">
        <v>3.0</v>
      </c>
      <c r="C131" s="155"/>
      <c r="D131" s="156" t="s">
        <v>43</v>
      </c>
      <c r="E131" s="157" t="s">
        <v>41</v>
      </c>
      <c r="F131" s="85">
        <v>0.0</v>
      </c>
      <c r="G131" s="158">
        <v>5000.0</v>
      </c>
      <c r="H131" s="159">
        <f t="shared" si="7"/>
        <v>0</v>
      </c>
      <c r="I131" s="160">
        <f t="shared" si="8"/>
        <v>0</v>
      </c>
    </row>
    <row r="132" ht="15.75" customHeight="1">
      <c r="A132" s="45" t="s">
        <v>98</v>
      </c>
      <c r="B132" s="107">
        <v>3.0</v>
      </c>
      <c r="C132" s="47"/>
      <c r="D132" s="48" t="s">
        <v>45</v>
      </c>
      <c r="E132" s="49" t="s">
        <v>41</v>
      </c>
      <c r="F132" s="85">
        <v>0.0</v>
      </c>
      <c r="G132" s="51">
        <v>10000.0</v>
      </c>
      <c r="H132" s="52">
        <f t="shared" si="7"/>
        <v>0</v>
      </c>
      <c r="I132" s="53">
        <f t="shared" si="8"/>
        <v>0</v>
      </c>
    </row>
    <row r="133" ht="15.75" customHeight="1">
      <c r="A133" s="146" t="s">
        <v>98</v>
      </c>
      <c r="B133" s="154">
        <v>3.0</v>
      </c>
      <c r="C133" s="155"/>
      <c r="D133" s="161" t="s">
        <v>46</v>
      </c>
      <c r="E133" s="157" t="s">
        <v>41</v>
      </c>
      <c r="F133" s="85">
        <v>0.0</v>
      </c>
      <c r="G133" s="158">
        <v>20000.0</v>
      </c>
      <c r="H133" s="159">
        <f t="shared" si="7"/>
        <v>0</v>
      </c>
      <c r="I133" s="160">
        <f t="shared" si="8"/>
        <v>0</v>
      </c>
    </row>
    <row r="134" ht="15.75" customHeight="1">
      <c r="A134" s="45" t="s">
        <v>98</v>
      </c>
      <c r="B134" s="117">
        <v>3.0</v>
      </c>
      <c r="C134" s="65"/>
      <c r="D134" s="66" t="s">
        <v>48</v>
      </c>
      <c r="E134" s="67" t="s">
        <v>41</v>
      </c>
      <c r="F134" s="86">
        <v>0.0</v>
      </c>
      <c r="G134" s="69">
        <v>30000.0</v>
      </c>
      <c r="H134" s="70">
        <f t="shared" si="7"/>
        <v>0</v>
      </c>
      <c r="I134" s="71">
        <f t="shared" si="8"/>
        <v>0</v>
      </c>
    </row>
    <row r="135" ht="15.75" customHeight="1">
      <c r="A135" s="146" t="s">
        <v>100</v>
      </c>
      <c r="B135" s="147" t="s">
        <v>47</v>
      </c>
      <c r="C135" s="148" t="s">
        <v>101</v>
      </c>
      <c r="D135" s="149">
        <v>500.0</v>
      </c>
      <c r="E135" s="150" t="s">
        <v>41</v>
      </c>
      <c r="F135" s="84">
        <v>0.0</v>
      </c>
      <c r="G135" s="151">
        <v>500.0</v>
      </c>
      <c r="H135" s="152">
        <f t="shared" si="7"/>
        <v>0</v>
      </c>
      <c r="I135" s="153">
        <f t="shared" si="8"/>
        <v>0</v>
      </c>
    </row>
    <row r="136" ht="15.75" customHeight="1">
      <c r="A136" s="45" t="s">
        <v>100</v>
      </c>
      <c r="B136" s="107" t="s">
        <v>47</v>
      </c>
      <c r="C136" s="47"/>
      <c r="D136" s="48" t="s">
        <v>42</v>
      </c>
      <c r="E136" s="49" t="s">
        <v>41</v>
      </c>
      <c r="F136" s="85">
        <v>0.0</v>
      </c>
      <c r="G136" s="51">
        <v>1000.0</v>
      </c>
      <c r="H136" s="52">
        <f t="shared" si="7"/>
        <v>0</v>
      </c>
      <c r="I136" s="53">
        <f t="shared" si="8"/>
        <v>0</v>
      </c>
    </row>
    <row r="137" ht="15.75" customHeight="1">
      <c r="A137" s="146" t="s">
        <v>100</v>
      </c>
      <c r="B137" s="154" t="s">
        <v>47</v>
      </c>
      <c r="C137" s="155"/>
      <c r="D137" s="156" t="s">
        <v>43</v>
      </c>
      <c r="E137" s="157" t="s">
        <v>41</v>
      </c>
      <c r="F137" s="85">
        <v>0.0</v>
      </c>
      <c r="G137" s="158">
        <v>5000.0</v>
      </c>
      <c r="H137" s="159">
        <f t="shared" si="7"/>
        <v>0</v>
      </c>
      <c r="I137" s="160">
        <f t="shared" si="8"/>
        <v>0</v>
      </c>
    </row>
    <row r="138" ht="15.75" customHeight="1">
      <c r="A138" s="45" t="s">
        <v>100</v>
      </c>
      <c r="B138" s="107" t="s">
        <v>47</v>
      </c>
      <c r="C138" s="47"/>
      <c r="D138" s="48" t="s">
        <v>45</v>
      </c>
      <c r="E138" s="49" t="s">
        <v>41</v>
      </c>
      <c r="F138" s="85">
        <v>0.0</v>
      </c>
      <c r="G138" s="51">
        <v>10000.0</v>
      </c>
      <c r="H138" s="52">
        <f t="shared" si="7"/>
        <v>0</v>
      </c>
      <c r="I138" s="53">
        <f t="shared" si="8"/>
        <v>0</v>
      </c>
    </row>
    <row r="139" ht="15.75" customHeight="1">
      <c r="A139" s="146" t="s">
        <v>100</v>
      </c>
      <c r="B139" s="154" t="s">
        <v>47</v>
      </c>
      <c r="C139" s="155"/>
      <c r="D139" s="161" t="s">
        <v>46</v>
      </c>
      <c r="E139" s="157" t="s">
        <v>41</v>
      </c>
      <c r="F139" s="85">
        <v>0.0</v>
      </c>
      <c r="G139" s="158">
        <v>20000.0</v>
      </c>
      <c r="H139" s="159">
        <f t="shared" si="7"/>
        <v>0</v>
      </c>
      <c r="I139" s="160">
        <f t="shared" si="8"/>
        <v>0</v>
      </c>
    </row>
    <row r="140" ht="15.75" customHeight="1">
      <c r="A140" s="45" t="s">
        <v>100</v>
      </c>
      <c r="B140" s="117" t="s">
        <v>47</v>
      </c>
      <c r="C140" s="65"/>
      <c r="D140" s="66" t="s">
        <v>48</v>
      </c>
      <c r="E140" s="67" t="s">
        <v>41</v>
      </c>
      <c r="F140" s="86">
        <v>0.0</v>
      </c>
      <c r="G140" s="69">
        <v>30000.0</v>
      </c>
      <c r="H140" s="70">
        <f t="shared" si="7"/>
        <v>0</v>
      </c>
      <c r="I140" s="71">
        <f t="shared" si="8"/>
        <v>0</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2">
    <mergeCell ref="A3:I3"/>
    <mergeCell ref="A4:F4"/>
    <mergeCell ref="G4:I4"/>
    <mergeCell ref="C6:C11"/>
    <mergeCell ref="C12:C17"/>
    <mergeCell ref="C18:C23"/>
    <mergeCell ref="C24:C29"/>
    <mergeCell ref="C30:C35"/>
    <mergeCell ref="A38:I38"/>
    <mergeCell ref="A39:F39"/>
    <mergeCell ref="G39:I39"/>
    <mergeCell ref="C41:C46"/>
    <mergeCell ref="C47:C52"/>
    <mergeCell ref="C53:C58"/>
    <mergeCell ref="C59:C64"/>
    <mergeCell ref="C65:C70"/>
    <mergeCell ref="A73:I73"/>
    <mergeCell ref="A74:F74"/>
    <mergeCell ref="G74:I74"/>
    <mergeCell ref="C76:C81"/>
    <mergeCell ref="C82:C87"/>
    <mergeCell ref="C117:C122"/>
    <mergeCell ref="C123:C128"/>
    <mergeCell ref="C129:C134"/>
    <mergeCell ref="C135:C140"/>
    <mergeCell ref="C88:C93"/>
    <mergeCell ref="C94:C99"/>
    <mergeCell ref="C100:C105"/>
    <mergeCell ref="A108:I108"/>
    <mergeCell ref="A109:F109"/>
    <mergeCell ref="G109:I109"/>
    <mergeCell ref="C111:C116"/>
  </mergeCells>
  <printOptions/>
  <pageMargins bottom="0.75" footer="0.0" header="0.0" left="0.7" right="0.7" top="0.75"/>
  <pageSetup fitToHeight="0" orientation="portrait"/>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2.38"/>
    <col customWidth="1" min="3" max="3" width="27.88"/>
    <col customWidth="1" min="4" max="4" width="14.38"/>
    <col customWidth="1" min="5" max="6" width="8.63"/>
    <col customWidth="1" min="7" max="7" width="11.0"/>
    <col customWidth="1" min="8" max="8" width="14.38"/>
    <col customWidth="1" min="9" max="9" width="20.88"/>
    <col customWidth="1" min="10" max="10" width="7.38"/>
    <col customWidth="1" min="11" max="11" width="14.0"/>
    <col customWidth="1" min="12" max="12" width="35.38"/>
    <col customWidth="1" min="13" max="13" width="23.63"/>
  </cols>
  <sheetData>
    <row r="1">
      <c r="A1" s="19" t="s">
        <v>23</v>
      </c>
    </row>
    <row r="2">
      <c r="A2" s="20" t="s">
        <v>102</v>
      </c>
    </row>
    <row r="3">
      <c r="A3" s="20" t="s">
        <v>25</v>
      </c>
    </row>
    <row r="4">
      <c r="A4" s="21" t="s">
        <v>26</v>
      </c>
      <c r="B4" s="22"/>
      <c r="C4" s="22"/>
      <c r="D4" s="22"/>
      <c r="E4" s="22"/>
      <c r="F4" s="23"/>
      <c r="G4" s="24" t="s">
        <v>27</v>
      </c>
      <c r="H4" s="22"/>
      <c r="I4" s="25"/>
    </row>
    <row r="5">
      <c r="A5" s="26" t="s">
        <v>28</v>
      </c>
      <c r="B5" s="27" t="s">
        <v>29</v>
      </c>
      <c r="C5" s="28" t="s">
        <v>30</v>
      </c>
      <c r="D5" s="29" t="s">
        <v>31</v>
      </c>
      <c r="E5" s="29" t="s">
        <v>32</v>
      </c>
      <c r="F5" s="28" t="s">
        <v>33</v>
      </c>
      <c r="G5" s="30" t="s">
        <v>34</v>
      </c>
      <c r="H5" s="31" t="s">
        <v>35</v>
      </c>
      <c r="I5" s="32" t="s">
        <v>36</v>
      </c>
      <c r="K5" s="33" t="s">
        <v>37</v>
      </c>
      <c r="L5" s="33" t="s">
        <v>103</v>
      </c>
      <c r="M5" s="162"/>
    </row>
    <row r="6">
      <c r="A6" s="34" t="s">
        <v>39</v>
      </c>
      <c r="B6" s="35">
        <v>1.0</v>
      </c>
      <c r="C6" s="36" t="s">
        <v>104</v>
      </c>
      <c r="D6" s="37">
        <v>500.0</v>
      </c>
      <c r="E6" s="38" t="s">
        <v>41</v>
      </c>
      <c r="F6" s="39">
        <v>0.0</v>
      </c>
      <c r="G6" s="40">
        <v>500.0</v>
      </c>
      <c r="H6" s="41">
        <f t="shared" ref="H6:H35" si="1">F6*G6</f>
        <v>0</v>
      </c>
      <c r="I6" s="42">
        <f t="shared" ref="I6:I35" si="2">H6*365</f>
        <v>0</v>
      </c>
      <c r="K6" s="43">
        <v>1.0</v>
      </c>
      <c r="L6" s="44">
        <f>sum(I6:I11)</f>
        <v>0</v>
      </c>
      <c r="M6" s="163"/>
    </row>
    <row r="7" ht="15.75" customHeight="1">
      <c r="A7" s="45" t="s">
        <v>39</v>
      </c>
      <c r="B7" s="46">
        <v>1.0</v>
      </c>
      <c r="C7" s="47"/>
      <c r="D7" s="48" t="s">
        <v>42</v>
      </c>
      <c r="E7" s="49" t="s">
        <v>41</v>
      </c>
      <c r="F7" s="50">
        <v>0.0</v>
      </c>
      <c r="G7" s="51">
        <v>1000.0</v>
      </c>
      <c r="H7" s="52">
        <f t="shared" si="1"/>
        <v>0</v>
      </c>
      <c r="I7" s="53">
        <f t="shared" si="2"/>
        <v>0</v>
      </c>
      <c r="K7" s="43">
        <v>2.0</v>
      </c>
      <c r="L7" s="44">
        <f>sum(I12:I17)</f>
        <v>0</v>
      </c>
      <c r="M7" s="163"/>
    </row>
    <row r="8">
      <c r="A8" s="54" t="s">
        <v>39</v>
      </c>
      <c r="B8" s="55">
        <v>1.0</v>
      </c>
      <c r="C8" s="56"/>
      <c r="D8" s="57" t="s">
        <v>43</v>
      </c>
      <c r="E8" s="58" t="s">
        <v>41</v>
      </c>
      <c r="F8" s="50">
        <v>0.0</v>
      </c>
      <c r="G8" s="59">
        <v>5000.0</v>
      </c>
      <c r="H8" s="60">
        <f t="shared" si="1"/>
        <v>0</v>
      </c>
      <c r="I8" s="61">
        <f t="shared" si="2"/>
        <v>0</v>
      </c>
      <c r="K8" s="43" t="s">
        <v>44</v>
      </c>
      <c r="L8" s="44">
        <f>sum(I18:I23)</f>
        <v>0</v>
      </c>
      <c r="M8" s="163"/>
    </row>
    <row r="9">
      <c r="A9" s="45" t="s">
        <v>39</v>
      </c>
      <c r="B9" s="46">
        <v>1.0</v>
      </c>
      <c r="C9" s="47"/>
      <c r="D9" s="48" t="s">
        <v>45</v>
      </c>
      <c r="E9" s="49" t="s">
        <v>41</v>
      </c>
      <c r="F9" s="50">
        <v>0.0</v>
      </c>
      <c r="G9" s="51">
        <v>10000.0</v>
      </c>
      <c r="H9" s="52">
        <f t="shared" si="1"/>
        <v>0</v>
      </c>
      <c r="I9" s="53">
        <f t="shared" si="2"/>
        <v>0</v>
      </c>
      <c r="K9" s="43">
        <v>3.0</v>
      </c>
      <c r="L9" s="44">
        <f>sum(I24:I29)</f>
        <v>0</v>
      </c>
      <c r="M9" s="163"/>
    </row>
    <row r="10">
      <c r="A10" s="54" t="s">
        <v>39</v>
      </c>
      <c r="B10" s="55">
        <v>1.0</v>
      </c>
      <c r="C10" s="56"/>
      <c r="D10" s="62" t="s">
        <v>46</v>
      </c>
      <c r="E10" s="58" t="s">
        <v>41</v>
      </c>
      <c r="F10" s="50">
        <v>0.0</v>
      </c>
      <c r="G10" s="59">
        <v>20000.0</v>
      </c>
      <c r="H10" s="60">
        <f t="shared" si="1"/>
        <v>0</v>
      </c>
      <c r="I10" s="61">
        <f t="shared" si="2"/>
        <v>0</v>
      </c>
      <c r="K10" s="43" t="s">
        <v>47</v>
      </c>
      <c r="L10" s="44">
        <f>sum(I30:I35)</f>
        <v>0</v>
      </c>
      <c r="M10" s="163"/>
    </row>
    <row r="11">
      <c r="A11" s="63" t="s">
        <v>39</v>
      </c>
      <c r="B11" s="64">
        <v>1.0</v>
      </c>
      <c r="C11" s="65"/>
      <c r="D11" s="66" t="s">
        <v>48</v>
      </c>
      <c r="E11" s="67" t="s">
        <v>41</v>
      </c>
      <c r="F11" s="68">
        <v>0.0</v>
      </c>
      <c r="G11" s="69">
        <v>30000.0</v>
      </c>
      <c r="H11" s="70">
        <f t="shared" si="1"/>
        <v>0</v>
      </c>
      <c r="I11" s="71">
        <f t="shared" si="2"/>
        <v>0</v>
      </c>
      <c r="K11" s="72" t="s">
        <v>49</v>
      </c>
      <c r="L11" s="118"/>
    </row>
    <row r="12">
      <c r="A12" s="34" t="s">
        <v>50</v>
      </c>
      <c r="B12" s="35">
        <v>2.0</v>
      </c>
      <c r="C12" s="36" t="s">
        <v>105</v>
      </c>
      <c r="D12" s="37">
        <v>500.0</v>
      </c>
      <c r="E12" s="38" t="s">
        <v>41</v>
      </c>
      <c r="F12" s="39">
        <v>0.0</v>
      </c>
      <c r="G12" s="40">
        <v>500.0</v>
      </c>
      <c r="H12" s="41">
        <f t="shared" si="1"/>
        <v>0</v>
      </c>
      <c r="I12" s="42">
        <f t="shared" si="2"/>
        <v>0</v>
      </c>
    </row>
    <row r="13" ht="15.75" customHeight="1">
      <c r="A13" s="45" t="s">
        <v>50</v>
      </c>
      <c r="B13" s="46">
        <v>2.0</v>
      </c>
      <c r="C13" s="47"/>
      <c r="D13" s="48" t="s">
        <v>42</v>
      </c>
      <c r="E13" s="49" t="s">
        <v>41</v>
      </c>
      <c r="F13" s="50">
        <v>0.0</v>
      </c>
      <c r="G13" s="51">
        <v>1000.0</v>
      </c>
      <c r="H13" s="52">
        <f t="shared" si="1"/>
        <v>0</v>
      </c>
      <c r="I13" s="53">
        <f t="shared" si="2"/>
        <v>0</v>
      </c>
    </row>
    <row r="14">
      <c r="A14" s="54" t="s">
        <v>50</v>
      </c>
      <c r="B14" s="55">
        <v>2.0</v>
      </c>
      <c r="C14" s="56"/>
      <c r="D14" s="57" t="s">
        <v>43</v>
      </c>
      <c r="E14" s="58" t="s">
        <v>41</v>
      </c>
      <c r="F14" s="50">
        <v>0.0</v>
      </c>
      <c r="G14" s="59">
        <v>5000.0</v>
      </c>
      <c r="H14" s="60">
        <f t="shared" si="1"/>
        <v>0</v>
      </c>
      <c r="I14" s="61">
        <f t="shared" si="2"/>
        <v>0</v>
      </c>
    </row>
    <row r="15">
      <c r="A15" s="45" t="s">
        <v>50</v>
      </c>
      <c r="B15" s="46">
        <v>2.0</v>
      </c>
      <c r="C15" s="47"/>
      <c r="D15" s="48" t="s">
        <v>45</v>
      </c>
      <c r="E15" s="49" t="s">
        <v>41</v>
      </c>
      <c r="F15" s="50">
        <v>0.0</v>
      </c>
      <c r="G15" s="51">
        <v>10000.0</v>
      </c>
      <c r="H15" s="52">
        <f t="shared" si="1"/>
        <v>0</v>
      </c>
      <c r="I15" s="53">
        <f t="shared" si="2"/>
        <v>0</v>
      </c>
    </row>
    <row r="16">
      <c r="A16" s="54" t="s">
        <v>50</v>
      </c>
      <c r="B16" s="55">
        <v>2.0</v>
      </c>
      <c r="C16" s="56"/>
      <c r="D16" s="62" t="s">
        <v>46</v>
      </c>
      <c r="E16" s="58" t="s">
        <v>41</v>
      </c>
      <c r="F16" s="50">
        <v>0.0</v>
      </c>
      <c r="G16" s="59">
        <v>20000.0</v>
      </c>
      <c r="H16" s="60">
        <f t="shared" si="1"/>
        <v>0</v>
      </c>
      <c r="I16" s="61">
        <f t="shared" si="2"/>
        <v>0</v>
      </c>
    </row>
    <row r="17">
      <c r="A17" s="63" t="s">
        <v>50</v>
      </c>
      <c r="B17" s="64">
        <v>2.0</v>
      </c>
      <c r="C17" s="65"/>
      <c r="D17" s="66" t="s">
        <v>48</v>
      </c>
      <c r="E17" s="67" t="s">
        <v>41</v>
      </c>
      <c r="F17" s="68">
        <v>0.0</v>
      </c>
      <c r="G17" s="69">
        <v>30000.0</v>
      </c>
      <c r="H17" s="70">
        <f t="shared" si="1"/>
        <v>0</v>
      </c>
      <c r="I17" s="71">
        <f t="shared" si="2"/>
        <v>0</v>
      </c>
    </row>
    <row r="18">
      <c r="A18" s="74" t="s">
        <v>52</v>
      </c>
      <c r="B18" s="75" t="s">
        <v>44</v>
      </c>
      <c r="C18" s="76" t="s">
        <v>106</v>
      </c>
      <c r="D18" s="77">
        <v>500.0</v>
      </c>
      <c r="E18" s="78" t="s">
        <v>41</v>
      </c>
      <c r="F18" s="39">
        <v>0.0</v>
      </c>
      <c r="G18" s="79">
        <v>500.0</v>
      </c>
      <c r="H18" s="80">
        <f t="shared" si="1"/>
        <v>0</v>
      </c>
      <c r="I18" s="81">
        <f t="shared" si="2"/>
        <v>0</v>
      </c>
    </row>
    <row r="19" ht="15.75" customHeight="1">
      <c r="A19" s="82" t="s">
        <v>52</v>
      </c>
      <c r="B19" s="46" t="s">
        <v>44</v>
      </c>
      <c r="C19" s="47"/>
      <c r="D19" s="48" t="s">
        <v>42</v>
      </c>
      <c r="E19" s="49" t="s">
        <v>41</v>
      </c>
      <c r="F19" s="50">
        <v>0.0</v>
      </c>
      <c r="G19" s="51">
        <v>1000.0</v>
      </c>
      <c r="H19" s="52">
        <f t="shared" si="1"/>
        <v>0</v>
      </c>
      <c r="I19" s="53">
        <f t="shared" si="2"/>
        <v>0</v>
      </c>
    </row>
    <row r="20">
      <c r="A20" s="54" t="s">
        <v>52</v>
      </c>
      <c r="B20" s="55" t="s">
        <v>44</v>
      </c>
      <c r="C20" s="56"/>
      <c r="D20" s="57" t="s">
        <v>43</v>
      </c>
      <c r="E20" s="58" t="s">
        <v>41</v>
      </c>
      <c r="F20" s="50">
        <v>0.0</v>
      </c>
      <c r="G20" s="59">
        <v>5000.0</v>
      </c>
      <c r="H20" s="60">
        <f t="shared" si="1"/>
        <v>0</v>
      </c>
      <c r="I20" s="61">
        <f t="shared" si="2"/>
        <v>0</v>
      </c>
    </row>
    <row r="21" ht="15.75" customHeight="1">
      <c r="A21" s="82" t="s">
        <v>52</v>
      </c>
      <c r="B21" s="46" t="s">
        <v>44</v>
      </c>
      <c r="C21" s="47"/>
      <c r="D21" s="48" t="s">
        <v>45</v>
      </c>
      <c r="E21" s="49" t="s">
        <v>41</v>
      </c>
      <c r="F21" s="50">
        <v>0.0</v>
      </c>
      <c r="G21" s="51">
        <v>10000.0</v>
      </c>
      <c r="H21" s="52">
        <f t="shared" si="1"/>
        <v>0</v>
      </c>
      <c r="I21" s="53">
        <f t="shared" si="2"/>
        <v>0</v>
      </c>
    </row>
    <row r="22" ht="15.75" customHeight="1">
      <c r="A22" s="54" t="s">
        <v>52</v>
      </c>
      <c r="B22" s="55" t="s">
        <v>44</v>
      </c>
      <c r="C22" s="56"/>
      <c r="D22" s="62" t="s">
        <v>46</v>
      </c>
      <c r="E22" s="58" t="s">
        <v>41</v>
      </c>
      <c r="F22" s="50">
        <v>0.0</v>
      </c>
      <c r="G22" s="59">
        <v>20000.0</v>
      </c>
      <c r="H22" s="60">
        <f t="shared" si="1"/>
        <v>0</v>
      </c>
      <c r="I22" s="61">
        <f t="shared" si="2"/>
        <v>0</v>
      </c>
    </row>
    <row r="23" ht="15.75" customHeight="1">
      <c r="A23" s="83" t="s">
        <v>52</v>
      </c>
      <c r="B23" s="64" t="s">
        <v>44</v>
      </c>
      <c r="C23" s="65"/>
      <c r="D23" s="66" t="s">
        <v>48</v>
      </c>
      <c r="E23" s="67" t="s">
        <v>41</v>
      </c>
      <c r="F23" s="68">
        <v>0.0</v>
      </c>
      <c r="G23" s="69">
        <v>30000.0</v>
      </c>
      <c r="H23" s="70">
        <f t="shared" si="1"/>
        <v>0</v>
      </c>
      <c r="I23" s="71">
        <f t="shared" si="2"/>
        <v>0</v>
      </c>
    </row>
    <row r="24" ht="15.75" customHeight="1">
      <c r="A24" s="74" t="s">
        <v>54</v>
      </c>
      <c r="B24" s="75">
        <v>3.0</v>
      </c>
      <c r="C24" s="76" t="s">
        <v>107</v>
      </c>
      <c r="D24" s="77">
        <v>500.0</v>
      </c>
      <c r="E24" s="78" t="s">
        <v>41</v>
      </c>
      <c r="F24" s="39">
        <v>0.0</v>
      </c>
      <c r="G24" s="79">
        <v>500.0</v>
      </c>
      <c r="H24" s="80">
        <f t="shared" si="1"/>
        <v>0</v>
      </c>
      <c r="I24" s="81">
        <f t="shared" si="2"/>
        <v>0</v>
      </c>
    </row>
    <row r="25" ht="15.75" customHeight="1">
      <c r="A25" s="82" t="s">
        <v>54</v>
      </c>
      <c r="B25" s="46">
        <v>3.0</v>
      </c>
      <c r="C25" s="47"/>
      <c r="D25" s="48" t="s">
        <v>42</v>
      </c>
      <c r="E25" s="49" t="s">
        <v>41</v>
      </c>
      <c r="F25" s="50">
        <v>0.0</v>
      </c>
      <c r="G25" s="51">
        <v>1000.0</v>
      </c>
      <c r="H25" s="52">
        <f t="shared" si="1"/>
        <v>0</v>
      </c>
      <c r="I25" s="53">
        <f t="shared" si="2"/>
        <v>0</v>
      </c>
    </row>
    <row r="26" ht="15.75" customHeight="1">
      <c r="A26" s="54" t="s">
        <v>54</v>
      </c>
      <c r="B26" s="55">
        <v>3.0</v>
      </c>
      <c r="C26" s="56"/>
      <c r="D26" s="57" t="s">
        <v>43</v>
      </c>
      <c r="E26" s="58" t="s">
        <v>41</v>
      </c>
      <c r="F26" s="50">
        <v>0.0</v>
      </c>
      <c r="G26" s="59">
        <v>5000.0</v>
      </c>
      <c r="H26" s="60">
        <f t="shared" si="1"/>
        <v>0</v>
      </c>
      <c r="I26" s="61">
        <f t="shared" si="2"/>
        <v>0</v>
      </c>
    </row>
    <row r="27" ht="15.75" customHeight="1">
      <c r="A27" s="82" t="s">
        <v>54</v>
      </c>
      <c r="B27" s="46">
        <v>3.0</v>
      </c>
      <c r="C27" s="47"/>
      <c r="D27" s="48" t="s">
        <v>45</v>
      </c>
      <c r="E27" s="49" t="s">
        <v>41</v>
      </c>
      <c r="F27" s="50">
        <v>0.0</v>
      </c>
      <c r="G27" s="51">
        <v>10000.0</v>
      </c>
      <c r="H27" s="52">
        <f t="shared" si="1"/>
        <v>0</v>
      </c>
      <c r="I27" s="53">
        <f t="shared" si="2"/>
        <v>0</v>
      </c>
    </row>
    <row r="28" ht="15.75" customHeight="1">
      <c r="A28" s="54" t="s">
        <v>54</v>
      </c>
      <c r="B28" s="55">
        <v>3.0</v>
      </c>
      <c r="C28" s="56"/>
      <c r="D28" s="62" t="s">
        <v>46</v>
      </c>
      <c r="E28" s="58" t="s">
        <v>41</v>
      </c>
      <c r="F28" s="50">
        <v>0.0</v>
      </c>
      <c r="G28" s="59">
        <v>20000.0</v>
      </c>
      <c r="H28" s="60">
        <f t="shared" si="1"/>
        <v>0</v>
      </c>
      <c r="I28" s="61">
        <f t="shared" si="2"/>
        <v>0</v>
      </c>
    </row>
    <row r="29" ht="15.75" customHeight="1">
      <c r="A29" s="83" t="s">
        <v>54</v>
      </c>
      <c r="B29" s="64">
        <v>3.0</v>
      </c>
      <c r="C29" s="65"/>
      <c r="D29" s="66" t="s">
        <v>48</v>
      </c>
      <c r="E29" s="67" t="s">
        <v>41</v>
      </c>
      <c r="F29" s="39">
        <v>0.0</v>
      </c>
      <c r="G29" s="69">
        <v>30000.0</v>
      </c>
      <c r="H29" s="70">
        <f t="shared" si="1"/>
        <v>0</v>
      </c>
      <c r="I29" s="71">
        <f t="shared" si="2"/>
        <v>0</v>
      </c>
    </row>
    <row r="30" ht="15.75" customHeight="1">
      <c r="A30" s="74" t="s">
        <v>56</v>
      </c>
      <c r="B30" s="75" t="s">
        <v>47</v>
      </c>
      <c r="C30" s="76" t="s">
        <v>108</v>
      </c>
      <c r="D30" s="77">
        <v>500.0</v>
      </c>
      <c r="E30" s="78" t="s">
        <v>41</v>
      </c>
      <c r="F30" s="84">
        <v>0.0</v>
      </c>
      <c r="G30" s="79">
        <v>500.0</v>
      </c>
      <c r="H30" s="80">
        <f t="shared" si="1"/>
        <v>0</v>
      </c>
      <c r="I30" s="81">
        <f t="shared" si="2"/>
        <v>0</v>
      </c>
    </row>
    <row r="31" ht="15.75" customHeight="1">
      <c r="A31" s="82" t="s">
        <v>56</v>
      </c>
      <c r="B31" s="46" t="s">
        <v>47</v>
      </c>
      <c r="C31" s="47"/>
      <c r="D31" s="48" t="s">
        <v>42</v>
      </c>
      <c r="E31" s="49" t="s">
        <v>41</v>
      </c>
      <c r="F31" s="85">
        <v>0.0</v>
      </c>
      <c r="G31" s="51">
        <v>1000.0</v>
      </c>
      <c r="H31" s="52">
        <f t="shared" si="1"/>
        <v>0</v>
      </c>
      <c r="I31" s="53">
        <f t="shared" si="2"/>
        <v>0</v>
      </c>
    </row>
    <row r="32" ht="15.75" customHeight="1">
      <c r="A32" s="54" t="s">
        <v>56</v>
      </c>
      <c r="B32" s="55" t="s">
        <v>47</v>
      </c>
      <c r="C32" s="56"/>
      <c r="D32" s="57" t="s">
        <v>43</v>
      </c>
      <c r="E32" s="58" t="s">
        <v>41</v>
      </c>
      <c r="F32" s="85">
        <v>0.0</v>
      </c>
      <c r="G32" s="59">
        <v>5000.0</v>
      </c>
      <c r="H32" s="60">
        <f t="shared" si="1"/>
        <v>0</v>
      </c>
      <c r="I32" s="61">
        <f t="shared" si="2"/>
        <v>0</v>
      </c>
    </row>
    <row r="33" ht="15.75" customHeight="1">
      <c r="A33" s="82" t="s">
        <v>56</v>
      </c>
      <c r="B33" s="46" t="s">
        <v>47</v>
      </c>
      <c r="C33" s="47"/>
      <c r="D33" s="48" t="s">
        <v>45</v>
      </c>
      <c r="E33" s="49" t="s">
        <v>41</v>
      </c>
      <c r="F33" s="85">
        <v>0.0</v>
      </c>
      <c r="G33" s="51">
        <v>10000.0</v>
      </c>
      <c r="H33" s="52">
        <f t="shared" si="1"/>
        <v>0</v>
      </c>
      <c r="I33" s="53">
        <f t="shared" si="2"/>
        <v>0</v>
      </c>
    </row>
    <row r="34" ht="15.75" customHeight="1">
      <c r="A34" s="54" t="s">
        <v>56</v>
      </c>
      <c r="B34" s="55" t="s">
        <v>47</v>
      </c>
      <c r="C34" s="56"/>
      <c r="D34" s="62" t="s">
        <v>46</v>
      </c>
      <c r="E34" s="58" t="s">
        <v>41</v>
      </c>
      <c r="F34" s="85">
        <v>0.0</v>
      </c>
      <c r="G34" s="59">
        <v>20000.0</v>
      </c>
      <c r="H34" s="60">
        <f t="shared" si="1"/>
        <v>0</v>
      </c>
      <c r="I34" s="61">
        <f t="shared" si="2"/>
        <v>0</v>
      </c>
    </row>
    <row r="35" ht="15.75" customHeight="1">
      <c r="A35" s="83" t="s">
        <v>56</v>
      </c>
      <c r="B35" s="64" t="s">
        <v>47</v>
      </c>
      <c r="C35" s="65"/>
      <c r="D35" s="66" t="s">
        <v>48</v>
      </c>
      <c r="E35" s="67" t="s">
        <v>41</v>
      </c>
      <c r="F35" s="86">
        <v>0.0</v>
      </c>
      <c r="G35" s="69">
        <v>30000.0</v>
      </c>
      <c r="H35" s="70">
        <f t="shared" si="1"/>
        <v>0</v>
      </c>
      <c r="I35" s="71">
        <f t="shared" si="2"/>
        <v>0</v>
      </c>
    </row>
    <row r="36" ht="15.75" customHeight="1"/>
    <row r="37" ht="15.75" customHeight="1">
      <c r="A37" s="87"/>
      <c r="B37" s="87"/>
      <c r="C37" s="87"/>
      <c r="D37" s="87"/>
      <c r="E37" s="87"/>
      <c r="F37" s="87"/>
      <c r="G37" s="87"/>
    </row>
    <row r="38" ht="15.75" customHeight="1">
      <c r="A38" s="20" t="s">
        <v>58</v>
      </c>
    </row>
    <row r="39" ht="15.75" customHeight="1">
      <c r="A39" s="88" t="s">
        <v>26</v>
      </c>
      <c r="B39" s="89"/>
      <c r="C39" s="89"/>
      <c r="D39" s="89"/>
      <c r="E39" s="89"/>
      <c r="F39" s="90"/>
      <c r="G39" s="91" t="s">
        <v>59</v>
      </c>
      <c r="H39" s="89"/>
      <c r="I39" s="92"/>
    </row>
    <row r="40" ht="15.75" customHeight="1">
      <c r="A40" s="93" t="s">
        <v>60</v>
      </c>
      <c r="B40" s="94" t="s">
        <v>29</v>
      </c>
      <c r="C40" s="95" t="s">
        <v>30</v>
      </c>
      <c r="D40" s="67" t="s">
        <v>31</v>
      </c>
      <c r="E40" s="67" t="s">
        <v>32</v>
      </c>
      <c r="F40" s="95" t="s">
        <v>33</v>
      </c>
      <c r="G40" s="96" t="s">
        <v>61</v>
      </c>
      <c r="H40" s="97" t="s">
        <v>35</v>
      </c>
      <c r="I40" s="98" t="s">
        <v>36</v>
      </c>
      <c r="K40" s="33" t="s">
        <v>37</v>
      </c>
      <c r="L40" s="33" t="s">
        <v>109</v>
      </c>
    </row>
    <row r="41" ht="15.75" customHeight="1">
      <c r="A41" s="99" t="s">
        <v>63</v>
      </c>
      <c r="B41" s="100">
        <v>1.0</v>
      </c>
      <c r="C41" s="101" t="s">
        <v>110</v>
      </c>
      <c r="D41" s="102">
        <v>500.0</v>
      </c>
      <c r="E41" s="103" t="s">
        <v>41</v>
      </c>
      <c r="F41" s="84">
        <v>0.0</v>
      </c>
      <c r="G41" s="104">
        <v>500.0</v>
      </c>
      <c r="H41" s="105">
        <f t="shared" ref="H41:H70" si="3">F41*G41</f>
        <v>0</v>
      </c>
      <c r="I41" s="106">
        <f t="shared" ref="I41:I70" si="4">H41*365</f>
        <v>0</v>
      </c>
      <c r="K41" s="43">
        <v>1.0</v>
      </c>
      <c r="L41" s="44">
        <f>sum(I41:I46)</f>
        <v>0</v>
      </c>
    </row>
    <row r="42" ht="15.75" customHeight="1">
      <c r="A42" s="45" t="s">
        <v>63</v>
      </c>
      <c r="B42" s="107">
        <v>1.0</v>
      </c>
      <c r="C42" s="47"/>
      <c r="D42" s="48" t="s">
        <v>42</v>
      </c>
      <c r="E42" s="49" t="s">
        <v>41</v>
      </c>
      <c r="F42" s="85">
        <v>0.0</v>
      </c>
      <c r="G42" s="51">
        <v>1000.0</v>
      </c>
      <c r="H42" s="52">
        <f t="shared" si="3"/>
        <v>0</v>
      </c>
      <c r="I42" s="53">
        <f t="shared" si="4"/>
        <v>0</v>
      </c>
      <c r="K42" s="43">
        <v>2.0</v>
      </c>
      <c r="L42" s="44">
        <f>sum(I47:I52)</f>
        <v>0</v>
      </c>
    </row>
    <row r="43" ht="15.75" customHeight="1">
      <c r="A43" s="108" t="s">
        <v>63</v>
      </c>
      <c r="B43" s="109">
        <v>1.0</v>
      </c>
      <c r="C43" s="110"/>
      <c r="D43" s="111" t="s">
        <v>43</v>
      </c>
      <c r="E43" s="112" t="s">
        <v>41</v>
      </c>
      <c r="F43" s="50">
        <v>0.0</v>
      </c>
      <c r="G43" s="113">
        <v>5000.0</v>
      </c>
      <c r="H43" s="114">
        <f t="shared" si="3"/>
        <v>0</v>
      </c>
      <c r="I43" s="115">
        <f t="shared" si="4"/>
        <v>0</v>
      </c>
      <c r="K43" s="43" t="s">
        <v>44</v>
      </c>
      <c r="L43" s="44">
        <f>sum(I53:I58)</f>
        <v>0</v>
      </c>
    </row>
    <row r="44" ht="15.75" customHeight="1">
      <c r="A44" s="45" t="s">
        <v>63</v>
      </c>
      <c r="B44" s="107">
        <v>1.0</v>
      </c>
      <c r="C44" s="47"/>
      <c r="D44" s="48" t="s">
        <v>45</v>
      </c>
      <c r="E44" s="49" t="s">
        <v>41</v>
      </c>
      <c r="F44" s="50">
        <v>0.0</v>
      </c>
      <c r="G44" s="51">
        <v>10000.0</v>
      </c>
      <c r="H44" s="52">
        <f t="shared" si="3"/>
        <v>0</v>
      </c>
      <c r="I44" s="53">
        <f t="shared" si="4"/>
        <v>0</v>
      </c>
      <c r="K44" s="43">
        <v>3.0</v>
      </c>
      <c r="L44" s="44">
        <f>sum(I59:I64)</f>
        <v>0</v>
      </c>
    </row>
    <row r="45" ht="15.75" customHeight="1">
      <c r="A45" s="108" t="s">
        <v>63</v>
      </c>
      <c r="B45" s="109">
        <v>1.0</v>
      </c>
      <c r="C45" s="110"/>
      <c r="D45" s="116" t="s">
        <v>46</v>
      </c>
      <c r="E45" s="112" t="s">
        <v>41</v>
      </c>
      <c r="F45" s="50">
        <v>0.0</v>
      </c>
      <c r="G45" s="113">
        <v>20000.0</v>
      </c>
      <c r="H45" s="114">
        <f t="shared" si="3"/>
        <v>0</v>
      </c>
      <c r="I45" s="115">
        <f t="shared" si="4"/>
        <v>0</v>
      </c>
      <c r="K45" s="43" t="s">
        <v>47</v>
      </c>
      <c r="L45" s="44">
        <f>sum(I65:I70)</f>
        <v>0</v>
      </c>
    </row>
    <row r="46" ht="15.75" customHeight="1">
      <c r="A46" s="63" t="s">
        <v>63</v>
      </c>
      <c r="B46" s="117">
        <v>1.0</v>
      </c>
      <c r="C46" s="65"/>
      <c r="D46" s="66" t="s">
        <v>48</v>
      </c>
      <c r="E46" s="67" t="s">
        <v>41</v>
      </c>
      <c r="F46" s="68">
        <v>0.0</v>
      </c>
      <c r="G46" s="69">
        <v>30000.0</v>
      </c>
      <c r="H46" s="70">
        <f t="shared" si="3"/>
        <v>0</v>
      </c>
      <c r="I46" s="71">
        <f t="shared" si="4"/>
        <v>0</v>
      </c>
      <c r="K46" s="72" t="s">
        <v>65</v>
      </c>
      <c r="L46" s="118"/>
    </row>
    <row r="47" ht="15.75" customHeight="1">
      <c r="A47" s="99" t="s">
        <v>66</v>
      </c>
      <c r="B47" s="100">
        <v>2.0</v>
      </c>
      <c r="C47" s="101" t="s">
        <v>111</v>
      </c>
      <c r="D47" s="102">
        <v>500.0</v>
      </c>
      <c r="E47" s="103" t="s">
        <v>41</v>
      </c>
      <c r="F47" s="84">
        <v>0.0</v>
      </c>
      <c r="G47" s="104">
        <v>500.0</v>
      </c>
      <c r="H47" s="105">
        <f t="shared" si="3"/>
        <v>0</v>
      </c>
      <c r="I47" s="106">
        <f t="shared" si="4"/>
        <v>0</v>
      </c>
    </row>
    <row r="48" ht="15.75" customHeight="1">
      <c r="A48" s="45" t="s">
        <v>66</v>
      </c>
      <c r="B48" s="107">
        <v>2.0</v>
      </c>
      <c r="C48" s="47"/>
      <c r="D48" s="48" t="s">
        <v>42</v>
      </c>
      <c r="E48" s="49" t="s">
        <v>41</v>
      </c>
      <c r="F48" s="85">
        <v>0.0</v>
      </c>
      <c r="G48" s="51">
        <v>1000.0</v>
      </c>
      <c r="H48" s="52">
        <f t="shared" si="3"/>
        <v>0</v>
      </c>
      <c r="I48" s="53">
        <f t="shared" si="4"/>
        <v>0</v>
      </c>
    </row>
    <row r="49" ht="15.75" customHeight="1">
      <c r="A49" s="108" t="s">
        <v>66</v>
      </c>
      <c r="B49" s="109">
        <v>2.0</v>
      </c>
      <c r="C49" s="110"/>
      <c r="D49" s="111" t="s">
        <v>43</v>
      </c>
      <c r="E49" s="112" t="s">
        <v>41</v>
      </c>
      <c r="F49" s="85">
        <v>0.0</v>
      </c>
      <c r="G49" s="113">
        <v>5000.0</v>
      </c>
      <c r="H49" s="114">
        <f t="shared" si="3"/>
        <v>0</v>
      </c>
      <c r="I49" s="115">
        <f t="shared" si="4"/>
        <v>0</v>
      </c>
    </row>
    <row r="50" ht="15.75" customHeight="1">
      <c r="A50" s="45" t="s">
        <v>66</v>
      </c>
      <c r="B50" s="107">
        <v>2.0</v>
      </c>
      <c r="C50" s="47"/>
      <c r="D50" s="48" t="s">
        <v>45</v>
      </c>
      <c r="E50" s="49" t="s">
        <v>41</v>
      </c>
      <c r="F50" s="85">
        <v>0.0</v>
      </c>
      <c r="G50" s="51">
        <v>10000.0</v>
      </c>
      <c r="H50" s="52">
        <f t="shared" si="3"/>
        <v>0</v>
      </c>
      <c r="I50" s="53">
        <f t="shared" si="4"/>
        <v>0</v>
      </c>
    </row>
    <row r="51" ht="15.75" customHeight="1">
      <c r="A51" s="108" t="s">
        <v>66</v>
      </c>
      <c r="B51" s="109">
        <v>2.0</v>
      </c>
      <c r="C51" s="110"/>
      <c r="D51" s="116" t="s">
        <v>46</v>
      </c>
      <c r="E51" s="112" t="s">
        <v>41</v>
      </c>
      <c r="F51" s="85">
        <v>0.0</v>
      </c>
      <c r="G51" s="113">
        <v>20000.0</v>
      </c>
      <c r="H51" s="114">
        <f t="shared" si="3"/>
        <v>0</v>
      </c>
      <c r="I51" s="115">
        <f t="shared" si="4"/>
        <v>0</v>
      </c>
    </row>
    <row r="52" ht="15.75" customHeight="1">
      <c r="A52" s="63" t="s">
        <v>66</v>
      </c>
      <c r="B52" s="117">
        <v>2.0</v>
      </c>
      <c r="C52" s="65"/>
      <c r="D52" s="66" t="s">
        <v>48</v>
      </c>
      <c r="E52" s="67" t="s">
        <v>41</v>
      </c>
      <c r="F52" s="84">
        <v>0.0</v>
      </c>
      <c r="G52" s="69">
        <v>30000.0</v>
      </c>
      <c r="H52" s="70">
        <f t="shared" si="3"/>
        <v>0</v>
      </c>
      <c r="I52" s="71">
        <f t="shared" si="4"/>
        <v>0</v>
      </c>
    </row>
    <row r="53" ht="15.75" customHeight="1">
      <c r="A53" s="99" t="s">
        <v>68</v>
      </c>
      <c r="B53" s="100" t="s">
        <v>44</v>
      </c>
      <c r="C53" s="101" t="s">
        <v>112</v>
      </c>
      <c r="D53" s="102">
        <v>500.0</v>
      </c>
      <c r="E53" s="103" t="s">
        <v>41</v>
      </c>
      <c r="F53" s="84">
        <v>0.0</v>
      </c>
      <c r="G53" s="104">
        <v>500.0</v>
      </c>
      <c r="H53" s="105">
        <f t="shared" si="3"/>
        <v>0</v>
      </c>
      <c r="I53" s="106">
        <f t="shared" si="4"/>
        <v>0</v>
      </c>
    </row>
    <row r="54" ht="15.75" customHeight="1">
      <c r="A54" s="45" t="s">
        <v>68</v>
      </c>
      <c r="B54" s="107" t="s">
        <v>44</v>
      </c>
      <c r="C54" s="47"/>
      <c r="D54" s="48" t="s">
        <v>42</v>
      </c>
      <c r="E54" s="49" t="s">
        <v>41</v>
      </c>
      <c r="F54" s="85">
        <v>0.0</v>
      </c>
      <c r="G54" s="51">
        <v>1000.0</v>
      </c>
      <c r="H54" s="52">
        <f t="shared" si="3"/>
        <v>0</v>
      </c>
      <c r="I54" s="53">
        <f t="shared" si="4"/>
        <v>0</v>
      </c>
    </row>
    <row r="55" ht="15.75" customHeight="1">
      <c r="A55" s="108" t="s">
        <v>68</v>
      </c>
      <c r="B55" s="109" t="s">
        <v>44</v>
      </c>
      <c r="C55" s="110"/>
      <c r="D55" s="111" t="s">
        <v>43</v>
      </c>
      <c r="E55" s="112" t="s">
        <v>41</v>
      </c>
      <c r="F55" s="85">
        <v>0.0</v>
      </c>
      <c r="G55" s="113">
        <v>5000.0</v>
      </c>
      <c r="H55" s="114">
        <f t="shared" si="3"/>
        <v>0</v>
      </c>
      <c r="I55" s="115">
        <f t="shared" si="4"/>
        <v>0</v>
      </c>
    </row>
    <row r="56" ht="15.75" customHeight="1">
      <c r="A56" s="45" t="s">
        <v>68</v>
      </c>
      <c r="B56" s="107" t="s">
        <v>44</v>
      </c>
      <c r="C56" s="47"/>
      <c r="D56" s="48" t="s">
        <v>45</v>
      </c>
      <c r="E56" s="49" t="s">
        <v>41</v>
      </c>
      <c r="F56" s="85">
        <v>0.0</v>
      </c>
      <c r="G56" s="51">
        <v>10000.0</v>
      </c>
      <c r="H56" s="52">
        <f t="shared" si="3"/>
        <v>0</v>
      </c>
      <c r="I56" s="53">
        <f t="shared" si="4"/>
        <v>0</v>
      </c>
    </row>
    <row r="57" ht="15.75" customHeight="1">
      <c r="A57" s="108" t="s">
        <v>68</v>
      </c>
      <c r="B57" s="109" t="s">
        <v>44</v>
      </c>
      <c r="C57" s="110"/>
      <c r="D57" s="116" t="s">
        <v>46</v>
      </c>
      <c r="E57" s="112" t="s">
        <v>41</v>
      </c>
      <c r="F57" s="85">
        <v>0.0</v>
      </c>
      <c r="G57" s="113">
        <v>20000.0</v>
      </c>
      <c r="H57" s="114">
        <f t="shared" si="3"/>
        <v>0</v>
      </c>
      <c r="I57" s="115">
        <f t="shared" si="4"/>
        <v>0</v>
      </c>
    </row>
    <row r="58" ht="15.75" customHeight="1">
      <c r="A58" s="63" t="s">
        <v>68</v>
      </c>
      <c r="B58" s="117" t="s">
        <v>44</v>
      </c>
      <c r="C58" s="65"/>
      <c r="D58" s="66" t="s">
        <v>48</v>
      </c>
      <c r="E58" s="67" t="s">
        <v>41</v>
      </c>
      <c r="F58" s="84">
        <v>0.0</v>
      </c>
      <c r="G58" s="69">
        <v>30000.0</v>
      </c>
      <c r="H58" s="70">
        <f t="shared" si="3"/>
        <v>0</v>
      </c>
      <c r="I58" s="71">
        <f t="shared" si="4"/>
        <v>0</v>
      </c>
    </row>
    <row r="59" ht="15.75" customHeight="1">
      <c r="A59" s="99" t="s">
        <v>70</v>
      </c>
      <c r="B59" s="100">
        <v>3.0</v>
      </c>
      <c r="C59" s="101" t="s">
        <v>113</v>
      </c>
      <c r="D59" s="102">
        <v>500.0</v>
      </c>
      <c r="E59" s="103" t="s">
        <v>41</v>
      </c>
      <c r="F59" s="84">
        <v>0.0</v>
      </c>
      <c r="G59" s="104">
        <v>500.0</v>
      </c>
      <c r="H59" s="105">
        <f t="shared" si="3"/>
        <v>0</v>
      </c>
      <c r="I59" s="106">
        <f t="shared" si="4"/>
        <v>0</v>
      </c>
    </row>
    <row r="60" ht="15.75" customHeight="1">
      <c r="A60" s="45" t="s">
        <v>70</v>
      </c>
      <c r="B60" s="107">
        <v>3.0</v>
      </c>
      <c r="C60" s="47"/>
      <c r="D60" s="48" t="s">
        <v>42</v>
      </c>
      <c r="E60" s="49" t="s">
        <v>41</v>
      </c>
      <c r="F60" s="85">
        <v>0.0</v>
      </c>
      <c r="G60" s="51">
        <v>1000.0</v>
      </c>
      <c r="H60" s="52">
        <f t="shared" si="3"/>
        <v>0</v>
      </c>
      <c r="I60" s="53">
        <f t="shared" si="4"/>
        <v>0</v>
      </c>
    </row>
    <row r="61" ht="15.75" customHeight="1">
      <c r="A61" s="108" t="s">
        <v>70</v>
      </c>
      <c r="B61" s="109">
        <v>3.0</v>
      </c>
      <c r="C61" s="110"/>
      <c r="D61" s="111" t="s">
        <v>43</v>
      </c>
      <c r="E61" s="112" t="s">
        <v>41</v>
      </c>
      <c r="F61" s="85">
        <v>0.0</v>
      </c>
      <c r="G61" s="113">
        <v>5000.0</v>
      </c>
      <c r="H61" s="114">
        <f t="shared" si="3"/>
        <v>0</v>
      </c>
      <c r="I61" s="115">
        <f t="shared" si="4"/>
        <v>0</v>
      </c>
    </row>
    <row r="62" ht="15.75" customHeight="1">
      <c r="A62" s="45" t="s">
        <v>70</v>
      </c>
      <c r="B62" s="107">
        <v>3.0</v>
      </c>
      <c r="C62" s="47"/>
      <c r="D62" s="48" t="s">
        <v>45</v>
      </c>
      <c r="E62" s="49" t="s">
        <v>41</v>
      </c>
      <c r="F62" s="85">
        <v>0.0</v>
      </c>
      <c r="G62" s="51">
        <v>10000.0</v>
      </c>
      <c r="H62" s="52">
        <f t="shared" si="3"/>
        <v>0</v>
      </c>
      <c r="I62" s="53">
        <f t="shared" si="4"/>
        <v>0</v>
      </c>
    </row>
    <row r="63" ht="15.75" customHeight="1">
      <c r="A63" s="108" t="s">
        <v>70</v>
      </c>
      <c r="B63" s="109">
        <v>3.0</v>
      </c>
      <c r="C63" s="110"/>
      <c r="D63" s="116" t="s">
        <v>46</v>
      </c>
      <c r="E63" s="112" t="s">
        <v>41</v>
      </c>
      <c r="F63" s="85">
        <v>0.0</v>
      </c>
      <c r="G63" s="113">
        <v>20000.0</v>
      </c>
      <c r="H63" s="114">
        <f t="shared" si="3"/>
        <v>0</v>
      </c>
      <c r="I63" s="115">
        <f t="shared" si="4"/>
        <v>0</v>
      </c>
    </row>
    <row r="64" ht="15.75" customHeight="1">
      <c r="A64" s="63" t="s">
        <v>70</v>
      </c>
      <c r="B64" s="117">
        <v>3.0</v>
      </c>
      <c r="C64" s="65"/>
      <c r="D64" s="66" t="s">
        <v>48</v>
      </c>
      <c r="E64" s="67" t="s">
        <v>41</v>
      </c>
      <c r="F64" s="84">
        <v>0.0</v>
      </c>
      <c r="G64" s="69">
        <v>30000.0</v>
      </c>
      <c r="H64" s="70">
        <f t="shared" si="3"/>
        <v>0</v>
      </c>
      <c r="I64" s="71">
        <f t="shared" si="4"/>
        <v>0</v>
      </c>
    </row>
    <row r="65" ht="15.75" customHeight="1">
      <c r="A65" s="99" t="s">
        <v>72</v>
      </c>
      <c r="B65" s="100" t="s">
        <v>47</v>
      </c>
      <c r="C65" s="101" t="s">
        <v>114</v>
      </c>
      <c r="D65" s="102">
        <v>500.0</v>
      </c>
      <c r="E65" s="103" t="s">
        <v>41</v>
      </c>
      <c r="F65" s="84">
        <v>0.0</v>
      </c>
      <c r="G65" s="104">
        <v>500.0</v>
      </c>
      <c r="H65" s="105">
        <f t="shared" si="3"/>
        <v>0</v>
      </c>
      <c r="I65" s="106">
        <f t="shared" si="4"/>
        <v>0</v>
      </c>
    </row>
    <row r="66" ht="15.75" customHeight="1">
      <c r="A66" s="45" t="s">
        <v>72</v>
      </c>
      <c r="B66" s="107" t="s">
        <v>47</v>
      </c>
      <c r="C66" s="47"/>
      <c r="D66" s="48" t="s">
        <v>42</v>
      </c>
      <c r="E66" s="49" t="s">
        <v>41</v>
      </c>
      <c r="F66" s="85">
        <v>0.0</v>
      </c>
      <c r="G66" s="51">
        <v>1000.0</v>
      </c>
      <c r="H66" s="52">
        <f t="shared" si="3"/>
        <v>0</v>
      </c>
      <c r="I66" s="53">
        <f t="shared" si="4"/>
        <v>0</v>
      </c>
    </row>
    <row r="67" ht="15.75" customHeight="1">
      <c r="A67" s="108" t="s">
        <v>72</v>
      </c>
      <c r="B67" s="109" t="s">
        <v>47</v>
      </c>
      <c r="C67" s="110"/>
      <c r="D67" s="111" t="s">
        <v>43</v>
      </c>
      <c r="E67" s="112" t="s">
        <v>41</v>
      </c>
      <c r="F67" s="85">
        <v>0.0</v>
      </c>
      <c r="G67" s="113">
        <v>5000.0</v>
      </c>
      <c r="H67" s="114">
        <f t="shared" si="3"/>
        <v>0</v>
      </c>
      <c r="I67" s="115">
        <f t="shared" si="4"/>
        <v>0</v>
      </c>
    </row>
    <row r="68" ht="15.75" customHeight="1">
      <c r="A68" s="45" t="s">
        <v>72</v>
      </c>
      <c r="B68" s="107" t="s">
        <v>47</v>
      </c>
      <c r="C68" s="47"/>
      <c r="D68" s="48" t="s">
        <v>45</v>
      </c>
      <c r="E68" s="49" t="s">
        <v>41</v>
      </c>
      <c r="F68" s="85">
        <v>0.0</v>
      </c>
      <c r="G68" s="51">
        <v>10000.0</v>
      </c>
      <c r="H68" s="52">
        <f t="shared" si="3"/>
        <v>0</v>
      </c>
      <c r="I68" s="53">
        <f t="shared" si="4"/>
        <v>0</v>
      </c>
    </row>
    <row r="69" ht="15.75" customHeight="1">
      <c r="A69" s="108" t="s">
        <v>72</v>
      </c>
      <c r="B69" s="109" t="s">
        <v>47</v>
      </c>
      <c r="C69" s="110"/>
      <c r="D69" s="116" t="s">
        <v>46</v>
      </c>
      <c r="E69" s="112" t="s">
        <v>41</v>
      </c>
      <c r="F69" s="85">
        <v>0.0</v>
      </c>
      <c r="G69" s="113">
        <v>20000.0</v>
      </c>
      <c r="H69" s="114">
        <f t="shared" si="3"/>
        <v>0</v>
      </c>
      <c r="I69" s="115">
        <f t="shared" si="4"/>
        <v>0</v>
      </c>
    </row>
    <row r="70" ht="15.75" customHeight="1">
      <c r="A70" s="63" t="s">
        <v>72</v>
      </c>
      <c r="B70" s="117" t="s">
        <v>47</v>
      </c>
      <c r="C70" s="65"/>
      <c r="D70" s="66" t="s">
        <v>48</v>
      </c>
      <c r="E70" s="67" t="s">
        <v>41</v>
      </c>
      <c r="F70" s="86">
        <v>0.0</v>
      </c>
      <c r="G70" s="69">
        <v>30000.0</v>
      </c>
      <c r="H70" s="70">
        <f t="shared" si="3"/>
        <v>0</v>
      </c>
      <c r="I70" s="71">
        <f t="shared" si="4"/>
        <v>0</v>
      </c>
    </row>
    <row r="71" ht="15.75" customHeight="1"/>
    <row r="72" ht="15.75" customHeight="1"/>
    <row r="73" ht="15.75" customHeight="1">
      <c r="A73" s="20" t="s">
        <v>74</v>
      </c>
    </row>
    <row r="74" ht="15.75" customHeight="1">
      <c r="A74" s="119" t="s">
        <v>26</v>
      </c>
      <c r="B74" s="120"/>
      <c r="C74" s="120"/>
      <c r="D74" s="120"/>
      <c r="E74" s="120"/>
      <c r="F74" s="121"/>
      <c r="G74" s="122" t="s">
        <v>75</v>
      </c>
      <c r="H74" s="120"/>
      <c r="I74" s="123"/>
    </row>
    <row r="75" ht="15.75" customHeight="1">
      <c r="A75" s="93" t="s">
        <v>60</v>
      </c>
      <c r="B75" s="94" t="s">
        <v>29</v>
      </c>
      <c r="C75" s="95" t="s">
        <v>30</v>
      </c>
      <c r="D75" s="67" t="s">
        <v>31</v>
      </c>
      <c r="E75" s="67" t="s">
        <v>32</v>
      </c>
      <c r="F75" s="95" t="s">
        <v>33</v>
      </c>
      <c r="G75" s="96" t="s">
        <v>61</v>
      </c>
      <c r="H75" s="97" t="s">
        <v>35</v>
      </c>
      <c r="I75" s="98" t="s">
        <v>36</v>
      </c>
      <c r="K75" s="33" t="s">
        <v>37</v>
      </c>
      <c r="L75" s="33" t="s">
        <v>115</v>
      </c>
    </row>
    <row r="76" ht="15.75" customHeight="1">
      <c r="A76" s="124" t="s">
        <v>77</v>
      </c>
      <c r="B76" s="125">
        <v>1.0</v>
      </c>
      <c r="C76" s="126" t="s">
        <v>116</v>
      </c>
      <c r="D76" s="127">
        <v>500.0</v>
      </c>
      <c r="E76" s="128" t="s">
        <v>41</v>
      </c>
      <c r="F76" s="84">
        <v>0.0</v>
      </c>
      <c r="G76" s="129">
        <v>500.0</v>
      </c>
      <c r="H76" s="130">
        <f t="shared" ref="H76:H105" si="5">F76*G76</f>
        <v>0</v>
      </c>
      <c r="I76" s="131">
        <f t="shared" ref="I76:I105" si="6">H76*365</f>
        <v>0</v>
      </c>
      <c r="K76" s="43">
        <v>1.0</v>
      </c>
      <c r="L76" s="44">
        <f>sum(I76:I81)</f>
        <v>0</v>
      </c>
    </row>
    <row r="77" ht="15.0" customHeight="1">
      <c r="A77" s="45" t="s">
        <v>77</v>
      </c>
      <c r="B77" s="107">
        <v>1.0</v>
      </c>
      <c r="C77" s="47"/>
      <c r="D77" s="48" t="s">
        <v>42</v>
      </c>
      <c r="E77" s="49" t="s">
        <v>41</v>
      </c>
      <c r="F77" s="85">
        <v>0.0</v>
      </c>
      <c r="G77" s="51">
        <v>1000.0</v>
      </c>
      <c r="H77" s="52">
        <f t="shared" si="5"/>
        <v>0</v>
      </c>
      <c r="I77" s="53">
        <f t="shared" si="6"/>
        <v>0</v>
      </c>
      <c r="K77" s="43">
        <v>2.0</v>
      </c>
      <c r="L77" s="44">
        <f>sum(I82:I87)</f>
        <v>0</v>
      </c>
    </row>
    <row r="78" ht="15.0" customHeight="1">
      <c r="A78" s="132" t="s">
        <v>77</v>
      </c>
      <c r="B78" s="133">
        <v>1.0</v>
      </c>
      <c r="C78" s="134"/>
      <c r="D78" s="135" t="s">
        <v>43</v>
      </c>
      <c r="E78" s="136" t="s">
        <v>41</v>
      </c>
      <c r="F78" s="85">
        <v>0.0</v>
      </c>
      <c r="G78" s="137">
        <v>5000.0</v>
      </c>
      <c r="H78" s="138">
        <f t="shared" si="5"/>
        <v>0</v>
      </c>
      <c r="I78" s="139">
        <f t="shared" si="6"/>
        <v>0</v>
      </c>
      <c r="K78" s="43" t="s">
        <v>44</v>
      </c>
      <c r="L78" s="44">
        <f>sum(I88:I93)</f>
        <v>0</v>
      </c>
    </row>
    <row r="79" ht="15.0" customHeight="1">
      <c r="A79" s="45" t="s">
        <v>77</v>
      </c>
      <c r="B79" s="107">
        <v>1.0</v>
      </c>
      <c r="C79" s="47"/>
      <c r="D79" s="48" t="s">
        <v>45</v>
      </c>
      <c r="E79" s="49" t="s">
        <v>41</v>
      </c>
      <c r="F79" s="85">
        <v>0.0</v>
      </c>
      <c r="G79" s="51">
        <v>10000.0</v>
      </c>
      <c r="H79" s="52">
        <f t="shared" si="5"/>
        <v>0</v>
      </c>
      <c r="I79" s="53">
        <f t="shared" si="6"/>
        <v>0</v>
      </c>
      <c r="K79" s="43">
        <v>3.0</v>
      </c>
      <c r="L79" s="44">
        <f>sum(I94:I99)</f>
        <v>0</v>
      </c>
    </row>
    <row r="80" ht="15.0" customHeight="1">
      <c r="A80" s="132" t="s">
        <v>77</v>
      </c>
      <c r="B80" s="133">
        <v>1.0</v>
      </c>
      <c r="C80" s="134"/>
      <c r="D80" s="140" t="s">
        <v>46</v>
      </c>
      <c r="E80" s="136" t="s">
        <v>41</v>
      </c>
      <c r="F80" s="85">
        <v>0.0</v>
      </c>
      <c r="G80" s="137">
        <v>20000.0</v>
      </c>
      <c r="H80" s="138">
        <f t="shared" si="5"/>
        <v>0</v>
      </c>
      <c r="I80" s="139">
        <f t="shared" si="6"/>
        <v>0</v>
      </c>
      <c r="K80" s="43" t="s">
        <v>47</v>
      </c>
      <c r="L80" s="44">
        <f>sum(I100:I105)</f>
        <v>0</v>
      </c>
    </row>
    <row r="81" ht="15.75" customHeight="1">
      <c r="A81" s="63" t="s">
        <v>77</v>
      </c>
      <c r="B81" s="117">
        <v>1.0</v>
      </c>
      <c r="C81" s="65"/>
      <c r="D81" s="66" t="s">
        <v>48</v>
      </c>
      <c r="E81" s="67" t="s">
        <v>41</v>
      </c>
      <c r="F81" s="86">
        <v>0.0</v>
      </c>
      <c r="G81" s="69">
        <v>30000.0</v>
      </c>
      <c r="H81" s="70">
        <f t="shared" si="5"/>
        <v>0</v>
      </c>
      <c r="I81" s="71">
        <f t="shared" si="6"/>
        <v>0</v>
      </c>
      <c r="K81" s="72" t="s">
        <v>79</v>
      </c>
      <c r="L81" s="118"/>
    </row>
    <row r="82" ht="15.75" customHeight="1">
      <c r="A82" s="124" t="s">
        <v>80</v>
      </c>
      <c r="B82" s="125">
        <v>2.0</v>
      </c>
      <c r="C82" s="126" t="s">
        <v>117</v>
      </c>
      <c r="D82" s="127">
        <v>500.0</v>
      </c>
      <c r="E82" s="128" t="s">
        <v>41</v>
      </c>
      <c r="F82" s="84">
        <v>0.0</v>
      </c>
      <c r="G82" s="129">
        <v>500.0</v>
      </c>
      <c r="H82" s="130">
        <f t="shared" si="5"/>
        <v>0</v>
      </c>
      <c r="I82" s="131">
        <f t="shared" si="6"/>
        <v>0</v>
      </c>
    </row>
    <row r="83" ht="15.0" customHeight="1">
      <c r="A83" s="45" t="s">
        <v>80</v>
      </c>
      <c r="B83" s="107">
        <v>2.0</v>
      </c>
      <c r="C83" s="47"/>
      <c r="D83" s="48" t="s">
        <v>42</v>
      </c>
      <c r="E83" s="49" t="s">
        <v>41</v>
      </c>
      <c r="F83" s="85">
        <v>0.0</v>
      </c>
      <c r="G83" s="51">
        <v>1000.0</v>
      </c>
      <c r="H83" s="52">
        <f t="shared" si="5"/>
        <v>0</v>
      </c>
      <c r="I83" s="53">
        <f t="shared" si="6"/>
        <v>0</v>
      </c>
    </row>
    <row r="84" ht="15.0" customHeight="1">
      <c r="A84" s="132" t="s">
        <v>80</v>
      </c>
      <c r="B84" s="133">
        <v>2.0</v>
      </c>
      <c r="C84" s="134"/>
      <c r="D84" s="135" t="s">
        <v>43</v>
      </c>
      <c r="E84" s="136" t="s">
        <v>41</v>
      </c>
      <c r="F84" s="85">
        <v>0.0</v>
      </c>
      <c r="G84" s="137">
        <v>5000.0</v>
      </c>
      <c r="H84" s="138">
        <f t="shared" si="5"/>
        <v>0</v>
      </c>
      <c r="I84" s="139">
        <f t="shared" si="6"/>
        <v>0</v>
      </c>
    </row>
    <row r="85" ht="15.0" customHeight="1">
      <c r="A85" s="45" t="s">
        <v>80</v>
      </c>
      <c r="B85" s="107">
        <v>2.0</v>
      </c>
      <c r="C85" s="47"/>
      <c r="D85" s="48" t="s">
        <v>45</v>
      </c>
      <c r="E85" s="49" t="s">
        <v>41</v>
      </c>
      <c r="F85" s="85">
        <v>0.0</v>
      </c>
      <c r="G85" s="51">
        <v>10000.0</v>
      </c>
      <c r="H85" s="52">
        <f t="shared" si="5"/>
        <v>0</v>
      </c>
      <c r="I85" s="53">
        <f t="shared" si="6"/>
        <v>0</v>
      </c>
    </row>
    <row r="86" ht="15.0" customHeight="1">
      <c r="A86" s="132" t="s">
        <v>80</v>
      </c>
      <c r="B86" s="133">
        <v>2.0</v>
      </c>
      <c r="C86" s="134"/>
      <c r="D86" s="140" t="s">
        <v>46</v>
      </c>
      <c r="E86" s="136" t="s">
        <v>41</v>
      </c>
      <c r="F86" s="85">
        <v>0.0</v>
      </c>
      <c r="G86" s="137">
        <v>20000.0</v>
      </c>
      <c r="H86" s="138">
        <f t="shared" si="5"/>
        <v>0</v>
      </c>
      <c r="I86" s="139">
        <f t="shared" si="6"/>
        <v>0</v>
      </c>
    </row>
    <row r="87" ht="15.75" customHeight="1">
      <c r="A87" s="63" t="s">
        <v>80</v>
      </c>
      <c r="B87" s="117">
        <v>2.0</v>
      </c>
      <c r="C87" s="65"/>
      <c r="D87" s="66" t="s">
        <v>48</v>
      </c>
      <c r="E87" s="67" t="s">
        <v>41</v>
      </c>
      <c r="F87" s="86">
        <v>0.0</v>
      </c>
      <c r="G87" s="69">
        <v>30000.0</v>
      </c>
      <c r="H87" s="70">
        <f t="shared" si="5"/>
        <v>0</v>
      </c>
      <c r="I87" s="71">
        <f t="shared" si="6"/>
        <v>0</v>
      </c>
    </row>
    <row r="88" ht="15.75" customHeight="1">
      <c r="A88" s="124" t="s">
        <v>82</v>
      </c>
      <c r="B88" s="125" t="s">
        <v>44</v>
      </c>
      <c r="C88" s="126" t="s">
        <v>118</v>
      </c>
      <c r="D88" s="127">
        <v>500.0</v>
      </c>
      <c r="E88" s="128" t="s">
        <v>41</v>
      </c>
      <c r="F88" s="84">
        <v>0.0</v>
      </c>
      <c r="G88" s="129">
        <v>500.0</v>
      </c>
      <c r="H88" s="130">
        <f t="shared" si="5"/>
        <v>0</v>
      </c>
      <c r="I88" s="131">
        <f t="shared" si="6"/>
        <v>0</v>
      </c>
    </row>
    <row r="89" ht="15.0" customHeight="1">
      <c r="A89" s="45" t="s">
        <v>82</v>
      </c>
      <c r="B89" s="107" t="s">
        <v>44</v>
      </c>
      <c r="C89" s="47"/>
      <c r="D89" s="48" t="s">
        <v>42</v>
      </c>
      <c r="E89" s="49" t="s">
        <v>41</v>
      </c>
      <c r="F89" s="85">
        <v>0.0</v>
      </c>
      <c r="G89" s="51">
        <v>1000.0</v>
      </c>
      <c r="H89" s="52">
        <f t="shared" si="5"/>
        <v>0</v>
      </c>
      <c r="I89" s="53">
        <f t="shared" si="6"/>
        <v>0</v>
      </c>
    </row>
    <row r="90" ht="15.0" customHeight="1">
      <c r="A90" s="132" t="s">
        <v>82</v>
      </c>
      <c r="B90" s="133" t="s">
        <v>44</v>
      </c>
      <c r="C90" s="134"/>
      <c r="D90" s="135" t="s">
        <v>43</v>
      </c>
      <c r="E90" s="136" t="s">
        <v>41</v>
      </c>
      <c r="F90" s="85">
        <v>0.0</v>
      </c>
      <c r="G90" s="137">
        <v>5000.0</v>
      </c>
      <c r="H90" s="138">
        <f t="shared" si="5"/>
        <v>0</v>
      </c>
      <c r="I90" s="139">
        <f t="shared" si="6"/>
        <v>0</v>
      </c>
    </row>
    <row r="91" ht="15.0" customHeight="1">
      <c r="A91" s="45" t="s">
        <v>82</v>
      </c>
      <c r="B91" s="107" t="s">
        <v>44</v>
      </c>
      <c r="C91" s="47"/>
      <c r="D91" s="48" t="s">
        <v>45</v>
      </c>
      <c r="E91" s="49" t="s">
        <v>41</v>
      </c>
      <c r="F91" s="85">
        <v>0.0</v>
      </c>
      <c r="G91" s="51">
        <v>10000.0</v>
      </c>
      <c r="H91" s="52">
        <f t="shared" si="5"/>
        <v>0</v>
      </c>
      <c r="I91" s="53">
        <f t="shared" si="6"/>
        <v>0</v>
      </c>
    </row>
    <row r="92" ht="15.0" customHeight="1">
      <c r="A92" s="132" t="s">
        <v>82</v>
      </c>
      <c r="B92" s="133" t="s">
        <v>44</v>
      </c>
      <c r="C92" s="134"/>
      <c r="D92" s="140" t="s">
        <v>46</v>
      </c>
      <c r="E92" s="136" t="s">
        <v>41</v>
      </c>
      <c r="F92" s="85">
        <v>0.0</v>
      </c>
      <c r="G92" s="137">
        <v>20000.0</v>
      </c>
      <c r="H92" s="138">
        <f t="shared" si="5"/>
        <v>0</v>
      </c>
      <c r="I92" s="139">
        <f t="shared" si="6"/>
        <v>0</v>
      </c>
    </row>
    <row r="93" ht="15.75" customHeight="1">
      <c r="A93" s="63" t="s">
        <v>82</v>
      </c>
      <c r="B93" s="117" t="s">
        <v>44</v>
      </c>
      <c r="C93" s="65"/>
      <c r="D93" s="66" t="s">
        <v>48</v>
      </c>
      <c r="E93" s="67" t="s">
        <v>41</v>
      </c>
      <c r="F93" s="86">
        <v>0.0</v>
      </c>
      <c r="G93" s="69">
        <v>30000.0</v>
      </c>
      <c r="H93" s="70">
        <f t="shared" si="5"/>
        <v>0</v>
      </c>
      <c r="I93" s="71">
        <f t="shared" si="6"/>
        <v>0</v>
      </c>
    </row>
    <row r="94" ht="15.75" customHeight="1">
      <c r="A94" s="124" t="s">
        <v>84</v>
      </c>
      <c r="B94" s="125">
        <v>3.0</v>
      </c>
      <c r="C94" s="126" t="s">
        <v>119</v>
      </c>
      <c r="D94" s="127">
        <v>500.0</v>
      </c>
      <c r="E94" s="128" t="s">
        <v>41</v>
      </c>
      <c r="F94" s="84">
        <v>0.0</v>
      </c>
      <c r="G94" s="129">
        <v>500.0</v>
      </c>
      <c r="H94" s="130">
        <f t="shared" si="5"/>
        <v>0</v>
      </c>
      <c r="I94" s="131">
        <f t="shared" si="6"/>
        <v>0</v>
      </c>
    </row>
    <row r="95" ht="15.75" customHeight="1">
      <c r="A95" s="45" t="s">
        <v>84</v>
      </c>
      <c r="B95" s="107">
        <v>3.0</v>
      </c>
      <c r="C95" s="47"/>
      <c r="D95" s="48" t="s">
        <v>42</v>
      </c>
      <c r="E95" s="49" t="s">
        <v>41</v>
      </c>
      <c r="F95" s="85">
        <v>0.0</v>
      </c>
      <c r="G95" s="51">
        <v>1000.0</v>
      </c>
      <c r="H95" s="52">
        <f t="shared" si="5"/>
        <v>0</v>
      </c>
      <c r="I95" s="53">
        <f t="shared" si="6"/>
        <v>0</v>
      </c>
    </row>
    <row r="96" ht="15.75" customHeight="1">
      <c r="A96" s="132" t="s">
        <v>84</v>
      </c>
      <c r="B96" s="133">
        <v>3.0</v>
      </c>
      <c r="C96" s="134"/>
      <c r="D96" s="135" t="s">
        <v>43</v>
      </c>
      <c r="E96" s="136" t="s">
        <v>41</v>
      </c>
      <c r="F96" s="85">
        <v>0.0</v>
      </c>
      <c r="G96" s="137">
        <v>5000.0</v>
      </c>
      <c r="H96" s="138">
        <f t="shared" si="5"/>
        <v>0</v>
      </c>
      <c r="I96" s="139">
        <f t="shared" si="6"/>
        <v>0</v>
      </c>
    </row>
    <row r="97" ht="15.75" customHeight="1">
      <c r="A97" s="45" t="s">
        <v>84</v>
      </c>
      <c r="B97" s="107">
        <v>3.0</v>
      </c>
      <c r="C97" s="47"/>
      <c r="D97" s="48" t="s">
        <v>45</v>
      </c>
      <c r="E97" s="49" t="s">
        <v>41</v>
      </c>
      <c r="F97" s="85">
        <v>0.0</v>
      </c>
      <c r="G97" s="51">
        <v>10000.0</v>
      </c>
      <c r="H97" s="52">
        <f t="shared" si="5"/>
        <v>0</v>
      </c>
      <c r="I97" s="53">
        <f t="shared" si="6"/>
        <v>0</v>
      </c>
    </row>
    <row r="98" ht="15.75" customHeight="1">
      <c r="A98" s="132" t="s">
        <v>84</v>
      </c>
      <c r="B98" s="133">
        <v>3.0</v>
      </c>
      <c r="C98" s="134"/>
      <c r="D98" s="140" t="s">
        <v>46</v>
      </c>
      <c r="E98" s="136" t="s">
        <v>41</v>
      </c>
      <c r="F98" s="85">
        <v>0.0</v>
      </c>
      <c r="G98" s="137">
        <v>20000.0</v>
      </c>
      <c r="H98" s="138">
        <f t="shared" si="5"/>
        <v>0</v>
      </c>
      <c r="I98" s="139">
        <f t="shared" si="6"/>
        <v>0</v>
      </c>
    </row>
    <row r="99" ht="15.75" customHeight="1">
      <c r="A99" s="63" t="s">
        <v>84</v>
      </c>
      <c r="B99" s="117">
        <v>3.0</v>
      </c>
      <c r="C99" s="65"/>
      <c r="D99" s="66" t="s">
        <v>48</v>
      </c>
      <c r="E99" s="67" t="s">
        <v>41</v>
      </c>
      <c r="F99" s="86">
        <v>0.0</v>
      </c>
      <c r="G99" s="69">
        <v>30000.0</v>
      </c>
      <c r="H99" s="70">
        <f t="shared" si="5"/>
        <v>0</v>
      </c>
      <c r="I99" s="71">
        <f t="shared" si="6"/>
        <v>0</v>
      </c>
    </row>
    <row r="100" ht="15.75" customHeight="1">
      <c r="A100" s="124" t="s">
        <v>86</v>
      </c>
      <c r="B100" s="125" t="s">
        <v>47</v>
      </c>
      <c r="C100" s="126" t="s">
        <v>120</v>
      </c>
      <c r="D100" s="127">
        <v>500.0</v>
      </c>
      <c r="E100" s="128" t="s">
        <v>41</v>
      </c>
      <c r="F100" s="84">
        <v>0.0</v>
      </c>
      <c r="G100" s="129">
        <v>500.0</v>
      </c>
      <c r="H100" s="130">
        <f t="shared" si="5"/>
        <v>0</v>
      </c>
      <c r="I100" s="131">
        <f t="shared" si="6"/>
        <v>0</v>
      </c>
    </row>
    <row r="101" ht="15.75" customHeight="1">
      <c r="A101" s="45" t="s">
        <v>86</v>
      </c>
      <c r="B101" s="107" t="s">
        <v>47</v>
      </c>
      <c r="C101" s="47"/>
      <c r="D101" s="48" t="s">
        <v>42</v>
      </c>
      <c r="E101" s="49" t="s">
        <v>41</v>
      </c>
      <c r="F101" s="85">
        <v>0.0</v>
      </c>
      <c r="G101" s="51">
        <v>1000.0</v>
      </c>
      <c r="H101" s="52">
        <f t="shared" si="5"/>
        <v>0</v>
      </c>
      <c r="I101" s="53">
        <f t="shared" si="6"/>
        <v>0</v>
      </c>
    </row>
    <row r="102" ht="15.75" customHeight="1">
      <c r="A102" s="132" t="s">
        <v>86</v>
      </c>
      <c r="B102" s="133" t="s">
        <v>47</v>
      </c>
      <c r="C102" s="134"/>
      <c r="D102" s="135" t="s">
        <v>43</v>
      </c>
      <c r="E102" s="136" t="s">
        <v>41</v>
      </c>
      <c r="F102" s="85">
        <v>0.0</v>
      </c>
      <c r="G102" s="137">
        <v>5000.0</v>
      </c>
      <c r="H102" s="138">
        <f t="shared" si="5"/>
        <v>0</v>
      </c>
      <c r="I102" s="139">
        <f t="shared" si="6"/>
        <v>0</v>
      </c>
    </row>
    <row r="103" ht="15.75" customHeight="1">
      <c r="A103" s="45" t="s">
        <v>86</v>
      </c>
      <c r="B103" s="107" t="s">
        <v>47</v>
      </c>
      <c r="C103" s="47"/>
      <c r="D103" s="48" t="s">
        <v>45</v>
      </c>
      <c r="E103" s="49" t="s">
        <v>41</v>
      </c>
      <c r="F103" s="85">
        <v>0.0</v>
      </c>
      <c r="G103" s="51">
        <v>10000.0</v>
      </c>
      <c r="H103" s="52">
        <f t="shared" si="5"/>
        <v>0</v>
      </c>
      <c r="I103" s="53">
        <f t="shared" si="6"/>
        <v>0</v>
      </c>
    </row>
    <row r="104" ht="15.75" customHeight="1">
      <c r="A104" s="132" t="s">
        <v>86</v>
      </c>
      <c r="B104" s="133" t="s">
        <v>47</v>
      </c>
      <c r="C104" s="134"/>
      <c r="D104" s="140" t="s">
        <v>46</v>
      </c>
      <c r="E104" s="136" t="s">
        <v>41</v>
      </c>
      <c r="F104" s="85">
        <v>0.0</v>
      </c>
      <c r="G104" s="137">
        <v>20000.0</v>
      </c>
      <c r="H104" s="138">
        <f t="shared" si="5"/>
        <v>0</v>
      </c>
      <c r="I104" s="139">
        <f t="shared" si="6"/>
        <v>0</v>
      </c>
    </row>
    <row r="105" ht="15.75" customHeight="1">
      <c r="A105" s="63" t="s">
        <v>86</v>
      </c>
      <c r="B105" s="117" t="s">
        <v>47</v>
      </c>
      <c r="C105" s="65"/>
      <c r="D105" s="66" t="s">
        <v>48</v>
      </c>
      <c r="E105" s="67" t="s">
        <v>41</v>
      </c>
      <c r="F105" s="86">
        <v>0.0</v>
      </c>
      <c r="G105" s="69">
        <v>30000.0</v>
      </c>
      <c r="H105" s="70">
        <f t="shared" si="5"/>
        <v>0</v>
      </c>
      <c r="I105" s="71">
        <f t="shared" si="6"/>
        <v>0</v>
      </c>
    </row>
    <row r="106" ht="15.75" customHeight="1"/>
    <row r="107" ht="15.75" customHeight="1"/>
    <row r="108" ht="15.75" customHeight="1">
      <c r="A108" s="20" t="s">
        <v>88</v>
      </c>
    </row>
    <row r="109" ht="15.75" customHeight="1">
      <c r="A109" s="141" t="s">
        <v>26</v>
      </c>
      <c r="B109" s="142"/>
      <c r="C109" s="142"/>
      <c r="D109" s="142"/>
      <c r="E109" s="142"/>
      <c r="F109" s="143"/>
      <c r="G109" s="144" t="s">
        <v>89</v>
      </c>
      <c r="H109" s="142"/>
      <c r="I109" s="145"/>
    </row>
    <row r="110" ht="15.75" customHeight="1">
      <c r="A110" s="93" t="s">
        <v>60</v>
      </c>
      <c r="B110" s="94" t="s">
        <v>29</v>
      </c>
      <c r="C110" s="95" t="s">
        <v>30</v>
      </c>
      <c r="D110" s="67" t="s">
        <v>31</v>
      </c>
      <c r="E110" s="67" t="s">
        <v>32</v>
      </c>
      <c r="F110" s="95" t="s">
        <v>33</v>
      </c>
      <c r="G110" s="96" t="s">
        <v>61</v>
      </c>
      <c r="H110" s="97" t="s">
        <v>35</v>
      </c>
      <c r="I110" s="98" t="s">
        <v>36</v>
      </c>
      <c r="K110" s="33" t="s">
        <v>37</v>
      </c>
      <c r="L110" s="33" t="s">
        <v>121</v>
      </c>
    </row>
    <row r="111" ht="15.75" customHeight="1">
      <c r="A111" s="146" t="s">
        <v>91</v>
      </c>
      <c r="B111" s="147">
        <v>1.0</v>
      </c>
      <c r="C111" s="148" t="s">
        <v>122</v>
      </c>
      <c r="D111" s="149">
        <v>500.0</v>
      </c>
      <c r="E111" s="150" t="s">
        <v>41</v>
      </c>
      <c r="F111" s="84">
        <v>0.0</v>
      </c>
      <c r="G111" s="151">
        <v>500.0</v>
      </c>
      <c r="H111" s="152">
        <f t="shared" ref="H111:H140" si="7">F111*G111</f>
        <v>0</v>
      </c>
      <c r="I111" s="153">
        <f t="shared" ref="I111:I140" si="8">H111*365</f>
        <v>0</v>
      </c>
      <c r="K111" s="43">
        <v>1.0</v>
      </c>
      <c r="L111" s="44">
        <f>sum(I111:I116)</f>
        <v>0</v>
      </c>
    </row>
    <row r="112" ht="15.75" customHeight="1">
      <c r="A112" s="45" t="s">
        <v>91</v>
      </c>
      <c r="B112" s="107">
        <v>1.0</v>
      </c>
      <c r="C112" s="47"/>
      <c r="D112" s="48" t="s">
        <v>42</v>
      </c>
      <c r="E112" s="49" t="s">
        <v>41</v>
      </c>
      <c r="F112" s="85">
        <v>0.0</v>
      </c>
      <c r="G112" s="51">
        <v>1000.0</v>
      </c>
      <c r="H112" s="52">
        <f t="shared" si="7"/>
        <v>0</v>
      </c>
      <c r="I112" s="53">
        <f t="shared" si="8"/>
        <v>0</v>
      </c>
      <c r="K112" s="43">
        <v>2.0</v>
      </c>
      <c r="L112" s="44">
        <f>sum(I117:I122)</f>
        <v>0</v>
      </c>
    </row>
    <row r="113" ht="15.75" customHeight="1">
      <c r="A113" s="146" t="s">
        <v>91</v>
      </c>
      <c r="B113" s="154">
        <v>1.0</v>
      </c>
      <c r="C113" s="155"/>
      <c r="D113" s="156" t="s">
        <v>43</v>
      </c>
      <c r="E113" s="157" t="s">
        <v>41</v>
      </c>
      <c r="F113" s="85">
        <v>0.0</v>
      </c>
      <c r="G113" s="158">
        <v>5000.0</v>
      </c>
      <c r="H113" s="159">
        <f t="shared" si="7"/>
        <v>0</v>
      </c>
      <c r="I113" s="160">
        <f t="shared" si="8"/>
        <v>0</v>
      </c>
      <c r="K113" s="43" t="s">
        <v>44</v>
      </c>
      <c r="L113" s="44">
        <f>sum(I123:I128)</f>
        <v>0</v>
      </c>
    </row>
    <row r="114" ht="15.75" customHeight="1">
      <c r="A114" s="45" t="s">
        <v>91</v>
      </c>
      <c r="B114" s="107">
        <v>1.0</v>
      </c>
      <c r="C114" s="47"/>
      <c r="D114" s="48" t="s">
        <v>45</v>
      </c>
      <c r="E114" s="49" t="s">
        <v>41</v>
      </c>
      <c r="F114" s="85">
        <v>0.0</v>
      </c>
      <c r="G114" s="51">
        <v>10000.0</v>
      </c>
      <c r="H114" s="52">
        <f t="shared" si="7"/>
        <v>0</v>
      </c>
      <c r="I114" s="53">
        <f t="shared" si="8"/>
        <v>0</v>
      </c>
      <c r="K114" s="43">
        <v>3.0</v>
      </c>
      <c r="L114" s="44">
        <f>sum(I129:I134)</f>
        <v>0</v>
      </c>
    </row>
    <row r="115" ht="15.75" customHeight="1">
      <c r="A115" s="146" t="s">
        <v>91</v>
      </c>
      <c r="B115" s="154">
        <v>1.0</v>
      </c>
      <c r="C115" s="155"/>
      <c r="D115" s="161" t="s">
        <v>46</v>
      </c>
      <c r="E115" s="157" t="s">
        <v>41</v>
      </c>
      <c r="F115" s="85">
        <v>0.0</v>
      </c>
      <c r="G115" s="158">
        <v>20000.0</v>
      </c>
      <c r="H115" s="159">
        <f t="shared" si="7"/>
        <v>0</v>
      </c>
      <c r="I115" s="160">
        <f t="shared" si="8"/>
        <v>0</v>
      </c>
      <c r="K115" s="43" t="s">
        <v>47</v>
      </c>
      <c r="L115" s="44">
        <f>sum(I135:I140)</f>
        <v>0</v>
      </c>
    </row>
    <row r="116" ht="15.75" customHeight="1">
      <c r="A116" s="45" t="s">
        <v>91</v>
      </c>
      <c r="B116" s="117">
        <v>1.0</v>
      </c>
      <c r="C116" s="65"/>
      <c r="D116" s="66" t="s">
        <v>48</v>
      </c>
      <c r="E116" s="67" t="s">
        <v>41</v>
      </c>
      <c r="F116" s="86">
        <v>0.0</v>
      </c>
      <c r="G116" s="69">
        <v>30000.0</v>
      </c>
      <c r="H116" s="70">
        <f t="shared" si="7"/>
        <v>0</v>
      </c>
      <c r="I116" s="71">
        <f t="shared" si="8"/>
        <v>0</v>
      </c>
      <c r="K116" s="72" t="s">
        <v>93</v>
      </c>
      <c r="L116" s="73">
        <f>sum(L111:L115)</f>
        <v>0</v>
      </c>
    </row>
    <row r="117" ht="15.75" customHeight="1">
      <c r="A117" s="146" t="s">
        <v>94</v>
      </c>
      <c r="B117" s="147">
        <v>2.0</v>
      </c>
      <c r="C117" s="148" t="s">
        <v>123</v>
      </c>
      <c r="D117" s="149">
        <v>500.0</v>
      </c>
      <c r="E117" s="150" t="s">
        <v>41</v>
      </c>
      <c r="F117" s="84">
        <v>0.0</v>
      </c>
      <c r="G117" s="151">
        <v>500.0</v>
      </c>
      <c r="H117" s="152">
        <f t="shared" si="7"/>
        <v>0</v>
      </c>
      <c r="I117" s="153">
        <f t="shared" si="8"/>
        <v>0</v>
      </c>
    </row>
    <row r="118" ht="15.75" customHeight="1">
      <c r="A118" s="45" t="s">
        <v>94</v>
      </c>
      <c r="B118" s="107">
        <v>2.0</v>
      </c>
      <c r="C118" s="47"/>
      <c r="D118" s="48" t="s">
        <v>42</v>
      </c>
      <c r="E118" s="49" t="s">
        <v>41</v>
      </c>
      <c r="F118" s="85">
        <v>0.0</v>
      </c>
      <c r="G118" s="51">
        <v>1000.0</v>
      </c>
      <c r="H118" s="52">
        <f t="shared" si="7"/>
        <v>0</v>
      </c>
      <c r="I118" s="53">
        <f t="shared" si="8"/>
        <v>0</v>
      </c>
    </row>
    <row r="119" ht="15.75" customHeight="1">
      <c r="A119" s="146" t="s">
        <v>94</v>
      </c>
      <c r="B119" s="154">
        <v>2.0</v>
      </c>
      <c r="C119" s="155"/>
      <c r="D119" s="156" t="s">
        <v>43</v>
      </c>
      <c r="E119" s="157" t="s">
        <v>41</v>
      </c>
      <c r="F119" s="85">
        <v>0.0</v>
      </c>
      <c r="G119" s="158">
        <v>5000.0</v>
      </c>
      <c r="H119" s="159">
        <f t="shared" si="7"/>
        <v>0</v>
      </c>
      <c r="I119" s="160">
        <f t="shared" si="8"/>
        <v>0</v>
      </c>
    </row>
    <row r="120" ht="15.75" customHeight="1">
      <c r="A120" s="45" t="s">
        <v>94</v>
      </c>
      <c r="B120" s="107">
        <v>2.0</v>
      </c>
      <c r="C120" s="47"/>
      <c r="D120" s="48" t="s">
        <v>45</v>
      </c>
      <c r="E120" s="49" t="s">
        <v>41</v>
      </c>
      <c r="F120" s="85">
        <v>0.0</v>
      </c>
      <c r="G120" s="51">
        <v>10000.0</v>
      </c>
      <c r="H120" s="52">
        <f t="shared" si="7"/>
        <v>0</v>
      </c>
      <c r="I120" s="53">
        <f t="shared" si="8"/>
        <v>0</v>
      </c>
    </row>
    <row r="121" ht="15.75" customHeight="1">
      <c r="A121" s="146" t="s">
        <v>94</v>
      </c>
      <c r="B121" s="154">
        <v>2.0</v>
      </c>
      <c r="C121" s="155"/>
      <c r="D121" s="161" t="s">
        <v>46</v>
      </c>
      <c r="E121" s="157" t="s">
        <v>41</v>
      </c>
      <c r="F121" s="85">
        <v>0.0</v>
      </c>
      <c r="G121" s="158">
        <v>20000.0</v>
      </c>
      <c r="H121" s="159">
        <f t="shared" si="7"/>
        <v>0</v>
      </c>
      <c r="I121" s="160">
        <f t="shared" si="8"/>
        <v>0</v>
      </c>
    </row>
    <row r="122" ht="15.75" customHeight="1">
      <c r="A122" s="45" t="s">
        <v>94</v>
      </c>
      <c r="B122" s="117">
        <v>2.0</v>
      </c>
      <c r="C122" s="65"/>
      <c r="D122" s="66" t="s">
        <v>48</v>
      </c>
      <c r="E122" s="67" t="s">
        <v>41</v>
      </c>
      <c r="F122" s="86">
        <v>0.0</v>
      </c>
      <c r="G122" s="69">
        <v>30000.0</v>
      </c>
      <c r="H122" s="70">
        <f t="shared" si="7"/>
        <v>0</v>
      </c>
      <c r="I122" s="71">
        <f t="shared" si="8"/>
        <v>0</v>
      </c>
    </row>
    <row r="123" ht="15.75" customHeight="1">
      <c r="A123" s="146" t="s">
        <v>96</v>
      </c>
      <c r="B123" s="147" t="s">
        <v>44</v>
      </c>
      <c r="C123" s="148" t="s">
        <v>124</v>
      </c>
      <c r="D123" s="149">
        <v>500.0</v>
      </c>
      <c r="E123" s="150" t="s">
        <v>41</v>
      </c>
      <c r="F123" s="84">
        <v>0.0</v>
      </c>
      <c r="G123" s="151">
        <v>500.0</v>
      </c>
      <c r="H123" s="152">
        <f t="shared" si="7"/>
        <v>0</v>
      </c>
      <c r="I123" s="153">
        <f t="shared" si="8"/>
        <v>0</v>
      </c>
    </row>
    <row r="124" ht="15.75" customHeight="1">
      <c r="A124" s="45" t="s">
        <v>96</v>
      </c>
      <c r="B124" s="107" t="s">
        <v>44</v>
      </c>
      <c r="C124" s="47"/>
      <c r="D124" s="48" t="s">
        <v>42</v>
      </c>
      <c r="E124" s="49" t="s">
        <v>41</v>
      </c>
      <c r="F124" s="85">
        <v>0.0</v>
      </c>
      <c r="G124" s="51">
        <v>1000.0</v>
      </c>
      <c r="H124" s="52">
        <f t="shared" si="7"/>
        <v>0</v>
      </c>
      <c r="I124" s="53">
        <f t="shared" si="8"/>
        <v>0</v>
      </c>
    </row>
    <row r="125" ht="15.75" customHeight="1">
      <c r="A125" s="146" t="s">
        <v>96</v>
      </c>
      <c r="B125" s="154" t="s">
        <v>44</v>
      </c>
      <c r="C125" s="155"/>
      <c r="D125" s="156" t="s">
        <v>43</v>
      </c>
      <c r="E125" s="157" t="s">
        <v>41</v>
      </c>
      <c r="F125" s="85">
        <v>0.0</v>
      </c>
      <c r="G125" s="158">
        <v>5000.0</v>
      </c>
      <c r="H125" s="159">
        <f t="shared" si="7"/>
        <v>0</v>
      </c>
      <c r="I125" s="160">
        <f t="shared" si="8"/>
        <v>0</v>
      </c>
    </row>
    <row r="126" ht="15.75" customHeight="1">
      <c r="A126" s="45" t="s">
        <v>96</v>
      </c>
      <c r="B126" s="107" t="s">
        <v>44</v>
      </c>
      <c r="C126" s="47"/>
      <c r="D126" s="48" t="s">
        <v>45</v>
      </c>
      <c r="E126" s="49" t="s">
        <v>41</v>
      </c>
      <c r="F126" s="85">
        <v>0.0</v>
      </c>
      <c r="G126" s="51">
        <v>10000.0</v>
      </c>
      <c r="H126" s="52">
        <f t="shared" si="7"/>
        <v>0</v>
      </c>
      <c r="I126" s="53">
        <f t="shared" si="8"/>
        <v>0</v>
      </c>
    </row>
    <row r="127" ht="15.75" customHeight="1">
      <c r="A127" s="146" t="s">
        <v>96</v>
      </c>
      <c r="B127" s="154" t="s">
        <v>44</v>
      </c>
      <c r="C127" s="155"/>
      <c r="D127" s="161" t="s">
        <v>46</v>
      </c>
      <c r="E127" s="157" t="s">
        <v>41</v>
      </c>
      <c r="F127" s="85">
        <v>0.0</v>
      </c>
      <c r="G127" s="158">
        <v>20000.0</v>
      </c>
      <c r="H127" s="159">
        <f t="shared" si="7"/>
        <v>0</v>
      </c>
      <c r="I127" s="160">
        <f t="shared" si="8"/>
        <v>0</v>
      </c>
    </row>
    <row r="128" ht="15.75" customHeight="1">
      <c r="A128" s="45" t="s">
        <v>96</v>
      </c>
      <c r="B128" s="117" t="s">
        <v>44</v>
      </c>
      <c r="C128" s="65"/>
      <c r="D128" s="66" t="s">
        <v>48</v>
      </c>
      <c r="E128" s="67" t="s">
        <v>41</v>
      </c>
      <c r="F128" s="86">
        <v>0.0</v>
      </c>
      <c r="G128" s="69">
        <v>30000.0</v>
      </c>
      <c r="H128" s="70">
        <f t="shared" si="7"/>
        <v>0</v>
      </c>
      <c r="I128" s="71">
        <f t="shared" si="8"/>
        <v>0</v>
      </c>
    </row>
    <row r="129" ht="15.75" customHeight="1">
      <c r="A129" s="146" t="s">
        <v>98</v>
      </c>
      <c r="B129" s="147">
        <v>3.0</v>
      </c>
      <c r="C129" s="148" t="s">
        <v>125</v>
      </c>
      <c r="D129" s="149">
        <v>500.0</v>
      </c>
      <c r="E129" s="150" t="s">
        <v>41</v>
      </c>
      <c r="F129" s="84">
        <v>0.0</v>
      </c>
      <c r="G129" s="151">
        <v>500.0</v>
      </c>
      <c r="H129" s="152">
        <f t="shared" si="7"/>
        <v>0</v>
      </c>
      <c r="I129" s="153">
        <f t="shared" si="8"/>
        <v>0</v>
      </c>
    </row>
    <row r="130" ht="15.75" customHeight="1">
      <c r="A130" s="45" t="s">
        <v>98</v>
      </c>
      <c r="B130" s="107">
        <v>3.0</v>
      </c>
      <c r="C130" s="47"/>
      <c r="D130" s="48" t="s">
        <v>42</v>
      </c>
      <c r="E130" s="49" t="s">
        <v>41</v>
      </c>
      <c r="F130" s="85">
        <v>0.0</v>
      </c>
      <c r="G130" s="51">
        <v>1000.0</v>
      </c>
      <c r="H130" s="52">
        <f t="shared" si="7"/>
        <v>0</v>
      </c>
      <c r="I130" s="53">
        <f t="shared" si="8"/>
        <v>0</v>
      </c>
    </row>
    <row r="131" ht="15.75" customHeight="1">
      <c r="A131" s="146" t="s">
        <v>98</v>
      </c>
      <c r="B131" s="154">
        <v>3.0</v>
      </c>
      <c r="C131" s="155"/>
      <c r="D131" s="156" t="s">
        <v>43</v>
      </c>
      <c r="E131" s="157" t="s">
        <v>41</v>
      </c>
      <c r="F131" s="85">
        <v>0.0</v>
      </c>
      <c r="G131" s="158">
        <v>5000.0</v>
      </c>
      <c r="H131" s="159">
        <f t="shared" si="7"/>
        <v>0</v>
      </c>
      <c r="I131" s="160">
        <f t="shared" si="8"/>
        <v>0</v>
      </c>
    </row>
    <row r="132" ht="15.75" customHeight="1">
      <c r="A132" s="45" t="s">
        <v>98</v>
      </c>
      <c r="B132" s="107">
        <v>3.0</v>
      </c>
      <c r="C132" s="47"/>
      <c r="D132" s="48" t="s">
        <v>45</v>
      </c>
      <c r="E132" s="49" t="s">
        <v>41</v>
      </c>
      <c r="F132" s="85">
        <v>0.0</v>
      </c>
      <c r="G132" s="51">
        <v>10000.0</v>
      </c>
      <c r="H132" s="52">
        <f t="shared" si="7"/>
        <v>0</v>
      </c>
      <c r="I132" s="53">
        <f t="shared" si="8"/>
        <v>0</v>
      </c>
    </row>
    <row r="133" ht="15.75" customHeight="1">
      <c r="A133" s="146" t="s">
        <v>98</v>
      </c>
      <c r="B133" s="154">
        <v>3.0</v>
      </c>
      <c r="C133" s="155"/>
      <c r="D133" s="161" t="s">
        <v>46</v>
      </c>
      <c r="E133" s="157" t="s">
        <v>41</v>
      </c>
      <c r="F133" s="85">
        <v>0.0</v>
      </c>
      <c r="G133" s="158">
        <v>20000.0</v>
      </c>
      <c r="H133" s="159">
        <f t="shared" si="7"/>
        <v>0</v>
      </c>
      <c r="I133" s="160">
        <f t="shared" si="8"/>
        <v>0</v>
      </c>
    </row>
    <row r="134" ht="15.75" customHeight="1">
      <c r="A134" s="45" t="s">
        <v>98</v>
      </c>
      <c r="B134" s="117">
        <v>3.0</v>
      </c>
      <c r="C134" s="65"/>
      <c r="D134" s="66" t="s">
        <v>48</v>
      </c>
      <c r="E134" s="67" t="s">
        <v>41</v>
      </c>
      <c r="F134" s="86">
        <v>0.0</v>
      </c>
      <c r="G134" s="69">
        <v>30000.0</v>
      </c>
      <c r="H134" s="70">
        <f t="shared" si="7"/>
        <v>0</v>
      </c>
      <c r="I134" s="71">
        <f t="shared" si="8"/>
        <v>0</v>
      </c>
    </row>
    <row r="135" ht="15.75" customHeight="1">
      <c r="A135" s="146" t="s">
        <v>100</v>
      </c>
      <c r="B135" s="147" t="s">
        <v>47</v>
      </c>
      <c r="C135" s="148" t="s">
        <v>126</v>
      </c>
      <c r="D135" s="149">
        <v>500.0</v>
      </c>
      <c r="E135" s="150" t="s">
        <v>41</v>
      </c>
      <c r="F135" s="84">
        <v>0.0</v>
      </c>
      <c r="G135" s="151">
        <v>500.0</v>
      </c>
      <c r="H135" s="152">
        <f t="shared" si="7"/>
        <v>0</v>
      </c>
      <c r="I135" s="153">
        <f t="shared" si="8"/>
        <v>0</v>
      </c>
    </row>
    <row r="136" ht="15.75" customHeight="1">
      <c r="A136" s="45" t="s">
        <v>100</v>
      </c>
      <c r="B136" s="107" t="s">
        <v>47</v>
      </c>
      <c r="C136" s="47"/>
      <c r="D136" s="48" t="s">
        <v>42</v>
      </c>
      <c r="E136" s="49" t="s">
        <v>41</v>
      </c>
      <c r="F136" s="85">
        <v>0.0</v>
      </c>
      <c r="G136" s="51">
        <v>1000.0</v>
      </c>
      <c r="H136" s="52">
        <f t="shared" si="7"/>
        <v>0</v>
      </c>
      <c r="I136" s="53">
        <f t="shared" si="8"/>
        <v>0</v>
      </c>
    </row>
    <row r="137" ht="15.75" customHeight="1">
      <c r="A137" s="146" t="s">
        <v>100</v>
      </c>
      <c r="B137" s="154" t="s">
        <v>47</v>
      </c>
      <c r="C137" s="155"/>
      <c r="D137" s="156" t="s">
        <v>43</v>
      </c>
      <c r="E137" s="157" t="s">
        <v>41</v>
      </c>
      <c r="F137" s="85">
        <v>0.0</v>
      </c>
      <c r="G137" s="158">
        <v>5000.0</v>
      </c>
      <c r="H137" s="159">
        <f t="shared" si="7"/>
        <v>0</v>
      </c>
      <c r="I137" s="160">
        <f t="shared" si="8"/>
        <v>0</v>
      </c>
    </row>
    <row r="138" ht="15.75" customHeight="1">
      <c r="A138" s="45" t="s">
        <v>100</v>
      </c>
      <c r="B138" s="107" t="s">
        <v>47</v>
      </c>
      <c r="C138" s="47"/>
      <c r="D138" s="48" t="s">
        <v>45</v>
      </c>
      <c r="E138" s="49" t="s">
        <v>41</v>
      </c>
      <c r="F138" s="85">
        <v>0.0</v>
      </c>
      <c r="G138" s="51">
        <v>10000.0</v>
      </c>
      <c r="H138" s="52">
        <f t="shared" si="7"/>
        <v>0</v>
      </c>
      <c r="I138" s="53">
        <f t="shared" si="8"/>
        <v>0</v>
      </c>
    </row>
    <row r="139" ht="15.75" customHeight="1">
      <c r="A139" s="146" t="s">
        <v>100</v>
      </c>
      <c r="B139" s="154" t="s">
        <v>47</v>
      </c>
      <c r="C139" s="155"/>
      <c r="D139" s="161" t="s">
        <v>46</v>
      </c>
      <c r="E139" s="157" t="s">
        <v>41</v>
      </c>
      <c r="F139" s="85">
        <v>0.0</v>
      </c>
      <c r="G139" s="158">
        <v>20000.0</v>
      </c>
      <c r="H139" s="159">
        <f t="shared" si="7"/>
        <v>0</v>
      </c>
      <c r="I139" s="160">
        <f t="shared" si="8"/>
        <v>0</v>
      </c>
    </row>
    <row r="140" ht="15.75" customHeight="1">
      <c r="A140" s="45" t="s">
        <v>100</v>
      </c>
      <c r="B140" s="117" t="s">
        <v>47</v>
      </c>
      <c r="C140" s="65"/>
      <c r="D140" s="66" t="s">
        <v>48</v>
      </c>
      <c r="E140" s="67" t="s">
        <v>41</v>
      </c>
      <c r="F140" s="86">
        <v>0.0</v>
      </c>
      <c r="G140" s="69">
        <v>30000.0</v>
      </c>
      <c r="H140" s="70">
        <f t="shared" si="7"/>
        <v>0</v>
      </c>
      <c r="I140" s="71">
        <f t="shared" si="8"/>
        <v>0</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3:I3"/>
    <mergeCell ref="A4:F4"/>
    <mergeCell ref="G4:I4"/>
    <mergeCell ref="C6:C11"/>
    <mergeCell ref="C12:C17"/>
    <mergeCell ref="C18:C23"/>
    <mergeCell ref="C24:C29"/>
    <mergeCell ref="C30:C35"/>
    <mergeCell ref="A38:I38"/>
    <mergeCell ref="A39:F39"/>
    <mergeCell ref="G39:I39"/>
    <mergeCell ref="C41:C46"/>
    <mergeCell ref="C47:C52"/>
    <mergeCell ref="C53:C58"/>
    <mergeCell ref="C59:C64"/>
    <mergeCell ref="C65:C70"/>
    <mergeCell ref="A73:I73"/>
    <mergeCell ref="A74:F74"/>
    <mergeCell ref="G74:I74"/>
    <mergeCell ref="C76:C81"/>
    <mergeCell ref="C82:C87"/>
    <mergeCell ref="C117:C122"/>
    <mergeCell ref="C123:C128"/>
    <mergeCell ref="C129:C134"/>
    <mergeCell ref="C135:C140"/>
    <mergeCell ref="C88:C93"/>
    <mergeCell ref="C94:C99"/>
    <mergeCell ref="C100:C105"/>
    <mergeCell ref="A108:I108"/>
    <mergeCell ref="A109:F109"/>
    <mergeCell ref="G109:I109"/>
    <mergeCell ref="C111:C116"/>
  </mergeCells>
  <printOptions/>
  <pageMargins bottom="0.75" footer="0.0" header="0.0" left="0.7" right="0.7" top="0.75"/>
  <pageSetup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5"/>
    <col customWidth="1" min="3" max="3" width="27.88"/>
    <col customWidth="1" min="4" max="4" width="14.38"/>
    <col customWidth="1" min="5" max="7" width="8.63"/>
    <col customWidth="1" min="8" max="8" width="15.38"/>
    <col customWidth="1" min="9" max="9" width="18.0"/>
    <col customWidth="1" min="10" max="10" width="10.25"/>
    <col customWidth="1" min="11" max="11" width="8.75"/>
    <col customWidth="1" min="12" max="12" width="36.25"/>
    <col customWidth="1" min="13" max="13" width="22.75"/>
    <col customWidth="1" min="14" max="27" width="8.63"/>
  </cols>
  <sheetData>
    <row r="1">
      <c r="A1" s="19" t="s">
        <v>127</v>
      </c>
      <c r="B1" s="164"/>
      <c r="C1" s="164"/>
    </row>
    <row r="2">
      <c r="A2" s="20" t="s">
        <v>24</v>
      </c>
      <c r="B2" s="164"/>
      <c r="C2" s="164"/>
    </row>
    <row r="3">
      <c r="A3" s="20"/>
      <c r="B3" s="164"/>
      <c r="C3" s="164"/>
    </row>
    <row r="4" ht="18.0" customHeight="1">
      <c r="A4" s="165" t="s">
        <v>26</v>
      </c>
      <c r="B4" s="166"/>
      <c r="C4" s="166"/>
      <c r="D4" s="166"/>
      <c r="E4" s="166"/>
      <c r="F4" s="167"/>
      <c r="G4" s="168" t="s">
        <v>128</v>
      </c>
      <c r="H4" s="166"/>
      <c r="I4" s="169"/>
    </row>
    <row r="5">
      <c r="A5" s="170" t="s">
        <v>129</v>
      </c>
      <c r="B5" s="171" t="s">
        <v>29</v>
      </c>
      <c r="C5" s="95" t="s">
        <v>30</v>
      </c>
      <c r="D5" s="67" t="s">
        <v>31</v>
      </c>
      <c r="E5" s="67" t="s">
        <v>32</v>
      </c>
      <c r="F5" s="95" t="s">
        <v>33</v>
      </c>
      <c r="G5" s="172" t="s">
        <v>34</v>
      </c>
      <c r="H5" s="173" t="s">
        <v>35</v>
      </c>
      <c r="I5" s="174" t="s">
        <v>36</v>
      </c>
      <c r="K5" s="33" t="s">
        <v>37</v>
      </c>
      <c r="L5" s="33" t="s">
        <v>130</v>
      </c>
    </row>
    <row r="6" ht="15.75" customHeight="1">
      <c r="A6" s="175" t="s">
        <v>39</v>
      </c>
      <c r="B6" s="176">
        <v>1.0</v>
      </c>
      <c r="C6" s="177" t="s">
        <v>131</v>
      </c>
      <c r="D6" s="178">
        <v>200.0</v>
      </c>
      <c r="E6" s="179" t="s">
        <v>41</v>
      </c>
      <c r="F6" s="84">
        <v>0.0</v>
      </c>
      <c r="G6" s="180">
        <v>200.0</v>
      </c>
      <c r="H6" s="181">
        <f t="shared" ref="H6:H35" si="1">F6*G6</f>
        <v>0</v>
      </c>
      <c r="I6" s="182">
        <f t="shared" ref="I6:I35" si="2">H6*365</f>
        <v>0</v>
      </c>
      <c r="K6" s="43">
        <v>1.0</v>
      </c>
      <c r="L6" s="44">
        <f>sum(I6:I11)</f>
        <v>0</v>
      </c>
    </row>
    <row r="7">
      <c r="A7" s="45" t="s">
        <v>39</v>
      </c>
      <c r="B7" s="46">
        <v>1.0</v>
      </c>
      <c r="C7" s="47"/>
      <c r="D7" s="183" t="s">
        <v>132</v>
      </c>
      <c r="E7" s="49" t="s">
        <v>41</v>
      </c>
      <c r="F7" s="85">
        <v>0.0</v>
      </c>
      <c r="G7" s="51">
        <v>500.0</v>
      </c>
      <c r="H7" s="52">
        <f t="shared" si="1"/>
        <v>0</v>
      </c>
      <c r="I7" s="53">
        <f t="shared" si="2"/>
        <v>0</v>
      </c>
      <c r="K7" s="43">
        <v>2.0</v>
      </c>
      <c r="L7" s="44">
        <f>sum(I12:I17)</f>
        <v>0</v>
      </c>
    </row>
    <row r="8">
      <c r="A8" s="184" t="s">
        <v>39</v>
      </c>
      <c r="B8" s="185">
        <v>1.0</v>
      </c>
      <c r="C8" s="186"/>
      <c r="D8" s="187" t="s">
        <v>133</v>
      </c>
      <c r="E8" s="188" t="s">
        <v>41</v>
      </c>
      <c r="F8" s="85">
        <v>0.0</v>
      </c>
      <c r="G8" s="189">
        <v>1000.0</v>
      </c>
      <c r="H8" s="190">
        <f t="shared" si="1"/>
        <v>0</v>
      </c>
      <c r="I8" s="191">
        <f t="shared" si="2"/>
        <v>0</v>
      </c>
      <c r="K8" s="43" t="s">
        <v>44</v>
      </c>
      <c r="L8" s="44">
        <f>sum(I18:I23)</f>
        <v>0</v>
      </c>
    </row>
    <row r="9">
      <c r="A9" s="45" t="s">
        <v>39</v>
      </c>
      <c r="B9" s="46">
        <v>1.0</v>
      </c>
      <c r="C9" s="47"/>
      <c r="D9" s="48" t="s">
        <v>134</v>
      </c>
      <c r="E9" s="49" t="s">
        <v>41</v>
      </c>
      <c r="F9" s="85">
        <v>0.0</v>
      </c>
      <c r="G9" s="51">
        <v>1500.0</v>
      </c>
      <c r="H9" s="52">
        <f t="shared" si="1"/>
        <v>0</v>
      </c>
      <c r="I9" s="53">
        <f t="shared" si="2"/>
        <v>0</v>
      </c>
      <c r="K9" s="43">
        <v>3.0</v>
      </c>
      <c r="L9" s="44">
        <f>sum(I24:I29)</f>
        <v>0</v>
      </c>
    </row>
    <row r="10">
      <c r="A10" s="184" t="s">
        <v>39</v>
      </c>
      <c r="B10" s="185">
        <v>1.0</v>
      </c>
      <c r="C10" s="186"/>
      <c r="D10" s="187" t="s">
        <v>135</v>
      </c>
      <c r="E10" s="188" t="s">
        <v>41</v>
      </c>
      <c r="F10" s="85">
        <v>0.0</v>
      </c>
      <c r="G10" s="189">
        <v>2000.0</v>
      </c>
      <c r="H10" s="190">
        <f t="shared" si="1"/>
        <v>0</v>
      </c>
      <c r="I10" s="191">
        <f t="shared" si="2"/>
        <v>0</v>
      </c>
      <c r="K10" s="43" t="s">
        <v>47</v>
      </c>
      <c r="L10" s="44">
        <f>sum(I30:I35)</f>
        <v>0</v>
      </c>
    </row>
    <row r="11">
      <c r="A11" s="63" t="s">
        <v>39</v>
      </c>
      <c r="B11" s="64">
        <v>1.0</v>
      </c>
      <c r="C11" s="65"/>
      <c r="D11" s="66" t="s">
        <v>136</v>
      </c>
      <c r="E11" s="67" t="s">
        <v>41</v>
      </c>
      <c r="F11" s="86">
        <v>0.0</v>
      </c>
      <c r="G11" s="69">
        <v>2500.0</v>
      </c>
      <c r="H11" s="70">
        <f t="shared" si="1"/>
        <v>0</v>
      </c>
      <c r="I11" s="71">
        <f t="shared" si="2"/>
        <v>0</v>
      </c>
      <c r="K11" s="72" t="s">
        <v>137</v>
      </c>
      <c r="L11" s="73">
        <f>sum(L6:L10)</f>
        <v>0</v>
      </c>
    </row>
    <row r="12" ht="15.75" customHeight="1">
      <c r="A12" s="175" t="s">
        <v>50</v>
      </c>
      <c r="B12" s="176">
        <v>2.0</v>
      </c>
      <c r="C12" s="177" t="s">
        <v>138</v>
      </c>
      <c r="D12" s="178">
        <v>200.0</v>
      </c>
      <c r="E12" s="179" t="s">
        <v>41</v>
      </c>
      <c r="F12" s="84">
        <v>0.0</v>
      </c>
      <c r="G12" s="180">
        <v>200.0</v>
      </c>
      <c r="H12" s="181">
        <f t="shared" si="1"/>
        <v>0</v>
      </c>
      <c r="I12" s="182">
        <f t="shared" si="2"/>
        <v>0</v>
      </c>
    </row>
    <row r="13">
      <c r="A13" s="45" t="s">
        <v>50</v>
      </c>
      <c r="B13" s="46">
        <v>2.0</v>
      </c>
      <c r="C13" s="47"/>
      <c r="D13" s="183" t="s">
        <v>132</v>
      </c>
      <c r="E13" s="49" t="s">
        <v>41</v>
      </c>
      <c r="F13" s="85">
        <v>0.0</v>
      </c>
      <c r="G13" s="51">
        <v>500.0</v>
      </c>
      <c r="H13" s="52">
        <f t="shared" si="1"/>
        <v>0</v>
      </c>
      <c r="I13" s="53">
        <f t="shared" si="2"/>
        <v>0</v>
      </c>
    </row>
    <row r="14">
      <c r="A14" s="184" t="s">
        <v>50</v>
      </c>
      <c r="B14" s="185">
        <v>2.0</v>
      </c>
      <c r="C14" s="186"/>
      <c r="D14" s="187" t="s">
        <v>133</v>
      </c>
      <c r="E14" s="188" t="s">
        <v>41</v>
      </c>
      <c r="F14" s="85">
        <v>0.0</v>
      </c>
      <c r="G14" s="189">
        <v>1000.0</v>
      </c>
      <c r="H14" s="190">
        <f t="shared" si="1"/>
        <v>0</v>
      </c>
      <c r="I14" s="191">
        <f t="shared" si="2"/>
        <v>0</v>
      </c>
    </row>
    <row r="15">
      <c r="A15" s="45" t="s">
        <v>50</v>
      </c>
      <c r="B15" s="46">
        <v>2.0</v>
      </c>
      <c r="C15" s="47"/>
      <c r="D15" s="48" t="s">
        <v>134</v>
      </c>
      <c r="E15" s="49" t="s">
        <v>41</v>
      </c>
      <c r="F15" s="85">
        <v>0.0</v>
      </c>
      <c r="G15" s="51">
        <v>1500.0</v>
      </c>
      <c r="H15" s="52">
        <f t="shared" si="1"/>
        <v>0</v>
      </c>
      <c r="I15" s="53">
        <f t="shared" si="2"/>
        <v>0</v>
      </c>
    </row>
    <row r="16">
      <c r="A16" s="184" t="s">
        <v>50</v>
      </c>
      <c r="B16" s="185">
        <v>2.0</v>
      </c>
      <c r="C16" s="186"/>
      <c r="D16" s="187" t="s">
        <v>135</v>
      </c>
      <c r="E16" s="188" t="s">
        <v>41</v>
      </c>
      <c r="F16" s="85">
        <v>0.0</v>
      </c>
      <c r="G16" s="189">
        <v>2000.0</v>
      </c>
      <c r="H16" s="190">
        <f t="shared" si="1"/>
        <v>0</v>
      </c>
      <c r="I16" s="191">
        <f t="shared" si="2"/>
        <v>0</v>
      </c>
    </row>
    <row r="17">
      <c r="A17" s="63" t="s">
        <v>50</v>
      </c>
      <c r="B17" s="64">
        <v>2.0</v>
      </c>
      <c r="C17" s="65"/>
      <c r="D17" s="66" t="s">
        <v>136</v>
      </c>
      <c r="E17" s="67" t="s">
        <v>41</v>
      </c>
      <c r="F17" s="86">
        <v>0.0</v>
      </c>
      <c r="G17" s="69">
        <v>2500.0</v>
      </c>
      <c r="H17" s="70">
        <f t="shared" si="1"/>
        <v>0</v>
      </c>
      <c r="I17" s="71">
        <f t="shared" si="2"/>
        <v>0</v>
      </c>
    </row>
    <row r="18" ht="15.75" customHeight="1">
      <c r="A18" s="175" t="s">
        <v>52</v>
      </c>
      <c r="B18" s="176" t="s">
        <v>44</v>
      </c>
      <c r="C18" s="177" t="s">
        <v>139</v>
      </c>
      <c r="D18" s="178">
        <v>200.0</v>
      </c>
      <c r="E18" s="179" t="s">
        <v>41</v>
      </c>
      <c r="F18" s="84">
        <v>0.0</v>
      </c>
      <c r="G18" s="180">
        <v>200.0</v>
      </c>
      <c r="H18" s="181">
        <f t="shared" si="1"/>
        <v>0</v>
      </c>
      <c r="I18" s="182">
        <f t="shared" si="2"/>
        <v>0</v>
      </c>
    </row>
    <row r="19">
      <c r="A19" s="45" t="s">
        <v>52</v>
      </c>
      <c r="B19" s="46" t="s">
        <v>44</v>
      </c>
      <c r="C19" s="47"/>
      <c r="D19" s="183" t="s">
        <v>132</v>
      </c>
      <c r="E19" s="49" t="s">
        <v>41</v>
      </c>
      <c r="F19" s="85">
        <v>0.0</v>
      </c>
      <c r="G19" s="51">
        <v>500.0</v>
      </c>
      <c r="H19" s="52">
        <f t="shared" si="1"/>
        <v>0</v>
      </c>
      <c r="I19" s="53">
        <f t="shared" si="2"/>
        <v>0</v>
      </c>
    </row>
    <row r="20">
      <c r="A20" s="184" t="s">
        <v>52</v>
      </c>
      <c r="B20" s="185" t="s">
        <v>44</v>
      </c>
      <c r="C20" s="186"/>
      <c r="D20" s="187" t="s">
        <v>133</v>
      </c>
      <c r="E20" s="188" t="s">
        <v>41</v>
      </c>
      <c r="F20" s="85">
        <v>0.0</v>
      </c>
      <c r="G20" s="189">
        <v>1000.0</v>
      </c>
      <c r="H20" s="190">
        <f t="shared" si="1"/>
        <v>0</v>
      </c>
      <c r="I20" s="191">
        <f t="shared" si="2"/>
        <v>0</v>
      </c>
    </row>
    <row r="21" ht="15.75" customHeight="1">
      <c r="A21" s="45" t="s">
        <v>52</v>
      </c>
      <c r="B21" s="46" t="s">
        <v>44</v>
      </c>
      <c r="C21" s="47"/>
      <c r="D21" s="48" t="s">
        <v>134</v>
      </c>
      <c r="E21" s="49" t="s">
        <v>41</v>
      </c>
      <c r="F21" s="85">
        <v>0.0</v>
      </c>
      <c r="G21" s="51">
        <v>1500.0</v>
      </c>
      <c r="H21" s="52">
        <f t="shared" si="1"/>
        <v>0</v>
      </c>
      <c r="I21" s="53">
        <f t="shared" si="2"/>
        <v>0</v>
      </c>
    </row>
    <row r="22" ht="15.75" customHeight="1">
      <c r="A22" s="184" t="s">
        <v>52</v>
      </c>
      <c r="B22" s="185" t="s">
        <v>44</v>
      </c>
      <c r="C22" s="186"/>
      <c r="D22" s="187" t="s">
        <v>135</v>
      </c>
      <c r="E22" s="188" t="s">
        <v>41</v>
      </c>
      <c r="F22" s="85">
        <v>0.0</v>
      </c>
      <c r="G22" s="189">
        <v>2000.0</v>
      </c>
      <c r="H22" s="190">
        <f t="shared" si="1"/>
        <v>0</v>
      </c>
      <c r="I22" s="191">
        <f t="shared" si="2"/>
        <v>0</v>
      </c>
    </row>
    <row r="23" ht="15.75" customHeight="1">
      <c r="A23" s="63" t="s">
        <v>52</v>
      </c>
      <c r="B23" s="64" t="s">
        <v>44</v>
      </c>
      <c r="C23" s="65"/>
      <c r="D23" s="66" t="s">
        <v>136</v>
      </c>
      <c r="E23" s="67" t="s">
        <v>41</v>
      </c>
      <c r="F23" s="86">
        <v>0.0</v>
      </c>
      <c r="G23" s="69">
        <v>2500.0</v>
      </c>
      <c r="H23" s="70">
        <f t="shared" si="1"/>
        <v>0</v>
      </c>
      <c r="I23" s="71">
        <f t="shared" si="2"/>
        <v>0</v>
      </c>
    </row>
    <row r="24" ht="15.75" customHeight="1">
      <c r="A24" s="175" t="s">
        <v>54</v>
      </c>
      <c r="B24" s="176">
        <v>3.0</v>
      </c>
      <c r="C24" s="177" t="s">
        <v>140</v>
      </c>
      <c r="D24" s="178">
        <v>200.0</v>
      </c>
      <c r="E24" s="179" t="s">
        <v>41</v>
      </c>
      <c r="F24" s="84">
        <v>0.0</v>
      </c>
      <c r="G24" s="180">
        <v>200.0</v>
      </c>
      <c r="H24" s="181">
        <f t="shared" si="1"/>
        <v>0</v>
      </c>
      <c r="I24" s="182">
        <f t="shared" si="2"/>
        <v>0</v>
      </c>
    </row>
    <row r="25" ht="15.75" customHeight="1">
      <c r="A25" s="45" t="s">
        <v>54</v>
      </c>
      <c r="B25" s="46">
        <v>3.0</v>
      </c>
      <c r="C25" s="47"/>
      <c r="D25" s="183" t="s">
        <v>132</v>
      </c>
      <c r="E25" s="49" t="s">
        <v>41</v>
      </c>
      <c r="F25" s="85">
        <v>0.0</v>
      </c>
      <c r="G25" s="51">
        <v>500.0</v>
      </c>
      <c r="H25" s="52">
        <f t="shared" si="1"/>
        <v>0</v>
      </c>
      <c r="I25" s="53">
        <f t="shared" si="2"/>
        <v>0</v>
      </c>
    </row>
    <row r="26" ht="15.75" customHeight="1">
      <c r="A26" s="184" t="s">
        <v>54</v>
      </c>
      <c r="B26" s="185">
        <v>3.0</v>
      </c>
      <c r="C26" s="186"/>
      <c r="D26" s="187" t="s">
        <v>133</v>
      </c>
      <c r="E26" s="188" t="s">
        <v>41</v>
      </c>
      <c r="F26" s="85">
        <v>0.0</v>
      </c>
      <c r="G26" s="189">
        <v>1000.0</v>
      </c>
      <c r="H26" s="190">
        <f t="shared" si="1"/>
        <v>0</v>
      </c>
      <c r="I26" s="191">
        <f t="shared" si="2"/>
        <v>0</v>
      </c>
    </row>
    <row r="27" ht="15.75" customHeight="1">
      <c r="A27" s="45" t="s">
        <v>54</v>
      </c>
      <c r="B27" s="46">
        <v>3.0</v>
      </c>
      <c r="C27" s="47"/>
      <c r="D27" s="48" t="s">
        <v>134</v>
      </c>
      <c r="E27" s="49" t="s">
        <v>41</v>
      </c>
      <c r="F27" s="85">
        <v>0.0</v>
      </c>
      <c r="G27" s="51">
        <v>1500.0</v>
      </c>
      <c r="H27" s="52">
        <f t="shared" si="1"/>
        <v>0</v>
      </c>
      <c r="I27" s="53">
        <f t="shared" si="2"/>
        <v>0</v>
      </c>
    </row>
    <row r="28" ht="15.75" customHeight="1">
      <c r="A28" s="184" t="s">
        <v>54</v>
      </c>
      <c r="B28" s="185">
        <v>3.0</v>
      </c>
      <c r="C28" s="186"/>
      <c r="D28" s="187" t="s">
        <v>135</v>
      </c>
      <c r="E28" s="188" t="s">
        <v>41</v>
      </c>
      <c r="F28" s="85">
        <v>0.0</v>
      </c>
      <c r="G28" s="189">
        <v>2000.0</v>
      </c>
      <c r="H28" s="190">
        <f t="shared" si="1"/>
        <v>0</v>
      </c>
      <c r="I28" s="191">
        <f t="shared" si="2"/>
        <v>0</v>
      </c>
    </row>
    <row r="29" ht="15.75" customHeight="1">
      <c r="A29" s="63" t="s">
        <v>54</v>
      </c>
      <c r="B29" s="64">
        <v>3.0</v>
      </c>
      <c r="C29" s="65"/>
      <c r="D29" s="66" t="s">
        <v>136</v>
      </c>
      <c r="E29" s="67" t="s">
        <v>41</v>
      </c>
      <c r="F29" s="86">
        <v>0.0</v>
      </c>
      <c r="G29" s="69">
        <v>2500.0</v>
      </c>
      <c r="H29" s="70">
        <f t="shared" si="1"/>
        <v>0</v>
      </c>
      <c r="I29" s="71">
        <f t="shared" si="2"/>
        <v>0</v>
      </c>
    </row>
    <row r="30" ht="15.75" customHeight="1">
      <c r="A30" s="175" t="s">
        <v>56</v>
      </c>
      <c r="B30" s="176" t="s">
        <v>47</v>
      </c>
      <c r="C30" s="177" t="s">
        <v>141</v>
      </c>
      <c r="D30" s="178">
        <v>200.0</v>
      </c>
      <c r="E30" s="179" t="s">
        <v>41</v>
      </c>
      <c r="F30" s="84">
        <v>0.0</v>
      </c>
      <c r="G30" s="180">
        <v>200.0</v>
      </c>
      <c r="H30" s="181">
        <f t="shared" si="1"/>
        <v>0</v>
      </c>
      <c r="I30" s="182">
        <f t="shared" si="2"/>
        <v>0</v>
      </c>
    </row>
    <row r="31" ht="15.75" customHeight="1">
      <c r="A31" s="45" t="s">
        <v>56</v>
      </c>
      <c r="B31" s="46" t="s">
        <v>47</v>
      </c>
      <c r="C31" s="47"/>
      <c r="D31" s="183" t="s">
        <v>132</v>
      </c>
      <c r="E31" s="49" t="s">
        <v>41</v>
      </c>
      <c r="F31" s="85">
        <v>0.0</v>
      </c>
      <c r="G31" s="51">
        <v>500.0</v>
      </c>
      <c r="H31" s="52">
        <f t="shared" si="1"/>
        <v>0</v>
      </c>
      <c r="I31" s="53">
        <f t="shared" si="2"/>
        <v>0</v>
      </c>
    </row>
    <row r="32" ht="15.75" customHeight="1">
      <c r="A32" s="184" t="s">
        <v>56</v>
      </c>
      <c r="B32" s="185" t="s">
        <v>47</v>
      </c>
      <c r="C32" s="186"/>
      <c r="D32" s="187" t="s">
        <v>133</v>
      </c>
      <c r="E32" s="188" t="s">
        <v>41</v>
      </c>
      <c r="F32" s="85">
        <v>0.0</v>
      </c>
      <c r="G32" s="189">
        <v>1000.0</v>
      </c>
      <c r="H32" s="190">
        <f t="shared" si="1"/>
        <v>0</v>
      </c>
      <c r="I32" s="191">
        <f t="shared" si="2"/>
        <v>0</v>
      </c>
    </row>
    <row r="33" ht="15.75" customHeight="1">
      <c r="A33" s="45" t="s">
        <v>56</v>
      </c>
      <c r="B33" s="46" t="s">
        <v>47</v>
      </c>
      <c r="C33" s="47"/>
      <c r="D33" s="48" t="s">
        <v>134</v>
      </c>
      <c r="E33" s="49" t="s">
        <v>41</v>
      </c>
      <c r="F33" s="85">
        <v>0.0</v>
      </c>
      <c r="G33" s="51">
        <v>1500.0</v>
      </c>
      <c r="H33" s="52">
        <f t="shared" si="1"/>
        <v>0</v>
      </c>
      <c r="I33" s="53">
        <f t="shared" si="2"/>
        <v>0</v>
      </c>
    </row>
    <row r="34" ht="15.75" customHeight="1">
      <c r="A34" s="184" t="s">
        <v>56</v>
      </c>
      <c r="B34" s="185" t="s">
        <v>47</v>
      </c>
      <c r="C34" s="186"/>
      <c r="D34" s="187" t="s">
        <v>135</v>
      </c>
      <c r="E34" s="188" t="s">
        <v>41</v>
      </c>
      <c r="F34" s="85">
        <v>0.0</v>
      </c>
      <c r="G34" s="189">
        <v>2000.0</v>
      </c>
      <c r="H34" s="190">
        <f t="shared" si="1"/>
        <v>0</v>
      </c>
      <c r="I34" s="191">
        <f t="shared" si="2"/>
        <v>0</v>
      </c>
    </row>
    <row r="35" ht="15.75" customHeight="1">
      <c r="A35" s="63" t="s">
        <v>56</v>
      </c>
      <c r="B35" s="64" t="s">
        <v>47</v>
      </c>
      <c r="C35" s="65"/>
      <c r="D35" s="66" t="s">
        <v>136</v>
      </c>
      <c r="E35" s="67" t="s">
        <v>41</v>
      </c>
      <c r="F35" s="86">
        <v>0.0</v>
      </c>
      <c r="G35" s="69">
        <v>2500.0</v>
      </c>
      <c r="H35" s="70">
        <f t="shared" si="1"/>
        <v>0</v>
      </c>
      <c r="I35" s="71">
        <f t="shared" si="2"/>
        <v>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F4"/>
    <mergeCell ref="G4:I4"/>
    <mergeCell ref="C6:C11"/>
    <mergeCell ref="C12:C17"/>
    <mergeCell ref="C18:C23"/>
    <mergeCell ref="C24:C29"/>
    <mergeCell ref="C30:C35"/>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5"/>
    <col customWidth="1" min="3" max="3" width="27.88"/>
    <col customWidth="1" min="4" max="4" width="14.38"/>
    <col customWidth="1" min="5" max="7" width="8.63"/>
    <col customWidth="1" min="8" max="8" width="15.38"/>
    <col customWidth="1" min="9" max="9" width="18.0"/>
    <col customWidth="1" min="10" max="10" width="10.25"/>
    <col customWidth="1" min="11" max="11" width="8.75"/>
    <col customWidth="1" min="12" max="12" width="36.25"/>
    <col customWidth="1" min="13" max="26" width="8.63"/>
  </cols>
  <sheetData>
    <row r="1">
      <c r="A1" s="19" t="s">
        <v>127</v>
      </c>
      <c r="B1" s="164"/>
      <c r="C1" s="164"/>
    </row>
    <row r="2">
      <c r="A2" s="20" t="s">
        <v>102</v>
      </c>
      <c r="B2" s="164"/>
      <c r="C2" s="164"/>
    </row>
    <row r="3" ht="16.5" customHeight="1">
      <c r="A3" s="20"/>
      <c r="B3" s="164"/>
      <c r="C3" s="164"/>
    </row>
    <row r="4">
      <c r="A4" s="165" t="s">
        <v>26</v>
      </c>
      <c r="B4" s="166"/>
      <c r="C4" s="166"/>
      <c r="D4" s="166"/>
      <c r="E4" s="166"/>
      <c r="F4" s="167"/>
      <c r="G4" s="168" t="s">
        <v>128</v>
      </c>
      <c r="H4" s="166"/>
      <c r="I4" s="169"/>
    </row>
    <row r="5">
      <c r="A5" s="170" t="s">
        <v>129</v>
      </c>
      <c r="B5" s="171" t="s">
        <v>29</v>
      </c>
      <c r="C5" s="95" t="s">
        <v>30</v>
      </c>
      <c r="D5" s="67" t="s">
        <v>31</v>
      </c>
      <c r="E5" s="67" t="s">
        <v>32</v>
      </c>
      <c r="F5" s="95" t="s">
        <v>33</v>
      </c>
      <c r="G5" s="172" t="s">
        <v>34</v>
      </c>
      <c r="H5" s="173" t="s">
        <v>35</v>
      </c>
      <c r="I5" s="174" t="s">
        <v>36</v>
      </c>
      <c r="K5" s="33" t="s">
        <v>37</v>
      </c>
      <c r="L5" s="33" t="s">
        <v>142</v>
      </c>
    </row>
    <row r="6" ht="15.75" customHeight="1">
      <c r="A6" s="175" t="s">
        <v>39</v>
      </c>
      <c r="B6" s="176">
        <v>1.0</v>
      </c>
      <c r="C6" s="177" t="s">
        <v>143</v>
      </c>
      <c r="D6" s="178">
        <v>200.0</v>
      </c>
      <c r="E6" s="179" t="s">
        <v>41</v>
      </c>
      <c r="F6" s="84">
        <v>0.0</v>
      </c>
      <c r="G6" s="180">
        <v>200.0</v>
      </c>
      <c r="H6" s="181">
        <f t="shared" ref="H6:H35" si="1">F6*G6</f>
        <v>0</v>
      </c>
      <c r="I6" s="182">
        <f t="shared" ref="I6:I35" si="2">H6*365</f>
        <v>0</v>
      </c>
      <c r="K6" s="43">
        <v>1.0</v>
      </c>
      <c r="L6" s="44">
        <f>sum(I6:I11)</f>
        <v>0</v>
      </c>
    </row>
    <row r="7">
      <c r="A7" s="45" t="s">
        <v>39</v>
      </c>
      <c r="B7" s="46">
        <v>1.0</v>
      </c>
      <c r="C7" s="47"/>
      <c r="D7" s="183" t="s">
        <v>132</v>
      </c>
      <c r="E7" s="49" t="s">
        <v>41</v>
      </c>
      <c r="F7" s="85">
        <v>0.0</v>
      </c>
      <c r="G7" s="51">
        <v>500.0</v>
      </c>
      <c r="H7" s="52">
        <f t="shared" si="1"/>
        <v>0</v>
      </c>
      <c r="I7" s="53">
        <f t="shared" si="2"/>
        <v>0</v>
      </c>
      <c r="K7" s="43">
        <v>2.0</v>
      </c>
      <c r="L7" s="44">
        <f>sum(I12:I17)</f>
        <v>0</v>
      </c>
    </row>
    <row r="8">
      <c r="A8" s="184" t="s">
        <v>39</v>
      </c>
      <c r="B8" s="185">
        <v>1.0</v>
      </c>
      <c r="C8" s="186"/>
      <c r="D8" s="187" t="s">
        <v>133</v>
      </c>
      <c r="E8" s="188" t="s">
        <v>41</v>
      </c>
      <c r="F8" s="85">
        <v>0.0</v>
      </c>
      <c r="G8" s="189">
        <v>1000.0</v>
      </c>
      <c r="H8" s="190">
        <f t="shared" si="1"/>
        <v>0</v>
      </c>
      <c r="I8" s="191">
        <f t="shared" si="2"/>
        <v>0</v>
      </c>
      <c r="K8" s="43" t="s">
        <v>44</v>
      </c>
      <c r="L8" s="44">
        <f>sum(I18:I23)</f>
        <v>0</v>
      </c>
    </row>
    <row r="9">
      <c r="A9" s="45" t="s">
        <v>39</v>
      </c>
      <c r="B9" s="46">
        <v>1.0</v>
      </c>
      <c r="C9" s="47"/>
      <c r="D9" s="48" t="s">
        <v>134</v>
      </c>
      <c r="E9" s="49" t="s">
        <v>41</v>
      </c>
      <c r="F9" s="85">
        <v>0.0</v>
      </c>
      <c r="G9" s="51">
        <v>1500.0</v>
      </c>
      <c r="H9" s="52">
        <f t="shared" si="1"/>
        <v>0</v>
      </c>
      <c r="I9" s="53">
        <f t="shared" si="2"/>
        <v>0</v>
      </c>
      <c r="K9" s="43">
        <v>3.0</v>
      </c>
      <c r="L9" s="44">
        <f>sum(I24:I29)</f>
        <v>0</v>
      </c>
    </row>
    <row r="10">
      <c r="A10" s="184" t="s">
        <v>39</v>
      </c>
      <c r="B10" s="185">
        <v>1.0</v>
      </c>
      <c r="C10" s="186"/>
      <c r="D10" s="187" t="s">
        <v>135</v>
      </c>
      <c r="E10" s="188" t="s">
        <v>41</v>
      </c>
      <c r="F10" s="85">
        <v>0.0</v>
      </c>
      <c r="G10" s="189">
        <v>2000.0</v>
      </c>
      <c r="H10" s="190">
        <f t="shared" si="1"/>
        <v>0</v>
      </c>
      <c r="I10" s="191">
        <f t="shared" si="2"/>
        <v>0</v>
      </c>
      <c r="K10" s="43" t="s">
        <v>47</v>
      </c>
      <c r="L10" s="44">
        <f>sum(I30:I35)</f>
        <v>0</v>
      </c>
    </row>
    <row r="11">
      <c r="A11" s="63" t="s">
        <v>39</v>
      </c>
      <c r="B11" s="64">
        <v>1.0</v>
      </c>
      <c r="C11" s="65"/>
      <c r="D11" s="66" t="s">
        <v>136</v>
      </c>
      <c r="E11" s="67" t="s">
        <v>41</v>
      </c>
      <c r="F11" s="86">
        <v>0.0</v>
      </c>
      <c r="G11" s="69">
        <v>2500.0</v>
      </c>
      <c r="H11" s="70">
        <f t="shared" si="1"/>
        <v>0</v>
      </c>
      <c r="I11" s="71">
        <f t="shared" si="2"/>
        <v>0</v>
      </c>
      <c r="K11" s="72" t="s">
        <v>137</v>
      </c>
      <c r="L11" s="73">
        <f>sum(L6:L10)</f>
        <v>0</v>
      </c>
    </row>
    <row r="12" ht="15.75" customHeight="1">
      <c r="A12" s="175" t="s">
        <v>50</v>
      </c>
      <c r="B12" s="176">
        <v>2.0</v>
      </c>
      <c r="C12" s="177" t="s">
        <v>144</v>
      </c>
      <c r="D12" s="178">
        <v>200.0</v>
      </c>
      <c r="E12" s="179" t="s">
        <v>41</v>
      </c>
      <c r="F12" s="84">
        <v>0.0</v>
      </c>
      <c r="G12" s="180">
        <v>200.0</v>
      </c>
      <c r="H12" s="181">
        <f t="shared" si="1"/>
        <v>0</v>
      </c>
      <c r="I12" s="182">
        <f t="shared" si="2"/>
        <v>0</v>
      </c>
    </row>
    <row r="13">
      <c r="A13" s="45" t="s">
        <v>50</v>
      </c>
      <c r="B13" s="46">
        <v>2.0</v>
      </c>
      <c r="C13" s="47"/>
      <c r="D13" s="183" t="s">
        <v>132</v>
      </c>
      <c r="E13" s="49" t="s">
        <v>41</v>
      </c>
      <c r="F13" s="85">
        <v>0.0</v>
      </c>
      <c r="G13" s="51">
        <v>500.0</v>
      </c>
      <c r="H13" s="52">
        <f t="shared" si="1"/>
        <v>0</v>
      </c>
      <c r="I13" s="53">
        <f t="shared" si="2"/>
        <v>0</v>
      </c>
    </row>
    <row r="14">
      <c r="A14" s="184" t="s">
        <v>50</v>
      </c>
      <c r="B14" s="185">
        <v>2.0</v>
      </c>
      <c r="C14" s="186"/>
      <c r="D14" s="187" t="s">
        <v>133</v>
      </c>
      <c r="E14" s="188" t="s">
        <v>41</v>
      </c>
      <c r="F14" s="85">
        <v>0.0</v>
      </c>
      <c r="G14" s="189">
        <v>1000.0</v>
      </c>
      <c r="H14" s="190">
        <f t="shared" si="1"/>
        <v>0</v>
      </c>
      <c r="I14" s="191">
        <f t="shared" si="2"/>
        <v>0</v>
      </c>
    </row>
    <row r="15">
      <c r="A15" s="45" t="s">
        <v>50</v>
      </c>
      <c r="B15" s="46">
        <v>2.0</v>
      </c>
      <c r="C15" s="47"/>
      <c r="D15" s="48" t="s">
        <v>134</v>
      </c>
      <c r="E15" s="49" t="s">
        <v>41</v>
      </c>
      <c r="F15" s="85">
        <v>0.0</v>
      </c>
      <c r="G15" s="51">
        <v>1500.0</v>
      </c>
      <c r="H15" s="52">
        <f t="shared" si="1"/>
        <v>0</v>
      </c>
      <c r="I15" s="53">
        <f t="shared" si="2"/>
        <v>0</v>
      </c>
    </row>
    <row r="16">
      <c r="A16" s="184" t="s">
        <v>50</v>
      </c>
      <c r="B16" s="185">
        <v>2.0</v>
      </c>
      <c r="C16" s="186"/>
      <c r="D16" s="187" t="s">
        <v>135</v>
      </c>
      <c r="E16" s="188" t="s">
        <v>41</v>
      </c>
      <c r="F16" s="85">
        <v>0.0</v>
      </c>
      <c r="G16" s="189">
        <v>2000.0</v>
      </c>
      <c r="H16" s="190">
        <f t="shared" si="1"/>
        <v>0</v>
      </c>
      <c r="I16" s="191">
        <f t="shared" si="2"/>
        <v>0</v>
      </c>
    </row>
    <row r="17">
      <c r="A17" s="63" t="s">
        <v>50</v>
      </c>
      <c r="B17" s="64">
        <v>2.0</v>
      </c>
      <c r="C17" s="65"/>
      <c r="D17" s="66" t="s">
        <v>136</v>
      </c>
      <c r="E17" s="67" t="s">
        <v>41</v>
      </c>
      <c r="F17" s="86">
        <v>0.0</v>
      </c>
      <c r="G17" s="69">
        <v>2500.0</v>
      </c>
      <c r="H17" s="70">
        <f t="shared" si="1"/>
        <v>0</v>
      </c>
      <c r="I17" s="71">
        <f t="shared" si="2"/>
        <v>0</v>
      </c>
    </row>
    <row r="18" ht="15.75" customHeight="1">
      <c r="A18" s="175" t="s">
        <v>52</v>
      </c>
      <c r="B18" s="176" t="s">
        <v>44</v>
      </c>
      <c r="C18" s="177" t="s">
        <v>145</v>
      </c>
      <c r="D18" s="178">
        <v>200.0</v>
      </c>
      <c r="E18" s="179" t="s">
        <v>41</v>
      </c>
      <c r="F18" s="84">
        <v>0.0</v>
      </c>
      <c r="G18" s="180">
        <v>200.0</v>
      </c>
      <c r="H18" s="181">
        <f t="shared" si="1"/>
        <v>0</v>
      </c>
      <c r="I18" s="182">
        <f t="shared" si="2"/>
        <v>0</v>
      </c>
    </row>
    <row r="19">
      <c r="A19" s="45" t="s">
        <v>52</v>
      </c>
      <c r="B19" s="46" t="s">
        <v>44</v>
      </c>
      <c r="C19" s="47"/>
      <c r="D19" s="183" t="s">
        <v>132</v>
      </c>
      <c r="E19" s="49" t="s">
        <v>41</v>
      </c>
      <c r="F19" s="85">
        <v>0.0</v>
      </c>
      <c r="G19" s="51">
        <v>500.0</v>
      </c>
      <c r="H19" s="52">
        <f t="shared" si="1"/>
        <v>0</v>
      </c>
      <c r="I19" s="53">
        <f t="shared" si="2"/>
        <v>0</v>
      </c>
    </row>
    <row r="20">
      <c r="A20" s="184" t="s">
        <v>52</v>
      </c>
      <c r="B20" s="185" t="s">
        <v>44</v>
      </c>
      <c r="C20" s="186"/>
      <c r="D20" s="187" t="s">
        <v>133</v>
      </c>
      <c r="E20" s="188" t="s">
        <v>41</v>
      </c>
      <c r="F20" s="85">
        <v>0.0</v>
      </c>
      <c r="G20" s="189">
        <v>1000.0</v>
      </c>
      <c r="H20" s="190">
        <f t="shared" si="1"/>
        <v>0</v>
      </c>
      <c r="I20" s="191">
        <f t="shared" si="2"/>
        <v>0</v>
      </c>
    </row>
    <row r="21" ht="15.75" customHeight="1">
      <c r="A21" s="45" t="s">
        <v>52</v>
      </c>
      <c r="B21" s="46" t="s">
        <v>44</v>
      </c>
      <c r="C21" s="47"/>
      <c r="D21" s="48" t="s">
        <v>134</v>
      </c>
      <c r="E21" s="49" t="s">
        <v>41</v>
      </c>
      <c r="F21" s="85">
        <v>0.0</v>
      </c>
      <c r="G21" s="51">
        <v>1500.0</v>
      </c>
      <c r="H21" s="52">
        <f t="shared" si="1"/>
        <v>0</v>
      </c>
      <c r="I21" s="53">
        <f t="shared" si="2"/>
        <v>0</v>
      </c>
    </row>
    <row r="22" ht="15.75" customHeight="1">
      <c r="A22" s="184" t="s">
        <v>52</v>
      </c>
      <c r="B22" s="185" t="s">
        <v>44</v>
      </c>
      <c r="C22" s="186"/>
      <c r="D22" s="187" t="s">
        <v>135</v>
      </c>
      <c r="E22" s="188" t="s">
        <v>41</v>
      </c>
      <c r="F22" s="85">
        <v>0.0</v>
      </c>
      <c r="G22" s="189">
        <v>2000.0</v>
      </c>
      <c r="H22" s="190">
        <f t="shared" si="1"/>
        <v>0</v>
      </c>
      <c r="I22" s="191">
        <f t="shared" si="2"/>
        <v>0</v>
      </c>
    </row>
    <row r="23" ht="15.75" customHeight="1">
      <c r="A23" s="63" t="s">
        <v>52</v>
      </c>
      <c r="B23" s="64" t="s">
        <v>44</v>
      </c>
      <c r="C23" s="65"/>
      <c r="D23" s="66" t="s">
        <v>136</v>
      </c>
      <c r="E23" s="67" t="s">
        <v>41</v>
      </c>
      <c r="F23" s="86">
        <v>0.0</v>
      </c>
      <c r="G23" s="69">
        <v>2500.0</v>
      </c>
      <c r="H23" s="70">
        <f t="shared" si="1"/>
        <v>0</v>
      </c>
      <c r="I23" s="71">
        <f t="shared" si="2"/>
        <v>0</v>
      </c>
    </row>
    <row r="24" ht="15.75" customHeight="1">
      <c r="A24" s="175" t="s">
        <v>54</v>
      </c>
      <c r="B24" s="176">
        <v>3.0</v>
      </c>
      <c r="C24" s="177" t="s">
        <v>146</v>
      </c>
      <c r="D24" s="178">
        <v>200.0</v>
      </c>
      <c r="E24" s="179" t="s">
        <v>41</v>
      </c>
      <c r="F24" s="84">
        <v>0.0</v>
      </c>
      <c r="G24" s="180">
        <v>200.0</v>
      </c>
      <c r="H24" s="181">
        <f t="shared" si="1"/>
        <v>0</v>
      </c>
      <c r="I24" s="182">
        <f t="shared" si="2"/>
        <v>0</v>
      </c>
    </row>
    <row r="25" ht="15.75" customHeight="1">
      <c r="A25" s="45" t="s">
        <v>54</v>
      </c>
      <c r="B25" s="46">
        <v>3.0</v>
      </c>
      <c r="C25" s="47"/>
      <c r="D25" s="183" t="s">
        <v>132</v>
      </c>
      <c r="E25" s="49" t="s">
        <v>41</v>
      </c>
      <c r="F25" s="85">
        <v>0.0</v>
      </c>
      <c r="G25" s="51">
        <v>500.0</v>
      </c>
      <c r="H25" s="52">
        <f t="shared" si="1"/>
        <v>0</v>
      </c>
      <c r="I25" s="53">
        <f t="shared" si="2"/>
        <v>0</v>
      </c>
    </row>
    <row r="26" ht="15.75" customHeight="1">
      <c r="A26" s="184" t="s">
        <v>54</v>
      </c>
      <c r="B26" s="185">
        <v>3.0</v>
      </c>
      <c r="C26" s="186"/>
      <c r="D26" s="187" t="s">
        <v>133</v>
      </c>
      <c r="E26" s="188" t="s">
        <v>41</v>
      </c>
      <c r="F26" s="85">
        <v>0.0</v>
      </c>
      <c r="G26" s="189">
        <v>1000.0</v>
      </c>
      <c r="H26" s="190">
        <f t="shared" si="1"/>
        <v>0</v>
      </c>
      <c r="I26" s="191">
        <f t="shared" si="2"/>
        <v>0</v>
      </c>
    </row>
    <row r="27" ht="15.75" customHeight="1">
      <c r="A27" s="45" t="s">
        <v>54</v>
      </c>
      <c r="B27" s="46">
        <v>3.0</v>
      </c>
      <c r="C27" s="47"/>
      <c r="D27" s="48" t="s">
        <v>134</v>
      </c>
      <c r="E27" s="49" t="s">
        <v>41</v>
      </c>
      <c r="F27" s="85">
        <v>0.0</v>
      </c>
      <c r="G27" s="51">
        <v>1500.0</v>
      </c>
      <c r="H27" s="52">
        <f t="shared" si="1"/>
        <v>0</v>
      </c>
      <c r="I27" s="53">
        <f t="shared" si="2"/>
        <v>0</v>
      </c>
    </row>
    <row r="28" ht="15.75" customHeight="1">
      <c r="A28" s="184" t="s">
        <v>54</v>
      </c>
      <c r="B28" s="185">
        <v>3.0</v>
      </c>
      <c r="C28" s="186"/>
      <c r="D28" s="187" t="s">
        <v>135</v>
      </c>
      <c r="E28" s="188" t="s">
        <v>41</v>
      </c>
      <c r="F28" s="85">
        <v>0.0</v>
      </c>
      <c r="G28" s="189">
        <v>2000.0</v>
      </c>
      <c r="H28" s="190">
        <f t="shared" si="1"/>
        <v>0</v>
      </c>
      <c r="I28" s="191">
        <f t="shared" si="2"/>
        <v>0</v>
      </c>
    </row>
    <row r="29" ht="15.75" customHeight="1">
      <c r="A29" s="63" t="s">
        <v>54</v>
      </c>
      <c r="B29" s="64">
        <v>3.0</v>
      </c>
      <c r="C29" s="65"/>
      <c r="D29" s="66" t="s">
        <v>136</v>
      </c>
      <c r="E29" s="67" t="s">
        <v>41</v>
      </c>
      <c r="F29" s="86">
        <v>0.0</v>
      </c>
      <c r="G29" s="69">
        <v>2500.0</v>
      </c>
      <c r="H29" s="70">
        <f t="shared" si="1"/>
        <v>0</v>
      </c>
      <c r="I29" s="71">
        <f t="shared" si="2"/>
        <v>0</v>
      </c>
    </row>
    <row r="30" ht="15.75" customHeight="1">
      <c r="A30" s="175" t="s">
        <v>56</v>
      </c>
      <c r="B30" s="176" t="s">
        <v>47</v>
      </c>
      <c r="C30" s="177" t="s">
        <v>147</v>
      </c>
      <c r="D30" s="178">
        <v>200.0</v>
      </c>
      <c r="E30" s="179" t="s">
        <v>41</v>
      </c>
      <c r="F30" s="84">
        <v>0.0</v>
      </c>
      <c r="G30" s="180">
        <v>200.0</v>
      </c>
      <c r="H30" s="181">
        <f t="shared" si="1"/>
        <v>0</v>
      </c>
      <c r="I30" s="182">
        <f t="shared" si="2"/>
        <v>0</v>
      </c>
    </row>
    <row r="31" ht="15.75" customHeight="1">
      <c r="A31" s="45" t="s">
        <v>56</v>
      </c>
      <c r="B31" s="46" t="s">
        <v>47</v>
      </c>
      <c r="C31" s="47"/>
      <c r="D31" s="183" t="s">
        <v>132</v>
      </c>
      <c r="E31" s="49" t="s">
        <v>41</v>
      </c>
      <c r="F31" s="85">
        <v>0.0</v>
      </c>
      <c r="G31" s="51">
        <v>500.0</v>
      </c>
      <c r="H31" s="52">
        <f t="shared" si="1"/>
        <v>0</v>
      </c>
      <c r="I31" s="53">
        <f t="shared" si="2"/>
        <v>0</v>
      </c>
    </row>
    <row r="32" ht="15.75" customHeight="1">
      <c r="A32" s="184" t="s">
        <v>56</v>
      </c>
      <c r="B32" s="185" t="s">
        <v>47</v>
      </c>
      <c r="C32" s="186"/>
      <c r="D32" s="187" t="s">
        <v>133</v>
      </c>
      <c r="E32" s="188" t="s">
        <v>41</v>
      </c>
      <c r="F32" s="85">
        <v>0.0</v>
      </c>
      <c r="G32" s="189">
        <v>1000.0</v>
      </c>
      <c r="H32" s="190">
        <f t="shared" si="1"/>
        <v>0</v>
      </c>
      <c r="I32" s="191">
        <f t="shared" si="2"/>
        <v>0</v>
      </c>
    </row>
    <row r="33" ht="15.75" customHeight="1">
      <c r="A33" s="45" t="s">
        <v>56</v>
      </c>
      <c r="B33" s="46" t="s">
        <v>47</v>
      </c>
      <c r="C33" s="47"/>
      <c r="D33" s="48" t="s">
        <v>134</v>
      </c>
      <c r="E33" s="49" t="s">
        <v>41</v>
      </c>
      <c r="F33" s="85">
        <v>0.0</v>
      </c>
      <c r="G33" s="51">
        <v>1500.0</v>
      </c>
      <c r="H33" s="52">
        <f t="shared" si="1"/>
        <v>0</v>
      </c>
      <c r="I33" s="53">
        <f t="shared" si="2"/>
        <v>0</v>
      </c>
    </row>
    <row r="34" ht="15.75" customHeight="1">
      <c r="A34" s="184" t="s">
        <v>56</v>
      </c>
      <c r="B34" s="185" t="s">
        <v>47</v>
      </c>
      <c r="C34" s="186"/>
      <c r="D34" s="187" t="s">
        <v>135</v>
      </c>
      <c r="E34" s="188" t="s">
        <v>41</v>
      </c>
      <c r="F34" s="85">
        <v>0.0</v>
      </c>
      <c r="G34" s="189">
        <v>2000.0</v>
      </c>
      <c r="H34" s="190">
        <f t="shared" si="1"/>
        <v>0</v>
      </c>
      <c r="I34" s="191">
        <f t="shared" si="2"/>
        <v>0</v>
      </c>
    </row>
    <row r="35" ht="15.75" customHeight="1">
      <c r="A35" s="63" t="s">
        <v>56</v>
      </c>
      <c r="B35" s="64" t="s">
        <v>47</v>
      </c>
      <c r="C35" s="65"/>
      <c r="D35" s="66" t="s">
        <v>136</v>
      </c>
      <c r="E35" s="67" t="s">
        <v>41</v>
      </c>
      <c r="F35" s="86">
        <v>0.0</v>
      </c>
      <c r="G35" s="69">
        <v>2500.0</v>
      </c>
      <c r="H35" s="70">
        <f t="shared" si="1"/>
        <v>0</v>
      </c>
      <c r="I35" s="71">
        <f t="shared" si="2"/>
        <v>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F4"/>
    <mergeCell ref="G4:I4"/>
    <mergeCell ref="C6:C11"/>
    <mergeCell ref="C12:C17"/>
    <mergeCell ref="C18:C23"/>
    <mergeCell ref="C24:C29"/>
    <mergeCell ref="C30:C35"/>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38"/>
    <col customWidth="1" min="3" max="3" width="27.88"/>
    <col customWidth="1" min="4" max="4" width="14.38"/>
    <col customWidth="1" min="5" max="6" width="8.63"/>
    <col customWidth="1" min="7" max="7" width="15.5"/>
    <col customWidth="1" min="8" max="8" width="23.5"/>
    <col customWidth="1" min="9" max="10" width="8.63"/>
    <col customWidth="1" min="11" max="11" width="35.75"/>
    <col customWidth="1" min="12" max="20" width="8.63"/>
  </cols>
  <sheetData>
    <row r="1">
      <c r="A1" s="20" t="s">
        <v>148</v>
      </c>
    </row>
    <row r="2">
      <c r="A2" s="20" t="s">
        <v>24</v>
      </c>
      <c r="B2" s="164"/>
      <c r="C2" s="164"/>
    </row>
    <row r="3" ht="18.0" customHeight="1">
      <c r="A3" s="19"/>
      <c r="B3" s="164"/>
      <c r="C3" s="164"/>
    </row>
    <row r="4" ht="17.25" customHeight="1">
      <c r="A4" s="192" t="s">
        <v>26</v>
      </c>
      <c r="B4" s="193"/>
      <c r="C4" s="193"/>
      <c r="D4" s="193"/>
      <c r="E4" s="193"/>
      <c r="F4" s="194"/>
      <c r="G4" s="195" t="s">
        <v>149</v>
      </c>
      <c r="H4" s="196"/>
      <c r="I4" s="197"/>
    </row>
    <row r="5">
      <c r="A5" s="170" t="s">
        <v>150</v>
      </c>
      <c r="B5" s="94" t="s">
        <v>29</v>
      </c>
      <c r="C5" s="95" t="s">
        <v>30</v>
      </c>
      <c r="D5" s="172" t="s">
        <v>151</v>
      </c>
      <c r="E5" s="67" t="s">
        <v>32</v>
      </c>
      <c r="F5" s="95" t="s">
        <v>33</v>
      </c>
      <c r="G5" s="173" t="s">
        <v>35</v>
      </c>
      <c r="H5" s="174" t="s">
        <v>36</v>
      </c>
      <c r="J5" s="33" t="s">
        <v>37</v>
      </c>
      <c r="K5" s="33" t="s">
        <v>152</v>
      </c>
    </row>
    <row r="6" ht="15.75" customHeight="1">
      <c r="A6" s="198" t="s">
        <v>39</v>
      </c>
      <c r="B6" s="199">
        <v>1.0</v>
      </c>
      <c r="C6" s="200" t="s">
        <v>153</v>
      </c>
      <c r="D6" s="201">
        <v>1.0</v>
      </c>
      <c r="E6" s="202" t="s">
        <v>41</v>
      </c>
      <c r="F6" s="84">
        <v>0.0</v>
      </c>
      <c r="G6" s="203">
        <f t="shared" ref="G6:G55" si="1">D6*F6</f>
        <v>0</v>
      </c>
      <c r="H6" s="204">
        <f t="shared" ref="H6:H55" si="2">G6*365</f>
        <v>0</v>
      </c>
      <c r="J6" s="43">
        <v>1.0</v>
      </c>
      <c r="K6" s="44">
        <f>SUM(H6:H15)</f>
        <v>0</v>
      </c>
    </row>
    <row r="7">
      <c r="A7" s="45" t="s">
        <v>39</v>
      </c>
      <c r="B7" s="107">
        <v>1.0</v>
      </c>
      <c r="C7" s="47"/>
      <c r="D7" s="205">
        <v>2.0</v>
      </c>
      <c r="E7" s="49" t="s">
        <v>41</v>
      </c>
      <c r="F7" s="85">
        <v>0.0</v>
      </c>
      <c r="G7" s="52">
        <f t="shared" si="1"/>
        <v>0</v>
      </c>
      <c r="H7" s="53">
        <f t="shared" si="2"/>
        <v>0</v>
      </c>
      <c r="J7" s="43">
        <v>2.0</v>
      </c>
      <c r="K7" s="44">
        <f>SUM(H16:H25)</f>
        <v>0</v>
      </c>
    </row>
    <row r="8">
      <c r="A8" s="206" t="s">
        <v>39</v>
      </c>
      <c r="B8" s="207">
        <v>1.0</v>
      </c>
      <c r="C8" s="208"/>
      <c r="D8" s="209">
        <v>3.0</v>
      </c>
      <c r="E8" s="210" t="s">
        <v>41</v>
      </c>
      <c r="F8" s="85">
        <v>0.0</v>
      </c>
      <c r="G8" s="211">
        <f t="shared" si="1"/>
        <v>0</v>
      </c>
      <c r="H8" s="212">
        <f t="shared" si="2"/>
        <v>0</v>
      </c>
      <c r="J8" s="43" t="s">
        <v>44</v>
      </c>
      <c r="K8" s="44">
        <f>SUM(H26:H35)</f>
        <v>0</v>
      </c>
    </row>
    <row r="9">
      <c r="A9" s="45" t="s">
        <v>39</v>
      </c>
      <c r="B9" s="107">
        <v>1.0</v>
      </c>
      <c r="C9" s="47"/>
      <c r="D9" s="205">
        <v>4.0</v>
      </c>
      <c r="E9" s="49" t="s">
        <v>41</v>
      </c>
      <c r="F9" s="85">
        <v>0.0</v>
      </c>
      <c r="G9" s="52">
        <f t="shared" si="1"/>
        <v>0</v>
      </c>
      <c r="H9" s="53">
        <f t="shared" si="2"/>
        <v>0</v>
      </c>
      <c r="J9" s="43">
        <v>3.0</v>
      </c>
      <c r="K9" s="44">
        <f>SUM(H36:H45)</f>
        <v>0</v>
      </c>
    </row>
    <row r="10">
      <c r="A10" s="206" t="s">
        <v>39</v>
      </c>
      <c r="B10" s="207">
        <v>1.0</v>
      </c>
      <c r="C10" s="208"/>
      <c r="D10" s="209">
        <v>5.0</v>
      </c>
      <c r="E10" s="210" t="s">
        <v>41</v>
      </c>
      <c r="F10" s="85">
        <v>0.0</v>
      </c>
      <c r="G10" s="211">
        <f t="shared" si="1"/>
        <v>0</v>
      </c>
      <c r="H10" s="212">
        <f t="shared" si="2"/>
        <v>0</v>
      </c>
      <c r="J10" s="43" t="s">
        <v>47</v>
      </c>
      <c r="K10" s="44">
        <f>SUM(H46:H55)</f>
        <v>0</v>
      </c>
    </row>
    <row r="11">
      <c r="A11" s="45" t="s">
        <v>39</v>
      </c>
      <c r="B11" s="107">
        <v>1.0</v>
      </c>
      <c r="C11" s="47"/>
      <c r="D11" s="205">
        <v>6.0</v>
      </c>
      <c r="E11" s="49" t="s">
        <v>41</v>
      </c>
      <c r="F11" s="85">
        <v>0.0</v>
      </c>
      <c r="G11" s="52">
        <f t="shared" si="1"/>
        <v>0</v>
      </c>
      <c r="H11" s="53">
        <f t="shared" si="2"/>
        <v>0</v>
      </c>
      <c r="J11" s="72" t="s">
        <v>137</v>
      </c>
      <c r="K11" s="73">
        <f>sum(K6:K10)</f>
        <v>0</v>
      </c>
    </row>
    <row r="12">
      <c r="A12" s="206" t="s">
        <v>39</v>
      </c>
      <c r="B12" s="207">
        <v>1.0</v>
      </c>
      <c r="C12" s="208"/>
      <c r="D12" s="209">
        <v>7.0</v>
      </c>
      <c r="E12" s="210" t="s">
        <v>41</v>
      </c>
      <c r="F12" s="85">
        <v>0.0</v>
      </c>
      <c r="G12" s="211">
        <f t="shared" si="1"/>
        <v>0</v>
      </c>
      <c r="H12" s="212">
        <f t="shared" si="2"/>
        <v>0</v>
      </c>
    </row>
    <row r="13">
      <c r="A13" s="45" t="s">
        <v>39</v>
      </c>
      <c r="B13" s="107">
        <v>1.0</v>
      </c>
      <c r="C13" s="47"/>
      <c r="D13" s="205">
        <v>8.0</v>
      </c>
      <c r="E13" s="49" t="s">
        <v>41</v>
      </c>
      <c r="F13" s="85">
        <v>0.0</v>
      </c>
      <c r="G13" s="52">
        <f t="shared" si="1"/>
        <v>0</v>
      </c>
      <c r="H13" s="53">
        <f t="shared" si="2"/>
        <v>0</v>
      </c>
    </row>
    <row r="14">
      <c r="A14" s="206" t="s">
        <v>39</v>
      </c>
      <c r="B14" s="207">
        <v>1.0</v>
      </c>
      <c r="C14" s="208"/>
      <c r="D14" s="209">
        <v>9.0</v>
      </c>
      <c r="E14" s="210" t="s">
        <v>41</v>
      </c>
      <c r="F14" s="85">
        <v>0.0</v>
      </c>
      <c r="G14" s="211">
        <f t="shared" si="1"/>
        <v>0</v>
      </c>
      <c r="H14" s="212">
        <f t="shared" si="2"/>
        <v>0</v>
      </c>
    </row>
    <row r="15">
      <c r="A15" s="63" t="s">
        <v>39</v>
      </c>
      <c r="B15" s="117">
        <v>1.0</v>
      </c>
      <c r="C15" s="65"/>
      <c r="D15" s="213">
        <v>10.0</v>
      </c>
      <c r="E15" s="67" t="s">
        <v>41</v>
      </c>
      <c r="F15" s="86">
        <v>0.0</v>
      </c>
      <c r="G15" s="70">
        <f t="shared" si="1"/>
        <v>0</v>
      </c>
      <c r="H15" s="71">
        <f t="shared" si="2"/>
        <v>0</v>
      </c>
    </row>
    <row r="16" ht="15.75" customHeight="1">
      <c r="A16" s="198" t="s">
        <v>50</v>
      </c>
      <c r="B16" s="199">
        <v>2.0</v>
      </c>
      <c r="C16" s="200" t="s">
        <v>154</v>
      </c>
      <c r="D16" s="201">
        <v>1.0</v>
      </c>
      <c r="E16" s="202" t="s">
        <v>41</v>
      </c>
      <c r="F16" s="84">
        <v>0.0</v>
      </c>
      <c r="G16" s="203">
        <f t="shared" si="1"/>
        <v>0</v>
      </c>
      <c r="H16" s="204">
        <f t="shared" si="2"/>
        <v>0</v>
      </c>
    </row>
    <row r="17">
      <c r="A17" s="45" t="s">
        <v>50</v>
      </c>
      <c r="B17" s="107">
        <v>2.0</v>
      </c>
      <c r="C17" s="47"/>
      <c r="D17" s="205">
        <v>2.0</v>
      </c>
      <c r="E17" s="49" t="s">
        <v>41</v>
      </c>
      <c r="F17" s="85">
        <v>0.0</v>
      </c>
      <c r="G17" s="52">
        <f t="shared" si="1"/>
        <v>0</v>
      </c>
      <c r="H17" s="53">
        <f t="shared" si="2"/>
        <v>0</v>
      </c>
    </row>
    <row r="18">
      <c r="A18" s="206" t="s">
        <v>50</v>
      </c>
      <c r="B18" s="207">
        <v>2.0</v>
      </c>
      <c r="C18" s="208"/>
      <c r="D18" s="209">
        <v>3.0</v>
      </c>
      <c r="E18" s="210" t="s">
        <v>41</v>
      </c>
      <c r="F18" s="85">
        <v>0.0</v>
      </c>
      <c r="G18" s="211">
        <f t="shared" si="1"/>
        <v>0</v>
      </c>
      <c r="H18" s="212">
        <f t="shared" si="2"/>
        <v>0</v>
      </c>
    </row>
    <row r="19">
      <c r="A19" s="45" t="s">
        <v>50</v>
      </c>
      <c r="B19" s="107">
        <v>2.0</v>
      </c>
      <c r="C19" s="47"/>
      <c r="D19" s="205">
        <v>4.0</v>
      </c>
      <c r="E19" s="49" t="s">
        <v>41</v>
      </c>
      <c r="F19" s="85">
        <v>0.0</v>
      </c>
      <c r="G19" s="52">
        <f t="shared" si="1"/>
        <v>0</v>
      </c>
      <c r="H19" s="53">
        <f t="shared" si="2"/>
        <v>0</v>
      </c>
    </row>
    <row r="20">
      <c r="A20" s="206" t="s">
        <v>50</v>
      </c>
      <c r="B20" s="207">
        <v>2.0</v>
      </c>
      <c r="C20" s="208"/>
      <c r="D20" s="209">
        <v>5.0</v>
      </c>
      <c r="E20" s="210" t="s">
        <v>41</v>
      </c>
      <c r="F20" s="85">
        <v>0.0</v>
      </c>
      <c r="G20" s="211">
        <f t="shared" si="1"/>
        <v>0</v>
      </c>
      <c r="H20" s="212">
        <f t="shared" si="2"/>
        <v>0</v>
      </c>
    </row>
    <row r="21">
      <c r="A21" s="45" t="s">
        <v>50</v>
      </c>
      <c r="B21" s="107">
        <v>2.0</v>
      </c>
      <c r="C21" s="47"/>
      <c r="D21" s="205">
        <v>6.0</v>
      </c>
      <c r="E21" s="49" t="s">
        <v>41</v>
      </c>
      <c r="F21" s="85">
        <v>0.0</v>
      </c>
      <c r="G21" s="52">
        <f t="shared" si="1"/>
        <v>0</v>
      </c>
      <c r="H21" s="53">
        <f t="shared" si="2"/>
        <v>0</v>
      </c>
    </row>
    <row r="22">
      <c r="A22" s="206" t="s">
        <v>50</v>
      </c>
      <c r="B22" s="207">
        <v>2.0</v>
      </c>
      <c r="C22" s="208"/>
      <c r="D22" s="209">
        <v>7.0</v>
      </c>
      <c r="E22" s="210" t="s">
        <v>41</v>
      </c>
      <c r="F22" s="85">
        <v>0.0</v>
      </c>
      <c r="G22" s="211">
        <f t="shared" si="1"/>
        <v>0</v>
      </c>
      <c r="H22" s="212">
        <f t="shared" si="2"/>
        <v>0</v>
      </c>
    </row>
    <row r="23">
      <c r="A23" s="45" t="s">
        <v>50</v>
      </c>
      <c r="B23" s="107">
        <v>2.0</v>
      </c>
      <c r="C23" s="47"/>
      <c r="D23" s="205">
        <v>8.0</v>
      </c>
      <c r="E23" s="49" t="s">
        <v>41</v>
      </c>
      <c r="F23" s="85">
        <v>0.0</v>
      </c>
      <c r="G23" s="52">
        <f t="shared" si="1"/>
        <v>0</v>
      </c>
      <c r="H23" s="53">
        <f t="shared" si="2"/>
        <v>0</v>
      </c>
    </row>
    <row r="24">
      <c r="A24" s="206" t="s">
        <v>50</v>
      </c>
      <c r="B24" s="207">
        <v>2.0</v>
      </c>
      <c r="C24" s="208"/>
      <c r="D24" s="209">
        <v>9.0</v>
      </c>
      <c r="E24" s="210" t="s">
        <v>41</v>
      </c>
      <c r="F24" s="85">
        <v>0.0</v>
      </c>
      <c r="G24" s="211">
        <f t="shared" si="1"/>
        <v>0</v>
      </c>
      <c r="H24" s="212">
        <f t="shared" si="2"/>
        <v>0</v>
      </c>
    </row>
    <row r="25">
      <c r="A25" s="63" t="s">
        <v>50</v>
      </c>
      <c r="B25" s="117">
        <v>2.0</v>
      </c>
      <c r="C25" s="65"/>
      <c r="D25" s="213">
        <v>10.0</v>
      </c>
      <c r="E25" s="67" t="s">
        <v>41</v>
      </c>
      <c r="F25" s="86">
        <v>0.0</v>
      </c>
      <c r="G25" s="70">
        <f t="shared" si="1"/>
        <v>0</v>
      </c>
      <c r="H25" s="71">
        <f t="shared" si="2"/>
        <v>0</v>
      </c>
    </row>
    <row r="26" ht="15.75" customHeight="1">
      <c r="A26" s="198" t="s">
        <v>52</v>
      </c>
      <c r="B26" s="199" t="s">
        <v>44</v>
      </c>
      <c r="C26" s="200" t="s">
        <v>155</v>
      </c>
      <c r="D26" s="201">
        <v>1.0</v>
      </c>
      <c r="E26" s="202" t="s">
        <v>41</v>
      </c>
      <c r="F26" s="84">
        <v>0.0</v>
      </c>
      <c r="G26" s="203">
        <f t="shared" si="1"/>
        <v>0</v>
      </c>
      <c r="H26" s="204">
        <f t="shared" si="2"/>
        <v>0</v>
      </c>
    </row>
    <row r="27">
      <c r="A27" s="45" t="s">
        <v>52</v>
      </c>
      <c r="B27" s="107" t="s">
        <v>44</v>
      </c>
      <c r="C27" s="47"/>
      <c r="D27" s="205">
        <v>2.0</v>
      </c>
      <c r="E27" s="49" t="s">
        <v>41</v>
      </c>
      <c r="F27" s="85">
        <v>0.0</v>
      </c>
      <c r="G27" s="52">
        <f t="shared" si="1"/>
        <v>0</v>
      </c>
      <c r="H27" s="53">
        <f t="shared" si="2"/>
        <v>0</v>
      </c>
    </row>
    <row r="28">
      <c r="A28" s="206" t="s">
        <v>52</v>
      </c>
      <c r="B28" s="207" t="s">
        <v>44</v>
      </c>
      <c r="C28" s="208"/>
      <c r="D28" s="209">
        <v>3.0</v>
      </c>
      <c r="E28" s="210" t="s">
        <v>41</v>
      </c>
      <c r="F28" s="85">
        <v>0.0</v>
      </c>
      <c r="G28" s="211">
        <f t="shared" si="1"/>
        <v>0</v>
      </c>
      <c r="H28" s="212">
        <f t="shared" si="2"/>
        <v>0</v>
      </c>
    </row>
    <row r="29" ht="15.75" customHeight="1">
      <c r="A29" s="45" t="s">
        <v>52</v>
      </c>
      <c r="B29" s="107" t="s">
        <v>44</v>
      </c>
      <c r="C29" s="47"/>
      <c r="D29" s="205">
        <v>4.0</v>
      </c>
      <c r="E29" s="49" t="s">
        <v>41</v>
      </c>
      <c r="F29" s="85">
        <v>0.0</v>
      </c>
      <c r="G29" s="52">
        <f t="shared" si="1"/>
        <v>0</v>
      </c>
      <c r="H29" s="53">
        <f t="shared" si="2"/>
        <v>0</v>
      </c>
    </row>
    <row r="30" ht="15.75" customHeight="1">
      <c r="A30" s="206" t="s">
        <v>52</v>
      </c>
      <c r="B30" s="207" t="s">
        <v>44</v>
      </c>
      <c r="C30" s="208"/>
      <c r="D30" s="209">
        <v>5.0</v>
      </c>
      <c r="E30" s="210" t="s">
        <v>41</v>
      </c>
      <c r="F30" s="85">
        <v>0.0</v>
      </c>
      <c r="G30" s="211">
        <f t="shared" si="1"/>
        <v>0</v>
      </c>
      <c r="H30" s="212">
        <f t="shared" si="2"/>
        <v>0</v>
      </c>
    </row>
    <row r="31" ht="15.75" customHeight="1">
      <c r="A31" s="45" t="s">
        <v>52</v>
      </c>
      <c r="B31" s="107" t="s">
        <v>44</v>
      </c>
      <c r="C31" s="47"/>
      <c r="D31" s="205">
        <v>6.0</v>
      </c>
      <c r="E31" s="49" t="s">
        <v>41</v>
      </c>
      <c r="F31" s="85">
        <v>0.0</v>
      </c>
      <c r="G31" s="52">
        <f t="shared" si="1"/>
        <v>0</v>
      </c>
      <c r="H31" s="53">
        <f t="shared" si="2"/>
        <v>0</v>
      </c>
    </row>
    <row r="32" ht="15.75" customHeight="1">
      <c r="A32" s="206" t="s">
        <v>52</v>
      </c>
      <c r="B32" s="207" t="s">
        <v>44</v>
      </c>
      <c r="C32" s="208"/>
      <c r="D32" s="209">
        <v>7.0</v>
      </c>
      <c r="E32" s="210" t="s">
        <v>41</v>
      </c>
      <c r="F32" s="85">
        <v>0.0</v>
      </c>
      <c r="G32" s="211">
        <f t="shared" si="1"/>
        <v>0</v>
      </c>
      <c r="H32" s="212">
        <f t="shared" si="2"/>
        <v>0</v>
      </c>
    </row>
    <row r="33" ht="15.75" customHeight="1">
      <c r="A33" s="45" t="s">
        <v>52</v>
      </c>
      <c r="B33" s="107" t="s">
        <v>44</v>
      </c>
      <c r="C33" s="47"/>
      <c r="D33" s="205">
        <v>8.0</v>
      </c>
      <c r="E33" s="49" t="s">
        <v>41</v>
      </c>
      <c r="F33" s="85">
        <v>0.0</v>
      </c>
      <c r="G33" s="52">
        <f t="shared" si="1"/>
        <v>0</v>
      </c>
      <c r="H33" s="53">
        <f t="shared" si="2"/>
        <v>0</v>
      </c>
    </row>
    <row r="34" ht="15.75" customHeight="1">
      <c r="A34" s="206" t="s">
        <v>52</v>
      </c>
      <c r="B34" s="207" t="s">
        <v>44</v>
      </c>
      <c r="C34" s="208"/>
      <c r="D34" s="209">
        <v>9.0</v>
      </c>
      <c r="E34" s="210" t="s">
        <v>41</v>
      </c>
      <c r="F34" s="85">
        <v>0.0</v>
      </c>
      <c r="G34" s="211">
        <f t="shared" si="1"/>
        <v>0</v>
      </c>
      <c r="H34" s="212">
        <f t="shared" si="2"/>
        <v>0</v>
      </c>
    </row>
    <row r="35" ht="15.75" customHeight="1">
      <c r="A35" s="63" t="s">
        <v>52</v>
      </c>
      <c r="B35" s="117" t="s">
        <v>44</v>
      </c>
      <c r="C35" s="65"/>
      <c r="D35" s="213">
        <v>10.0</v>
      </c>
      <c r="E35" s="67" t="s">
        <v>41</v>
      </c>
      <c r="F35" s="86">
        <v>0.0</v>
      </c>
      <c r="G35" s="70">
        <f t="shared" si="1"/>
        <v>0</v>
      </c>
      <c r="H35" s="71">
        <f t="shared" si="2"/>
        <v>0</v>
      </c>
    </row>
    <row r="36" ht="15.75" customHeight="1">
      <c r="A36" s="198" t="s">
        <v>54</v>
      </c>
      <c r="B36" s="199">
        <v>3.0</v>
      </c>
      <c r="C36" s="200" t="s">
        <v>156</v>
      </c>
      <c r="D36" s="201">
        <v>1.0</v>
      </c>
      <c r="E36" s="202" t="s">
        <v>41</v>
      </c>
      <c r="F36" s="84">
        <v>0.0</v>
      </c>
      <c r="G36" s="203">
        <f t="shared" si="1"/>
        <v>0</v>
      </c>
      <c r="H36" s="204">
        <f t="shared" si="2"/>
        <v>0</v>
      </c>
    </row>
    <row r="37" ht="15.75" customHeight="1">
      <c r="A37" s="45" t="s">
        <v>54</v>
      </c>
      <c r="B37" s="107">
        <v>3.0</v>
      </c>
      <c r="C37" s="47"/>
      <c r="D37" s="205">
        <v>2.0</v>
      </c>
      <c r="E37" s="49" t="s">
        <v>41</v>
      </c>
      <c r="F37" s="85">
        <v>0.0</v>
      </c>
      <c r="G37" s="52">
        <f t="shared" si="1"/>
        <v>0</v>
      </c>
      <c r="H37" s="53">
        <f t="shared" si="2"/>
        <v>0</v>
      </c>
    </row>
    <row r="38" ht="15.75" customHeight="1">
      <c r="A38" s="206" t="s">
        <v>54</v>
      </c>
      <c r="B38" s="207">
        <v>3.0</v>
      </c>
      <c r="C38" s="208"/>
      <c r="D38" s="209">
        <v>3.0</v>
      </c>
      <c r="E38" s="210" t="s">
        <v>41</v>
      </c>
      <c r="F38" s="85">
        <v>0.0</v>
      </c>
      <c r="G38" s="211">
        <f t="shared" si="1"/>
        <v>0</v>
      </c>
      <c r="H38" s="212">
        <f t="shared" si="2"/>
        <v>0</v>
      </c>
    </row>
    <row r="39" ht="15.75" customHeight="1">
      <c r="A39" s="45" t="s">
        <v>54</v>
      </c>
      <c r="B39" s="107">
        <v>3.0</v>
      </c>
      <c r="C39" s="47"/>
      <c r="D39" s="205">
        <v>4.0</v>
      </c>
      <c r="E39" s="49" t="s">
        <v>41</v>
      </c>
      <c r="F39" s="85">
        <v>0.0</v>
      </c>
      <c r="G39" s="52">
        <f t="shared" si="1"/>
        <v>0</v>
      </c>
      <c r="H39" s="53">
        <f t="shared" si="2"/>
        <v>0</v>
      </c>
    </row>
    <row r="40" ht="15.75" customHeight="1">
      <c r="A40" s="206" t="s">
        <v>54</v>
      </c>
      <c r="B40" s="207">
        <v>3.0</v>
      </c>
      <c r="C40" s="208"/>
      <c r="D40" s="209">
        <v>5.0</v>
      </c>
      <c r="E40" s="210" t="s">
        <v>41</v>
      </c>
      <c r="F40" s="85">
        <v>0.0</v>
      </c>
      <c r="G40" s="211">
        <f t="shared" si="1"/>
        <v>0</v>
      </c>
      <c r="H40" s="212">
        <f t="shared" si="2"/>
        <v>0</v>
      </c>
    </row>
    <row r="41" ht="15.75" customHeight="1">
      <c r="A41" s="45" t="s">
        <v>54</v>
      </c>
      <c r="B41" s="107">
        <v>3.0</v>
      </c>
      <c r="C41" s="47"/>
      <c r="D41" s="205">
        <v>6.0</v>
      </c>
      <c r="E41" s="49" t="s">
        <v>41</v>
      </c>
      <c r="F41" s="85">
        <v>0.0</v>
      </c>
      <c r="G41" s="52">
        <f t="shared" si="1"/>
        <v>0</v>
      </c>
      <c r="H41" s="53">
        <f t="shared" si="2"/>
        <v>0</v>
      </c>
    </row>
    <row r="42" ht="15.75" customHeight="1">
      <c r="A42" s="206" t="s">
        <v>54</v>
      </c>
      <c r="B42" s="207">
        <v>3.0</v>
      </c>
      <c r="C42" s="208"/>
      <c r="D42" s="209">
        <v>7.0</v>
      </c>
      <c r="E42" s="210" t="s">
        <v>41</v>
      </c>
      <c r="F42" s="85">
        <v>0.0</v>
      </c>
      <c r="G42" s="211">
        <f t="shared" si="1"/>
        <v>0</v>
      </c>
      <c r="H42" s="212">
        <f t="shared" si="2"/>
        <v>0</v>
      </c>
    </row>
    <row r="43" ht="15.75" customHeight="1">
      <c r="A43" s="45" t="s">
        <v>54</v>
      </c>
      <c r="B43" s="107">
        <v>3.0</v>
      </c>
      <c r="C43" s="47"/>
      <c r="D43" s="205">
        <v>8.0</v>
      </c>
      <c r="E43" s="49" t="s">
        <v>41</v>
      </c>
      <c r="F43" s="85">
        <v>0.0</v>
      </c>
      <c r="G43" s="52">
        <f t="shared" si="1"/>
        <v>0</v>
      </c>
      <c r="H43" s="53">
        <f t="shared" si="2"/>
        <v>0</v>
      </c>
    </row>
    <row r="44" ht="15.75" customHeight="1">
      <c r="A44" s="206" t="s">
        <v>54</v>
      </c>
      <c r="B44" s="207">
        <v>3.0</v>
      </c>
      <c r="C44" s="208"/>
      <c r="D44" s="209">
        <v>9.0</v>
      </c>
      <c r="E44" s="210" t="s">
        <v>41</v>
      </c>
      <c r="F44" s="85">
        <v>0.0</v>
      </c>
      <c r="G44" s="211">
        <f t="shared" si="1"/>
        <v>0</v>
      </c>
      <c r="H44" s="212">
        <f t="shared" si="2"/>
        <v>0</v>
      </c>
    </row>
    <row r="45" ht="15.75" customHeight="1">
      <c r="A45" s="63" t="s">
        <v>54</v>
      </c>
      <c r="B45" s="117">
        <v>3.0</v>
      </c>
      <c r="C45" s="65"/>
      <c r="D45" s="213">
        <v>10.0</v>
      </c>
      <c r="E45" s="67" t="s">
        <v>41</v>
      </c>
      <c r="F45" s="86">
        <v>0.0</v>
      </c>
      <c r="G45" s="70">
        <f t="shared" si="1"/>
        <v>0</v>
      </c>
      <c r="H45" s="71">
        <f t="shared" si="2"/>
        <v>0</v>
      </c>
    </row>
    <row r="46" ht="15.75" customHeight="1">
      <c r="A46" s="198" t="s">
        <v>56</v>
      </c>
      <c r="B46" s="199" t="s">
        <v>47</v>
      </c>
      <c r="C46" s="200" t="s">
        <v>157</v>
      </c>
      <c r="D46" s="201">
        <v>1.0</v>
      </c>
      <c r="E46" s="202" t="s">
        <v>41</v>
      </c>
      <c r="F46" s="84">
        <v>0.0</v>
      </c>
      <c r="G46" s="203">
        <f t="shared" si="1"/>
        <v>0</v>
      </c>
      <c r="H46" s="204">
        <f t="shared" si="2"/>
        <v>0</v>
      </c>
    </row>
    <row r="47" ht="15.75" customHeight="1">
      <c r="A47" s="45" t="s">
        <v>56</v>
      </c>
      <c r="B47" s="107" t="s">
        <v>47</v>
      </c>
      <c r="C47" s="47"/>
      <c r="D47" s="205">
        <v>2.0</v>
      </c>
      <c r="E47" s="49" t="s">
        <v>41</v>
      </c>
      <c r="F47" s="85">
        <v>0.0</v>
      </c>
      <c r="G47" s="52">
        <f t="shared" si="1"/>
        <v>0</v>
      </c>
      <c r="H47" s="53">
        <f t="shared" si="2"/>
        <v>0</v>
      </c>
    </row>
    <row r="48" ht="15.75" customHeight="1">
      <c r="A48" s="206" t="s">
        <v>56</v>
      </c>
      <c r="B48" s="207" t="s">
        <v>47</v>
      </c>
      <c r="C48" s="208"/>
      <c r="D48" s="209">
        <v>3.0</v>
      </c>
      <c r="E48" s="210" t="s">
        <v>41</v>
      </c>
      <c r="F48" s="85">
        <v>0.0</v>
      </c>
      <c r="G48" s="211">
        <f t="shared" si="1"/>
        <v>0</v>
      </c>
      <c r="H48" s="212">
        <f t="shared" si="2"/>
        <v>0</v>
      </c>
    </row>
    <row r="49" ht="15.75" customHeight="1">
      <c r="A49" s="45" t="s">
        <v>56</v>
      </c>
      <c r="B49" s="107" t="s">
        <v>47</v>
      </c>
      <c r="C49" s="47"/>
      <c r="D49" s="205">
        <v>4.0</v>
      </c>
      <c r="E49" s="49" t="s">
        <v>41</v>
      </c>
      <c r="F49" s="85">
        <v>0.0</v>
      </c>
      <c r="G49" s="52">
        <f t="shared" si="1"/>
        <v>0</v>
      </c>
      <c r="H49" s="53">
        <f t="shared" si="2"/>
        <v>0</v>
      </c>
    </row>
    <row r="50" ht="15.75" customHeight="1">
      <c r="A50" s="206" t="s">
        <v>56</v>
      </c>
      <c r="B50" s="207" t="s">
        <v>47</v>
      </c>
      <c r="C50" s="208"/>
      <c r="D50" s="209">
        <v>5.0</v>
      </c>
      <c r="E50" s="210" t="s">
        <v>41</v>
      </c>
      <c r="F50" s="85">
        <v>0.0</v>
      </c>
      <c r="G50" s="211">
        <f t="shared" si="1"/>
        <v>0</v>
      </c>
      <c r="H50" s="212">
        <f t="shared" si="2"/>
        <v>0</v>
      </c>
    </row>
    <row r="51" ht="15.75" customHeight="1">
      <c r="A51" s="45" t="s">
        <v>56</v>
      </c>
      <c r="B51" s="107" t="s">
        <v>47</v>
      </c>
      <c r="C51" s="47"/>
      <c r="D51" s="205">
        <v>6.0</v>
      </c>
      <c r="E51" s="49" t="s">
        <v>41</v>
      </c>
      <c r="F51" s="85">
        <v>0.0</v>
      </c>
      <c r="G51" s="52">
        <f t="shared" si="1"/>
        <v>0</v>
      </c>
      <c r="H51" s="53">
        <f t="shared" si="2"/>
        <v>0</v>
      </c>
    </row>
    <row r="52" ht="15.75" customHeight="1">
      <c r="A52" s="206" t="s">
        <v>56</v>
      </c>
      <c r="B52" s="207" t="s">
        <v>47</v>
      </c>
      <c r="C52" s="208"/>
      <c r="D52" s="209">
        <v>7.0</v>
      </c>
      <c r="E52" s="210" t="s">
        <v>41</v>
      </c>
      <c r="F52" s="85">
        <v>0.0</v>
      </c>
      <c r="G52" s="211">
        <f t="shared" si="1"/>
        <v>0</v>
      </c>
      <c r="H52" s="212">
        <f t="shared" si="2"/>
        <v>0</v>
      </c>
    </row>
    <row r="53" ht="15.75" customHeight="1">
      <c r="A53" s="45" t="s">
        <v>56</v>
      </c>
      <c r="B53" s="107" t="s">
        <v>47</v>
      </c>
      <c r="C53" s="47"/>
      <c r="D53" s="205">
        <v>8.0</v>
      </c>
      <c r="E53" s="49" t="s">
        <v>41</v>
      </c>
      <c r="F53" s="85">
        <v>0.0</v>
      </c>
      <c r="G53" s="52">
        <f t="shared" si="1"/>
        <v>0</v>
      </c>
      <c r="H53" s="53">
        <f t="shared" si="2"/>
        <v>0</v>
      </c>
    </row>
    <row r="54" ht="15.75" customHeight="1">
      <c r="A54" s="206" t="s">
        <v>56</v>
      </c>
      <c r="B54" s="207" t="s">
        <v>47</v>
      </c>
      <c r="C54" s="208"/>
      <c r="D54" s="209">
        <v>9.0</v>
      </c>
      <c r="E54" s="210" t="s">
        <v>41</v>
      </c>
      <c r="F54" s="85">
        <v>0.0</v>
      </c>
      <c r="G54" s="211">
        <f t="shared" si="1"/>
        <v>0</v>
      </c>
      <c r="H54" s="212">
        <f t="shared" si="2"/>
        <v>0</v>
      </c>
    </row>
    <row r="55" ht="15.75" customHeight="1">
      <c r="A55" s="63" t="s">
        <v>56</v>
      </c>
      <c r="B55" s="117" t="s">
        <v>47</v>
      </c>
      <c r="C55" s="65"/>
      <c r="D55" s="213">
        <v>10.0</v>
      </c>
      <c r="E55" s="67" t="s">
        <v>41</v>
      </c>
      <c r="F55" s="86">
        <v>0.0</v>
      </c>
      <c r="G55" s="70">
        <f t="shared" si="1"/>
        <v>0</v>
      </c>
      <c r="H55" s="71">
        <f t="shared" si="2"/>
        <v>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mergeCells count="8">
    <mergeCell ref="A1:H1"/>
    <mergeCell ref="A4:F4"/>
    <mergeCell ref="G4:H4"/>
    <mergeCell ref="C6:C15"/>
    <mergeCell ref="C16:C25"/>
    <mergeCell ref="C26:C35"/>
    <mergeCell ref="C36:C45"/>
    <mergeCell ref="C46:C55"/>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38"/>
    <col customWidth="1" min="3" max="3" width="27.88"/>
    <col customWidth="1" min="4" max="4" width="14.38"/>
    <col customWidth="1" min="5" max="6" width="8.63"/>
    <col customWidth="1" min="7" max="7" width="15.5"/>
    <col customWidth="1" min="8" max="8" width="23.5"/>
    <col customWidth="1" min="9" max="10" width="8.63"/>
    <col customWidth="1" min="11" max="11" width="35.75"/>
    <col customWidth="1" min="12" max="25" width="8.63"/>
  </cols>
  <sheetData>
    <row r="1">
      <c r="A1" s="20" t="s">
        <v>148</v>
      </c>
    </row>
    <row r="2">
      <c r="A2" s="20" t="s">
        <v>102</v>
      </c>
      <c r="B2" s="164"/>
      <c r="C2" s="164"/>
    </row>
    <row r="3" ht="20.25" customHeight="1">
      <c r="A3" s="19"/>
      <c r="B3" s="164"/>
      <c r="C3" s="164"/>
    </row>
    <row r="4">
      <c r="A4" s="192" t="s">
        <v>26</v>
      </c>
      <c r="B4" s="193"/>
      <c r="C4" s="193"/>
      <c r="D4" s="193"/>
      <c r="E4" s="193"/>
      <c r="F4" s="194"/>
      <c r="G4" s="195" t="s">
        <v>149</v>
      </c>
      <c r="H4" s="196"/>
      <c r="I4" s="197"/>
    </row>
    <row r="5">
      <c r="A5" s="170" t="s">
        <v>150</v>
      </c>
      <c r="B5" s="94" t="s">
        <v>29</v>
      </c>
      <c r="C5" s="95" t="s">
        <v>30</v>
      </c>
      <c r="D5" s="172" t="s">
        <v>151</v>
      </c>
      <c r="E5" s="67" t="s">
        <v>32</v>
      </c>
      <c r="F5" s="95" t="s">
        <v>33</v>
      </c>
      <c r="G5" s="173" t="s">
        <v>35</v>
      </c>
      <c r="H5" s="174" t="s">
        <v>36</v>
      </c>
      <c r="J5" s="33" t="s">
        <v>37</v>
      </c>
      <c r="K5" s="33" t="s">
        <v>158</v>
      </c>
    </row>
    <row r="6" ht="15.75" customHeight="1">
      <c r="A6" s="198" t="s">
        <v>39</v>
      </c>
      <c r="B6" s="199">
        <v>1.0</v>
      </c>
      <c r="C6" s="200" t="s">
        <v>159</v>
      </c>
      <c r="D6" s="201">
        <v>1.0</v>
      </c>
      <c r="E6" s="202" t="s">
        <v>41</v>
      </c>
      <c r="F6" s="84">
        <v>0.0</v>
      </c>
      <c r="G6" s="203">
        <f t="shared" ref="G6:G55" si="1">D6*F6</f>
        <v>0</v>
      </c>
      <c r="H6" s="204">
        <f t="shared" ref="H6:H55" si="2">G6*365</f>
        <v>0</v>
      </c>
      <c r="J6" s="43">
        <v>1.0</v>
      </c>
      <c r="K6" s="44">
        <f>SUM(H6:H15)</f>
        <v>0</v>
      </c>
    </row>
    <row r="7">
      <c r="A7" s="45" t="s">
        <v>39</v>
      </c>
      <c r="B7" s="107">
        <v>1.0</v>
      </c>
      <c r="C7" s="47"/>
      <c r="D7" s="205">
        <v>2.0</v>
      </c>
      <c r="E7" s="49" t="s">
        <v>41</v>
      </c>
      <c r="F7" s="85">
        <v>0.0</v>
      </c>
      <c r="G7" s="52">
        <f t="shared" si="1"/>
        <v>0</v>
      </c>
      <c r="H7" s="53">
        <f t="shared" si="2"/>
        <v>0</v>
      </c>
      <c r="J7" s="43">
        <v>2.0</v>
      </c>
      <c r="K7" s="44">
        <f>SUM(H16:H25)</f>
        <v>0</v>
      </c>
    </row>
    <row r="8">
      <c r="A8" s="206" t="s">
        <v>39</v>
      </c>
      <c r="B8" s="207">
        <v>1.0</v>
      </c>
      <c r="C8" s="208"/>
      <c r="D8" s="209">
        <v>3.0</v>
      </c>
      <c r="E8" s="210" t="s">
        <v>41</v>
      </c>
      <c r="F8" s="85">
        <v>0.0</v>
      </c>
      <c r="G8" s="211">
        <f t="shared" si="1"/>
        <v>0</v>
      </c>
      <c r="H8" s="212">
        <f t="shared" si="2"/>
        <v>0</v>
      </c>
      <c r="J8" s="43" t="s">
        <v>44</v>
      </c>
      <c r="K8" s="44">
        <f>SUM(H26:H35)</f>
        <v>0</v>
      </c>
    </row>
    <row r="9">
      <c r="A9" s="45" t="s">
        <v>39</v>
      </c>
      <c r="B9" s="107">
        <v>1.0</v>
      </c>
      <c r="C9" s="47"/>
      <c r="D9" s="205">
        <v>4.0</v>
      </c>
      <c r="E9" s="49" t="s">
        <v>41</v>
      </c>
      <c r="F9" s="85">
        <v>0.0</v>
      </c>
      <c r="G9" s="52">
        <f t="shared" si="1"/>
        <v>0</v>
      </c>
      <c r="H9" s="53">
        <f t="shared" si="2"/>
        <v>0</v>
      </c>
      <c r="J9" s="43">
        <v>3.0</v>
      </c>
      <c r="K9" s="44">
        <f>SUM(H36:H45)</f>
        <v>0</v>
      </c>
    </row>
    <row r="10">
      <c r="A10" s="206" t="s">
        <v>39</v>
      </c>
      <c r="B10" s="207">
        <v>1.0</v>
      </c>
      <c r="C10" s="208"/>
      <c r="D10" s="209">
        <v>5.0</v>
      </c>
      <c r="E10" s="210" t="s">
        <v>41</v>
      </c>
      <c r="F10" s="85">
        <v>0.0</v>
      </c>
      <c r="G10" s="211">
        <f t="shared" si="1"/>
        <v>0</v>
      </c>
      <c r="H10" s="212">
        <f t="shared" si="2"/>
        <v>0</v>
      </c>
      <c r="J10" s="43" t="s">
        <v>47</v>
      </c>
      <c r="K10" s="44">
        <f>SUM(H46:H55)</f>
        <v>0</v>
      </c>
    </row>
    <row r="11">
      <c r="A11" s="45" t="s">
        <v>39</v>
      </c>
      <c r="B11" s="107">
        <v>1.0</v>
      </c>
      <c r="C11" s="47"/>
      <c r="D11" s="205">
        <v>6.0</v>
      </c>
      <c r="E11" s="49" t="s">
        <v>41</v>
      </c>
      <c r="F11" s="85">
        <v>0.0</v>
      </c>
      <c r="G11" s="52">
        <f t="shared" si="1"/>
        <v>0</v>
      </c>
      <c r="H11" s="53">
        <f t="shared" si="2"/>
        <v>0</v>
      </c>
      <c r="J11" s="72" t="s">
        <v>137</v>
      </c>
      <c r="K11" s="73">
        <f>sum(K6:K10)</f>
        <v>0</v>
      </c>
    </row>
    <row r="12" ht="15.75" customHeight="1">
      <c r="A12" s="206" t="s">
        <v>39</v>
      </c>
      <c r="B12" s="207">
        <v>1.0</v>
      </c>
      <c r="C12" s="208"/>
      <c r="D12" s="209">
        <v>7.0</v>
      </c>
      <c r="E12" s="210" t="s">
        <v>41</v>
      </c>
      <c r="F12" s="85">
        <v>0.0</v>
      </c>
      <c r="G12" s="211">
        <f t="shared" si="1"/>
        <v>0</v>
      </c>
      <c r="H12" s="212">
        <f t="shared" si="2"/>
        <v>0</v>
      </c>
    </row>
    <row r="13">
      <c r="A13" s="45" t="s">
        <v>39</v>
      </c>
      <c r="B13" s="107">
        <v>1.0</v>
      </c>
      <c r="C13" s="47"/>
      <c r="D13" s="205">
        <v>8.0</v>
      </c>
      <c r="E13" s="49" t="s">
        <v>41</v>
      </c>
      <c r="F13" s="85">
        <v>0.0</v>
      </c>
      <c r="G13" s="52">
        <f t="shared" si="1"/>
        <v>0</v>
      </c>
      <c r="H13" s="53">
        <f t="shared" si="2"/>
        <v>0</v>
      </c>
    </row>
    <row r="14">
      <c r="A14" s="206" t="s">
        <v>39</v>
      </c>
      <c r="B14" s="207">
        <v>1.0</v>
      </c>
      <c r="C14" s="208"/>
      <c r="D14" s="209">
        <v>9.0</v>
      </c>
      <c r="E14" s="210" t="s">
        <v>41</v>
      </c>
      <c r="F14" s="85">
        <v>0.0</v>
      </c>
      <c r="G14" s="211">
        <f t="shared" si="1"/>
        <v>0</v>
      </c>
      <c r="H14" s="212">
        <f t="shared" si="2"/>
        <v>0</v>
      </c>
    </row>
    <row r="15">
      <c r="A15" s="63" t="s">
        <v>39</v>
      </c>
      <c r="B15" s="117">
        <v>1.0</v>
      </c>
      <c r="C15" s="65"/>
      <c r="D15" s="213">
        <v>10.0</v>
      </c>
      <c r="E15" s="67" t="s">
        <v>41</v>
      </c>
      <c r="F15" s="86">
        <v>0.0</v>
      </c>
      <c r="G15" s="70">
        <f t="shared" si="1"/>
        <v>0</v>
      </c>
      <c r="H15" s="71">
        <f t="shared" si="2"/>
        <v>0</v>
      </c>
    </row>
    <row r="16">
      <c r="A16" s="198" t="s">
        <v>50</v>
      </c>
      <c r="B16" s="199">
        <v>2.0</v>
      </c>
      <c r="C16" s="200" t="s">
        <v>160</v>
      </c>
      <c r="D16" s="201">
        <v>1.0</v>
      </c>
      <c r="E16" s="202" t="s">
        <v>41</v>
      </c>
      <c r="F16" s="84">
        <v>0.0</v>
      </c>
      <c r="G16" s="203">
        <f t="shared" si="1"/>
        <v>0</v>
      </c>
      <c r="H16" s="204">
        <f t="shared" si="2"/>
        <v>0</v>
      </c>
    </row>
    <row r="17">
      <c r="A17" s="45" t="s">
        <v>50</v>
      </c>
      <c r="B17" s="107">
        <v>2.0</v>
      </c>
      <c r="C17" s="47"/>
      <c r="D17" s="205">
        <v>2.0</v>
      </c>
      <c r="E17" s="49" t="s">
        <v>41</v>
      </c>
      <c r="F17" s="85">
        <v>0.0</v>
      </c>
      <c r="G17" s="52">
        <f t="shared" si="1"/>
        <v>0</v>
      </c>
      <c r="H17" s="53">
        <f t="shared" si="2"/>
        <v>0</v>
      </c>
    </row>
    <row r="18" ht="15.75" customHeight="1">
      <c r="A18" s="206" t="s">
        <v>50</v>
      </c>
      <c r="B18" s="207">
        <v>2.0</v>
      </c>
      <c r="C18" s="208"/>
      <c r="D18" s="209">
        <v>3.0</v>
      </c>
      <c r="E18" s="210" t="s">
        <v>41</v>
      </c>
      <c r="F18" s="85">
        <v>0.0</v>
      </c>
      <c r="G18" s="211">
        <f t="shared" si="1"/>
        <v>0</v>
      </c>
      <c r="H18" s="212">
        <f t="shared" si="2"/>
        <v>0</v>
      </c>
    </row>
    <row r="19">
      <c r="A19" s="45" t="s">
        <v>50</v>
      </c>
      <c r="B19" s="107">
        <v>2.0</v>
      </c>
      <c r="C19" s="47"/>
      <c r="D19" s="205">
        <v>4.0</v>
      </c>
      <c r="E19" s="49" t="s">
        <v>41</v>
      </c>
      <c r="F19" s="85">
        <v>0.0</v>
      </c>
      <c r="G19" s="52">
        <f t="shared" si="1"/>
        <v>0</v>
      </c>
      <c r="H19" s="53">
        <f t="shared" si="2"/>
        <v>0</v>
      </c>
    </row>
    <row r="20">
      <c r="A20" s="206" t="s">
        <v>50</v>
      </c>
      <c r="B20" s="207">
        <v>2.0</v>
      </c>
      <c r="C20" s="208"/>
      <c r="D20" s="209">
        <v>5.0</v>
      </c>
      <c r="E20" s="210" t="s">
        <v>41</v>
      </c>
      <c r="F20" s="85">
        <v>0.0</v>
      </c>
      <c r="G20" s="211">
        <f t="shared" si="1"/>
        <v>0</v>
      </c>
      <c r="H20" s="212">
        <f t="shared" si="2"/>
        <v>0</v>
      </c>
    </row>
    <row r="21" ht="15.75" customHeight="1">
      <c r="A21" s="45" t="s">
        <v>50</v>
      </c>
      <c r="B21" s="107">
        <v>2.0</v>
      </c>
      <c r="C21" s="47"/>
      <c r="D21" s="205">
        <v>6.0</v>
      </c>
      <c r="E21" s="49" t="s">
        <v>41</v>
      </c>
      <c r="F21" s="85">
        <v>0.0</v>
      </c>
      <c r="G21" s="52">
        <f t="shared" si="1"/>
        <v>0</v>
      </c>
      <c r="H21" s="53">
        <f t="shared" si="2"/>
        <v>0</v>
      </c>
    </row>
    <row r="22" ht="15.75" customHeight="1">
      <c r="A22" s="206" t="s">
        <v>50</v>
      </c>
      <c r="B22" s="207">
        <v>2.0</v>
      </c>
      <c r="C22" s="208"/>
      <c r="D22" s="209">
        <v>7.0</v>
      </c>
      <c r="E22" s="210" t="s">
        <v>41</v>
      </c>
      <c r="F22" s="85">
        <v>0.0</v>
      </c>
      <c r="G22" s="211">
        <f t="shared" si="1"/>
        <v>0</v>
      </c>
      <c r="H22" s="212">
        <f t="shared" si="2"/>
        <v>0</v>
      </c>
    </row>
    <row r="23" ht="15.75" customHeight="1">
      <c r="A23" s="45" t="s">
        <v>50</v>
      </c>
      <c r="B23" s="107">
        <v>2.0</v>
      </c>
      <c r="C23" s="47"/>
      <c r="D23" s="205">
        <v>8.0</v>
      </c>
      <c r="E23" s="49" t="s">
        <v>41</v>
      </c>
      <c r="F23" s="85">
        <v>0.0</v>
      </c>
      <c r="G23" s="52">
        <f t="shared" si="1"/>
        <v>0</v>
      </c>
      <c r="H23" s="53">
        <f t="shared" si="2"/>
        <v>0</v>
      </c>
    </row>
    <row r="24" ht="15.75" customHeight="1">
      <c r="A24" s="206" t="s">
        <v>50</v>
      </c>
      <c r="B24" s="207">
        <v>2.0</v>
      </c>
      <c r="C24" s="208"/>
      <c r="D24" s="209">
        <v>9.0</v>
      </c>
      <c r="E24" s="210" t="s">
        <v>41</v>
      </c>
      <c r="F24" s="85">
        <v>0.0</v>
      </c>
      <c r="G24" s="211">
        <f t="shared" si="1"/>
        <v>0</v>
      </c>
      <c r="H24" s="212">
        <f t="shared" si="2"/>
        <v>0</v>
      </c>
    </row>
    <row r="25" ht="15.75" customHeight="1">
      <c r="A25" s="63" t="s">
        <v>50</v>
      </c>
      <c r="B25" s="117">
        <v>2.0</v>
      </c>
      <c r="C25" s="65"/>
      <c r="D25" s="213">
        <v>10.0</v>
      </c>
      <c r="E25" s="67" t="s">
        <v>41</v>
      </c>
      <c r="F25" s="86">
        <v>0.0</v>
      </c>
      <c r="G25" s="70">
        <f t="shared" si="1"/>
        <v>0</v>
      </c>
      <c r="H25" s="71">
        <f t="shared" si="2"/>
        <v>0</v>
      </c>
    </row>
    <row r="26" ht="15.75" customHeight="1">
      <c r="A26" s="198" t="s">
        <v>52</v>
      </c>
      <c r="B26" s="199" t="s">
        <v>44</v>
      </c>
      <c r="C26" s="200" t="s">
        <v>161</v>
      </c>
      <c r="D26" s="201">
        <v>1.0</v>
      </c>
      <c r="E26" s="202" t="s">
        <v>41</v>
      </c>
      <c r="F26" s="84">
        <v>0.0</v>
      </c>
      <c r="G26" s="203">
        <f t="shared" si="1"/>
        <v>0</v>
      </c>
      <c r="H26" s="204">
        <f t="shared" si="2"/>
        <v>0</v>
      </c>
    </row>
    <row r="27" ht="15.75" customHeight="1">
      <c r="A27" s="45" t="s">
        <v>52</v>
      </c>
      <c r="B27" s="107" t="s">
        <v>44</v>
      </c>
      <c r="C27" s="47"/>
      <c r="D27" s="205">
        <v>2.0</v>
      </c>
      <c r="E27" s="49" t="s">
        <v>41</v>
      </c>
      <c r="F27" s="85">
        <v>0.0</v>
      </c>
      <c r="G27" s="52">
        <f t="shared" si="1"/>
        <v>0</v>
      </c>
      <c r="H27" s="53">
        <f t="shared" si="2"/>
        <v>0</v>
      </c>
    </row>
    <row r="28" ht="15.75" customHeight="1">
      <c r="A28" s="206" t="s">
        <v>52</v>
      </c>
      <c r="B28" s="207" t="s">
        <v>44</v>
      </c>
      <c r="C28" s="208"/>
      <c r="D28" s="209">
        <v>3.0</v>
      </c>
      <c r="E28" s="210" t="s">
        <v>41</v>
      </c>
      <c r="F28" s="85">
        <v>0.0</v>
      </c>
      <c r="G28" s="211">
        <f t="shared" si="1"/>
        <v>0</v>
      </c>
      <c r="H28" s="212">
        <f t="shared" si="2"/>
        <v>0</v>
      </c>
    </row>
    <row r="29" ht="15.75" customHeight="1">
      <c r="A29" s="45" t="s">
        <v>52</v>
      </c>
      <c r="B29" s="107" t="s">
        <v>44</v>
      </c>
      <c r="C29" s="47"/>
      <c r="D29" s="205">
        <v>4.0</v>
      </c>
      <c r="E29" s="49" t="s">
        <v>41</v>
      </c>
      <c r="F29" s="85">
        <v>0.0</v>
      </c>
      <c r="G29" s="52">
        <f t="shared" si="1"/>
        <v>0</v>
      </c>
      <c r="H29" s="53">
        <f t="shared" si="2"/>
        <v>0</v>
      </c>
    </row>
    <row r="30" ht="15.75" customHeight="1">
      <c r="A30" s="206" t="s">
        <v>52</v>
      </c>
      <c r="B30" s="207" t="s">
        <v>44</v>
      </c>
      <c r="C30" s="208"/>
      <c r="D30" s="209">
        <v>5.0</v>
      </c>
      <c r="E30" s="210" t="s">
        <v>41</v>
      </c>
      <c r="F30" s="85">
        <v>0.0</v>
      </c>
      <c r="G30" s="211">
        <f t="shared" si="1"/>
        <v>0</v>
      </c>
      <c r="H30" s="212">
        <f t="shared" si="2"/>
        <v>0</v>
      </c>
    </row>
    <row r="31" ht="15.75" customHeight="1">
      <c r="A31" s="45" t="s">
        <v>52</v>
      </c>
      <c r="B31" s="107" t="s">
        <v>44</v>
      </c>
      <c r="C31" s="47"/>
      <c r="D31" s="205">
        <v>6.0</v>
      </c>
      <c r="E31" s="49" t="s">
        <v>41</v>
      </c>
      <c r="F31" s="85">
        <v>0.0</v>
      </c>
      <c r="G31" s="52">
        <f t="shared" si="1"/>
        <v>0</v>
      </c>
      <c r="H31" s="53">
        <f t="shared" si="2"/>
        <v>0</v>
      </c>
    </row>
    <row r="32" ht="15.75" customHeight="1">
      <c r="A32" s="206" t="s">
        <v>52</v>
      </c>
      <c r="B32" s="207" t="s">
        <v>44</v>
      </c>
      <c r="C32" s="208"/>
      <c r="D32" s="209">
        <v>7.0</v>
      </c>
      <c r="E32" s="210" t="s">
        <v>41</v>
      </c>
      <c r="F32" s="85">
        <v>0.0</v>
      </c>
      <c r="G32" s="211">
        <f t="shared" si="1"/>
        <v>0</v>
      </c>
      <c r="H32" s="212">
        <f t="shared" si="2"/>
        <v>0</v>
      </c>
    </row>
    <row r="33" ht="15.75" customHeight="1">
      <c r="A33" s="45" t="s">
        <v>52</v>
      </c>
      <c r="B33" s="107" t="s">
        <v>44</v>
      </c>
      <c r="C33" s="47"/>
      <c r="D33" s="205">
        <v>8.0</v>
      </c>
      <c r="E33" s="49" t="s">
        <v>41</v>
      </c>
      <c r="F33" s="85">
        <v>0.0</v>
      </c>
      <c r="G33" s="52">
        <f t="shared" si="1"/>
        <v>0</v>
      </c>
      <c r="H33" s="53">
        <f t="shared" si="2"/>
        <v>0</v>
      </c>
    </row>
    <row r="34" ht="15.75" customHeight="1">
      <c r="A34" s="206" t="s">
        <v>52</v>
      </c>
      <c r="B34" s="207" t="s">
        <v>44</v>
      </c>
      <c r="C34" s="208"/>
      <c r="D34" s="209">
        <v>9.0</v>
      </c>
      <c r="E34" s="210" t="s">
        <v>41</v>
      </c>
      <c r="F34" s="85">
        <v>0.0</v>
      </c>
      <c r="G34" s="211">
        <f t="shared" si="1"/>
        <v>0</v>
      </c>
      <c r="H34" s="212">
        <f t="shared" si="2"/>
        <v>0</v>
      </c>
    </row>
    <row r="35" ht="15.75" customHeight="1">
      <c r="A35" s="63" t="s">
        <v>52</v>
      </c>
      <c r="B35" s="117" t="s">
        <v>44</v>
      </c>
      <c r="C35" s="65"/>
      <c r="D35" s="213">
        <v>10.0</v>
      </c>
      <c r="E35" s="67" t="s">
        <v>41</v>
      </c>
      <c r="F35" s="86">
        <v>0.0</v>
      </c>
      <c r="G35" s="70">
        <f t="shared" si="1"/>
        <v>0</v>
      </c>
      <c r="H35" s="71">
        <f t="shared" si="2"/>
        <v>0</v>
      </c>
    </row>
    <row r="36" ht="15.75" customHeight="1">
      <c r="A36" s="198" t="s">
        <v>54</v>
      </c>
      <c r="B36" s="199">
        <v>3.0</v>
      </c>
      <c r="C36" s="200" t="s">
        <v>162</v>
      </c>
      <c r="D36" s="201">
        <v>1.0</v>
      </c>
      <c r="E36" s="202" t="s">
        <v>41</v>
      </c>
      <c r="F36" s="84">
        <v>0.0</v>
      </c>
      <c r="G36" s="203">
        <f t="shared" si="1"/>
        <v>0</v>
      </c>
      <c r="H36" s="204">
        <f t="shared" si="2"/>
        <v>0</v>
      </c>
    </row>
    <row r="37" ht="15.75" customHeight="1">
      <c r="A37" s="45" t="s">
        <v>54</v>
      </c>
      <c r="B37" s="107">
        <v>3.0</v>
      </c>
      <c r="C37" s="47"/>
      <c r="D37" s="205">
        <v>2.0</v>
      </c>
      <c r="E37" s="49" t="s">
        <v>41</v>
      </c>
      <c r="F37" s="85">
        <v>0.0</v>
      </c>
      <c r="G37" s="52">
        <f t="shared" si="1"/>
        <v>0</v>
      </c>
      <c r="H37" s="53">
        <f t="shared" si="2"/>
        <v>0</v>
      </c>
    </row>
    <row r="38" ht="15.75" customHeight="1">
      <c r="A38" s="206" t="s">
        <v>54</v>
      </c>
      <c r="B38" s="207">
        <v>3.0</v>
      </c>
      <c r="C38" s="208"/>
      <c r="D38" s="209">
        <v>3.0</v>
      </c>
      <c r="E38" s="210" t="s">
        <v>41</v>
      </c>
      <c r="F38" s="85">
        <v>0.0</v>
      </c>
      <c r="G38" s="211">
        <f t="shared" si="1"/>
        <v>0</v>
      </c>
      <c r="H38" s="212">
        <f t="shared" si="2"/>
        <v>0</v>
      </c>
    </row>
    <row r="39" ht="15.75" customHeight="1">
      <c r="A39" s="45" t="s">
        <v>54</v>
      </c>
      <c r="B39" s="107">
        <v>3.0</v>
      </c>
      <c r="C39" s="47"/>
      <c r="D39" s="205">
        <v>4.0</v>
      </c>
      <c r="E39" s="49" t="s">
        <v>41</v>
      </c>
      <c r="F39" s="85">
        <v>0.0</v>
      </c>
      <c r="G39" s="52">
        <f t="shared" si="1"/>
        <v>0</v>
      </c>
      <c r="H39" s="53">
        <f t="shared" si="2"/>
        <v>0</v>
      </c>
    </row>
    <row r="40" ht="15.75" customHeight="1">
      <c r="A40" s="206" t="s">
        <v>54</v>
      </c>
      <c r="B40" s="207">
        <v>3.0</v>
      </c>
      <c r="C40" s="208"/>
      <c r="D40" s="209">
        <v>5.0</v>
      </c>
      <c r="E40" s="210" t="s">
        <v>41</v>
      </c>
      <c r="F40" s="85">
        <v>0.0</v>
      </c>
      <c r="G40" s="211">
        <f t="shared" si="1"/>
        <v>0</v>
      </c>
      <c r="H40" s="212">
        <f t="shared" si="2"/>
        <v>0</v>
      </c>
    </row>
    <row r="41" ht="15.75" customHeight="1">
      <c r="A41" s="45" t="s">
        <v>54</v>
      </c>
      <c r="B41" s="107">
        <v>3.0</v>
      </c>
      <c r="C41" s="47"/>
      <c r="D41" s="205">
        <v>6.0</v>
      </c>
      <c r="E41" s="49" t="s">
        <v>41</v>
      </c>
      <c r="F41" s="85">
        <v>0.0</v>
      </c>
      <c r="G41" s="52">
        <f t="shared" si="1"/>
        <v>0</v>
      </c>
      <c r="H41" s="53">
        <f t="shared" si="2"/>
        <v>0</v>
      </c>
    </row>
    <row r="42" ht="15.75" customHeight="1">
      <c r="A42" s="206" t="s">
        <v>54</v>
      </c>
      <c r="B42" s="207">
        <v>3.0</v>
      </c>
      <c r="C42" s="208"/>
      <c r="D42" s="209">
        <v>7.0</v>
      </c>
      <c r="E42" s="210" t="s">
        <v>41</v>
      </c>
      <c r="F42" s="85">
        <v>0.0</v>
      </c>
      <c r="G42" s="211">
        <f t="shared" si="1"/>
        <v>0</v>
      </c>
      <c r="H42" s="212">
        <f t="shared" si="2"/>
        <v>0</v>
      </c>
    </row>
    <row r="43" ht="15.75" customHeight="1">
      <c r="A43" s="45" t="s">
        <v>54</v>
      </c>
      <c r="B43" s="107">
        <v>3.0</v>
      </c>
      <c r="C43" s="47"/>
      <c r="D43" s="205">
        <v>8.0</v>
      </c>
      <c r="E43" s="49" t="s">
        <v>41</v>
      </c>
      <c r="F43" s="85">
        <v>0.0</v>
      </c>
      <c r="G43" s="52">
        <f t="shared" si="1"/>
        <v>0</v>
      </c>
      <c r="H43" s="53">
        <f t="shared" si="2"/>
        <v>0</v>
      </c>
    </row>
    <row r="44" ht="15.75" customHeight="1">
      <c r="A44" s="206" t="s">
        <v>54</v>
      </c>
      <c r="B44" s="207">
        <v>3.0</v>
      </c>
      <c r="C44" s="208"/>
      <c r="D44" s="209">
        <v>9.0</v>
      </c>
      <c r="E44" s="210" t="s">
        <v>41</v>
      </c>
      <c r="F44" s="85">
        <v>0.0</v>
      </c>
      <c r="G44" s="211">
        <f t="shared" si="1"/>
        <v>0</v>
      </c>
      <c r="H44" s="212">
        <f t="shared" si="2"/>
        <v>0</v>
      </c>
    </row>
    <row r="45" ht="15.75" customHeight="1">
      <c r="A45" s="63" t="s">
        <v>54</v>
      </c>
      <c r="B45" s="117">
        <v>3.0</v>
      </c>
      <c r="C45" s="65"/>
      <c r="D45" s="213">
        <v>10.0</v>
      </c>
      <c r="E45" s="67" t="s">
        <v>41</v>
      </c>
      <c r="F45" s="86">
        <v>0.0</v>
      </c>
      <c r="G45" s="70">
        <f t="shared" si="1"/>
        <v>0</v>
      </c>
      <c r="H45" s="71">
        <f t="shared" si="2"/>
        <v>0</v>
      </c>
    </row>
    <row r="46" ht="15.75" customHeight="1">
      <c r="A46" s="198" t="s">
        <v>56</v>
      </c>
      <c r="B46" s="199" t="s">
        <v>47</v>
      </c>
      <c r="C46" s="200" t="s">
        <v>163</v>
      </c>
      <c r="D46" s="201">
        <v>1.0</v>
      </c>
      <c r="E46" s="202" t="s">
        <v>41</v>
      </c>
      <c r="F46" s="84">
        <v>0.0</v>
      </c>
      <c r="G46" s="203">
        <f t="shared" si="1"/>
        <v>0</v>
      </c>
      <c r="H46" s="204">
        <f t="shared" si="2"/>
        <v>0</v>
      </c>
    </row>
    <row r="47" ht="15.75" customHeight="1">
      <c r="A47" s="45" t="s">
        <v>56</v>
      </c>
      <c r="B47" s="107" t="s">
        <v>47</v>
      </c>
      <c r="C47" s="47"/>
      <c r="D47" s="205">
        <v>2.0</v>
      </c>
      <c r="E47" s="49" t="s">
        <v>41</v>
      </c>
      <c r="F47" s="85">
        <v>0.0</v>
      </c>
      <c r="G47" s="52">
        <f t="shared" si="1"/>
        <v>0</v>
      </c>
      <c r="H47" s="53">
        <f t="shared" si="2"/>
        <v>0</v>
      </c>
    </row>
    <row r="48" ht="15.75" customHeight="1">
      <c r="A48" s="206" t="s">
        <v>56</v>
      </c>
      <c r="B48" s="207" t="s">
        <v>47</v>
      </c>
      <c r="C48" s="208"/>
      <c r="D48" s="209">
        <v>3.0</v>
      </c>
      <c r="E48" s="210" t="s">
        <v>41</v>
      </c>
      <c r="F48" s="85">
        <v>0.0</v>
      </c>
      <c r="G48" s="211">
        <f t="shared" si="1"/>
        <v>0</v>
      </c>
      <c r="H48" s="212">
        <f t="shared" si="2"/>
        <v>0</v>
      </c>
    </row>
    <row r="49" ht="15.75" customHeight="1">
      <c r="A49" s="45" t="s">
        <v>56</v>
      </c>
      <c r="B49" s="107" t="s">
        <v>47</v>
      </c>
      <c r="C49" s="47"/>
      <c r="D49" s="205">
        <v>4.0</v>
      </c>
      <c r="E49" s="49" t="s">
        <v>41</v>
      </c>
      <c r="F49" s="85">
        <v>0.0</v>
      </c>
      <c r="G49" s="52">
        <f t="shared" si="1"/>
        <v>0</v>
      </c>
      <c r="H49" s="53">
        <f t="shared" si="2"/>
        <v>0</v>
      </c>
    </row>
    <row r="50" ht="15.75" customHeight="1">
      <c r="A50" s="206" t="s">
        <v>56</v>
      </c>
      <c r="B50" s="207" t="s">
        <v>47</v>
      </c>
      <c r="C50" s="208"/>
      <c r="D50" s="209">
        <v>5.0</v>
      </c>
      <c r="E50" s="210" t="s">
        <v>41</v>
      </c>
      <c r="F50" s="85">
        <v>0.0</v>
      </c>
      <c r="G50" s="211">
        <f t="shared" si="1"/>
        <v>0</v>
      </c>
      <c r="H50" s="212">
        <f t="shared" si="2"/>
        <v>0</v>
      </c>
    </row>
    <row r="51" ht="15.75" customHeight="1">
      <c r="A51" s="45" t="s">
        <v>56</v>
      </c>
      <c r="B51" s="107" t="s">
        <v>47</v>
      </c>
      <c r="C51" s="47"/>
      <c r="D51" s="205">
        <v>6.0</v>
      </c>
      <c r="E51" s="49" t="s">
        <v>41</v>
      </c>
      <c r="F51" s="85">
        <v>0.0</v>
      </c>
      <c r="G51" s="52">
        <f t="shared" si="1"/>
        <v>0</v>
      </c>
      <c r="H51" s="53">
        <f t="shared" si="2"/>
        <v>0</v>
      </c>
    </row>
    <row r="52" ht="15.75" customHeight="1">
      <c r="A52" s="206" t="s">
        <v>56</v>
      </c>
      <c r="B52" s="207" t="s">
        <v>47</v>
      </c>
      <c r="C52" s="208"/>
      <c r="D52" s="209">
        <v>7.0</v>
      </c>
      <c r="E52" s="210" t="s">
        <v>41</v>
      </c>
      <c r="F52" s="85">
        <v>0.0</v>
      </c>
      <c r="G52" s="211">
        <f t="shared" si="1"/>
        <v>0</v>
      </c>
      <c r="H52" s="212">
        <f t="shared" si="2"/>
        <v>0</v>
      </c>
    </row>
    <row r="53" ht="15.75" customHeight="1">
      <c r="A53" s="45" t="s">
        <v>56</v>
      </c>
      <c r="B53" s="107" t="s">
        <v>47</v>
      </c>
      <c r="C53" s="47"/>
      <c r="D53" s="205">
        <v>8.0</v>
      </c>
      <c r="E53" s="49" t="s">
        <v>41</v>
      </c>
      <c r="F53" s="85">
        <v>0.0</v>
      </c>
      <c r="G53" s="52">
        <f t="shared" si="1"/>
        <v>0</v>
      </c>
      <c r="H53" s="53">
        <f t="shared" si="2"/>
        <v>0</v>
      </c>
    </row>
    <row r="54" ht="15.75" customHeight="1">
      <c r="A54" s="206" t="s">
        <v>56</v>
      </c>
      <c r="B54" s="207" t="s">
        <v>47</v>
      </c>
      <c r="C54" s="208"/>
      <c r="D54" s="209">
        <v>9.0</v>
      </c>
      <c r="E54" s="210" t="s">
        <v>41</v>
      </c>
      <c r="F54" s="85">
        <v>0.0</v>
      </c>
      <c r="G54" s="211">
        <f t="shared" si="1"/>
        <v>0</v>
      </c>
      <c r="H54" s="212">
        <f t="shared" si="2"/>
        <v>0</v>
      </c>
    </row>
    <row r="55" ht="15.75" customHeight="1">
      <c r="A55" s="63" t="s">
        <v>56</v>
      </c>
      <c r="B55" s="117" t="s">
        <v>47</v>
      </c>
      <c r="C55" s="65"/>
      <c r="D55" s="213">
        <v>10.0</v>
      </c>
      <c r="E55" s="67" t="s">
        <v>41</v>
      </c>
      <c r="F55" s="86">
        <v>0.0</v>
      </c>
      <c r="G55" s="70">
        <f t="shared" si="1"/>
        <v>0</v>
      </c>
      <c r="H55" s="71">
        <f t="shared" si="2"/>
        <v>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mergeCells count="8">
    <mergeCell ref="A1:H1"/>
    <mergeCell ref="A4:F4"/>
    <mergeCell ref="G4:H4"/>
    <mergeCell ref="C6:C15"/>
    <mergeCell ref="C16:C25"/>
    <mergeCell ref="C26:C35"/>
    <mergeCell ref="C36:C45"/>
    <mergeCell ref="C46:C55"/>
  </mergeCell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13"/>
    <col customWidth="1" min="3" max="3" width="27.88"/>
    <col customWidth="1" min="4" max="4" width="17.13"/>
    <col customWidth="1" min="5" max="6" width="8.63"/>
    <col customWidth="1" min="7" max="7" width="15.25"/>
    <col customWidth="1" min="8" max="8" width="19.75"/>
    <col customWidth="1" min="9" max="9" width="17.63"/>
    <col customWidth="1" min="10" max="11" width="8.63"/>
    <col customWidth="1" min="12" max="12" width="39.25"/>
    <col customWidth="1" min="13" max="13" width="19.75"/>
    <col customWidth="1" min="14" max="22" width="8.63"/>
  </cols>
  <sheetData>
    <row r="1">
      <c r="A1" s="19" t="s">
        <v>164</v>
      </c>
      <c r="B1" s="164"/>
      <c r="C1" s="164"/>
    </row>
    <row r="2">
      <c r="A2" s="20" t="s">
        <v>24</v>
      </c>
      <c r="B2" s="164"/>
      <c r="C2" s="164"/>
    </row>
    <row r="3" ht="23.25" customHeight="1">
      <c r="A3" s="20" t="s">
        <v>165</v>
      </c>
      <c r="B3" s="164"/>
      <c r="C3" s="164"/>
    </row>
    <row r="4" ht="17.25" customHeight="1">
      <c r="A4" s="119" t="s">
        <v>26</v>
      </c>
      <c r="B4" s="120"/>
      <c r="C4" s="120"/>
      <c r="D4" s="120"/>
      <c r="E4" s="120"/>
      <c r="F4" s="121"/>
      <c r="G4" s="214" t="s">
        <v>166</v>
      </c>
      <c r="H4" s="120"/>
      <c r="I4" s="123"/>
    </row>
    <row r="5">
      <c r="A5" s="170" t="s">
        <v>167</v>
      </c>
      <c r="B5" s="94" t="s">
        <v>29</v>
      </c>
      <c r="C5" s="95" t="s">
        <v>30</v>
      </c>
      <c r="D5" s="215" t="s">
        <v>168</v>
      </c>
      <c r="E5" s="67" t="s">
        <v>32</v>
      </c>
      <c r="F5" s="95" t="s">
        <v>33</v>
      </c>
      <c r="G5" s="94" t="s">
        <v>34</v>
      </c>
      <c r="H5" s="173" t="s">
        <v>35</v>
      </c>
      <c r="I5" s="216" t="s">
        <v>36</v>
      </c>
      <c r="K5" s="33" t="s">
        <v>37</v>
      </c>
      <c r="L5" s="33" t="s">
        <v>169</v>
      </c>
    </row>
    <row r="6" ht="15.75" customHeight="1">
      <c r="A6" s="124" t="s">
        <v>39</v>
      </c>
      <c r="B6" s="217">
        <v>1.0</v>
      </c>
      <c r="C6" s="218" t="s">
        <v>170</v>
      </c>
      <c r="D6" s="219" t="s">
        <v>171</v>
      </c>
      <c r="E6" s="127" t="s">
        <v>172</v>
      </c>
      <c r="F6" s="84">
        <v>0.0</v>
      </c>
      <c r="G6" s="220">
        <v>100000.0</v>
      </c>
      <c r="H6" s="130">
        <f t="shared" ref="H6:H45" si="1">F6*G6</f>
        <v>0</v>
      </c>
      <c r="I6" s="131">
        <f t="shared" ref="I6:I45" si="2">H6*365</f>
        <v>0</v>
      </c>
      <c r="K6" s="43">
        <v>1.0</v>
      </c>
      <c r="L6" s="44">
        <f>sum(I6:I13)</f>
        <v>0</v>
      </c>
    </row>
    <row r="7" ht="15.75" customHeight="1">
      <c r="A7" s="45" t="s">
        <v>39</v>
      </c>
      <c r="B7" s="46">
        <v>1.0</v>
      </c>
      <c r="C7" s="47"/>
      <c r="D7" s="48" t="s">
        <v>173</v>
      </c>
      <c r="E7" s="183" t="s">
        <v>172</v>
      </c>
      <c r="F7" s="85">
        <v>0.0</v>
      </c>
      <c r="G7" s="221">
        <v>500000.0</v>
      </c>
      <c r="H7" s="52">
        <f t="shared" si="1"/>
        <v>0</v>
      </c>
      <c r="I7" s="53">
        <f t="shared" si="2"/>
        <v>0</v>
      </c>
      <c r="K7" s="43">
        <v>2.0</v>
      </c>
      <c r="L7" s="44">
        <f>sum(I14:I21)</f>
        <v>0</v>
      </c>
    </row>
    <row r="8">
      <c r="A8" s="132" t="s">
        <v>39</v>
      </c>
      <c r="B8" s="222">
        <v>1.0</v>
      </c>
      <c r="C8" s="134"/>
      <c r="D8" s="135" t="s">
        <v>174</v>
      </c>
      <c r="E8" s="135" t="s">
        <v>172</v>
      </c>
      <c r="F8" s="85">
        <v>0.0</v>
      </c>
      <c r="G8" s="223">
        <v>1000000.0</v>
      </c>
      <c r="H8" s="138">
        <f t="shared" si="1"/>
        <v>0</v>
      </c>
      <c r="I8" s="139">
        <f t="shared" si="2"/>
        <v>0</v>
      </c>
      <c r="K8" s="43" t="s">
        <v>44</v>
      </c>
      <c r="L8" s="44">
        <f>sum(I22:I29)</f>
        <v>0</v>
      </c>
    </row>
    <row r="9">
      <c r="A9" s="45" t="s">
        <v>39</v>
      </c>
      <c r="B9" s="46">
        <v>1.0</v>
      </c>
      <c r="C9" s="47"/>
      <c r="D9" s="48" t="s">
        <v>175</v>
      </c>
      <c r="E9" s="183" t="s">
        <v>172</v>
      </c>
      <c r="F9" s="85">
        <v>0.0</v>
      </c>
      <c r="G9" s="221">
        <v>5000000.0</v>
      </c>
      <c r="H9" s="52">
        <f t="shared" si="1"/>
        <v>0</v>
      </c>
      <c r="I9" s="53">
        <f t="shared" si="2"/>
        <v>0</v>
      </c>
      <c r="K9" s="43">
        <v>3.0</v>
      </c>
      <c r="L9" s="44">
        <f>sum(I30:I37)</f>
        <v>0</v>
      </c>
    </row>
    <row r="10">
      <c r="A10" s="132" t="s">
        <v>39</v>
      </c>
      <c r="B10" s="222">
        <v>1.0</v>
      </c>
      <c r="C10" s="134"/>
      <c r="D10" s="140" t="s">
        <v>176</v>
      </c>
      <c r="E10" s="135" t="s">
        <v>172</v>
      </c>
      <c r="F10" s="85">
        <v>0.0</v>
      </c>
      <c r="G10" s="223">
        <v>1.0E7</v>
      </c>
      <c r="H10" s="138">
        <f t="shared" si="1"/>
        <v>0</v>
      </c>
      <c r="I10" s="139">
        <f t="shared" si="2"/>
        <v>0</v>
      </c>
      <c r="K10" s="43" t="s">
        <v>47</v>
      </c>
      <c r="L10" s="44">
        <f>sum(I38:I45)</f>
        <v>0</v>
      </c>
    </row>
    <row r="11">
      <c r="A11" s="45" t="s">
        <v>39</v>
      </c>
      <c r="B11" s="46">
        <v>1.0</v>
      </c>
      <c r="C11" s="47"/>
      <c r="D11" s="48" t="s">
        <v>177</v>
      </c>
      <c r="E11" s="183" t="s">
        <v>172</v>
      </c>
      <c r="F11" s="85">
        <v>0.0</v>
      </c>
      <c r="G11" s="221">
        <v>5.0E7</v>
      </c>
      <c r="H11" s="52">
        <f t="shared" si="1"/>
        <v>0</v>
      </c>
      <c r="I11" s="53">
        <f t="shared" si="2"/>
        <v>0</v>
      </c>
      <c r="K11" s="72" t="s">
        <v>137</v>
      </c>
      <c r="L11" s="73">
        <f>sum(L6:L10)</f>
        <v>0</v>
      </c>
    </row>
    <row r="12">
      <c r="A12" s="132" t="s">
        <v>39</v>
      </c>
      <c r="B12" s="222">
        <v>1.0</v>
      </c>
      <c r="C12" s="134"/>
      <c r="D12" s="140" t="s">
        <v>178</v>
      </c>
      <c r="E12" s="135" t="s">
        <v>172</v>
      </c>
      <c r="F12" s="85">
        <v>0.0</v>
      </c>
      <c r="G12" s="223">
        <v>1.0E8</v>
      </c>
      <c r="H12" s="138">
        <f t="shared" si="1"/>
        <v>0</v>
      </c>
      <c r="I12" s="139">
        <f t="shared" si="2"/>
        <v>0</v>
      </c>
    </row>
    <row r="13">
      <c r="A13" s="63" t="s">
        <v>39</v>
      </c>
      <c r="B13" s="64">
        <v>1.0</v>
      </c>
      <c r="C13" s="224"/>
      <c r="D13" s="66" t="s">
        <v>179</v>
      </c>
      <c r="E13" s="215" t="s">
        <v>172</v>
      </c>
      <c r="F13" s="86">
        <v>0.0</v>
      </c>
      <c r="G13" s="225">
        <v>5.0E8</v>
      </c>
      <c r="H13" s="70">
        <f t="shared" si="1"/>
        <v>0</v>
      </c>
      <c r="I13" s="71">
        <f t="shared" si="2"/>
        <v>0</v>
      </c>
    </row>
    <row r="14" ht="15.75" customHeight="1">
      <c r="A14" s="124" t="s">
        <v>50</v>
      </c>
      <c r="B14" s="217">
        <v>2.0</v>
      </c>
      <c r="C14" s="218" t="s">
        <v>180</v>
      </c>
      <c r="D14" s="219" t="s">
        <v>171</v>
      </c>
      <c r="E14" s="127" t="s">
        <v>172</v>
      </c>
      <c r="F14" s="84">
        <v>0.0</v>
      </c>
      <c r="G14" s="220">
        <v>100000.0</v>
      </c>
      <c r="H14" s="130">
        <f t="shared" si="1"/>
        <v>0</v>
      </c>
      <c r="I14" s="131">
        <f t="shared" si="2"/>
        <v>0</v>
      </c>
    </row>
    <row r="15" ht="15.75" customHeight="1">
      <c r="A15" s="45" t="s">
        <v>50</v>
      </c>
      <c r="B15" s="46">
        <v>2.0</v>
      </c>
      <c r="C15" s="47"/>
      <c r="D15" s="48" t="s">
        <v>173</v>
      </c>
      <c r="E15" s="183" t="s">
        <v>172</v>
      </c>
      <c r="F15" s="85">
        <v>0.0</v>
      </c>
      <c r="G15" s="221">
        <v>500000.0</v>
      </c>
      <c r="H15" s="52">
        <f t="shared" si="1"/>
        <v>0</v>
      </c>
      <c r="I15" s="53">
        <f t="shared" si="2"/>
        <v>0</v>
      </c>
    </row>
    <row r="16">
      <c r="A16" s="132" t="s">
        <v>50</v>
      </c>
      <c r="B16" s="222">
        <v>2.0</v>
      </c>
      <c r="C16" s="134"/>
      <c r="D16" s="135" t="s">
        <v>174</v>
      </c>
      <c r="E16" s="135" t="s">
        <v>172</v>
      </c>
      <c r="F16" s="85">
        <v>0.0</v>
      </c>
      <c r="G16" s="223">
        <v>1000000.0</v>
      </c>
      <c r="H16" s="138">
        <f t="shared" si="1"/>
        <v>0</v>
      </c>
      <c r="I16" s="139">
        <f t="shared" si="2"/>
        <v>0</v>
      </c>
    </row>
    <row r="17">
      <c r="A17" s="45" t="s">
        <v>50</v>
      </c>
      <c r="B17" s="46">
        <v>2.0</v>
      </c>
      <c r="C17" s="47"/>
      <c r="D17" s="48" t="s">
        <v>175</v>
      </c>
      <c r="E17" s="183" t="s">
        <v>172</v>
      </c>
      <c r="F17" s="85">
        <v>0.0</v>
      </c>
      <c r="G17" s="221">
        <v>5000000.0</v>
      </c>
      <c r="H17" s="52">
        <f t="shared" si="1"/>
        <v>0</v>
      </c>
      <c r="I17" s="53">
        <f t="shared" si="2"/>
        <v>0</v>
      </c>
    </row>
    <row r="18">
      <c r="A18" s="132" t="s">
        <v>50</v>
      </c>
      <c r="B18" s="222">
        <v>2.0</v>
      </c>
      <c r="C18" s="134"/>
      <c r="D18" s="140" t="s">
        <v>176</v>
      </c>
      <c r="E18" s="135" t="s">
        <v>172</v>
      </c>
      <c r="F18" s="85">
        <v>0.0</v>
      </c>
      <c r="G18" s="223">
        <v>1.0E7</v>
      </c>
      <c r="H18" s="138">
        <f t="shared" si="1"/>
        <v>0</v>
      </c>
      <c r="I18" s="139">
        <f t="shared" si="2"/>
        <v>0</v>
      </c>
    </row>
    <row r="19">
      <c r="A19" s="45" t="s">
        <v>50</v>
      </c>
      <c r="B19" s="46">
        <v>2.0</v>
      </c>
      <c r="C19" s="47"/>
      <c r="D19" s="48" t="s">
        <v>177</v>
      </c>
      <c r="E19" s="183" t="s">
        <v>172</v>
      </c>
      <c r="F19" s="85">
        <v>0.0</v>
      </c>
      <c r="G19" s="221">
        <v>5.0E7</v>
      </c>
      <c r="H19" s="52">
        <f t="shared" si="1"/>
        <v>0</v>
      </c>
      <c r="I19" s="53">
        <f t="shared" si="2"/>
        <v>0</v>
      </c>
    </row>
    <row r="20">
      <c r="A20" s="132" t="s">
        <v>50</v>
      </c>
      <c r="B20" s="222">
        <v>2.0</v>
      </c>
      <c r="C20" s="134"/>
      <c r="D20" s="140" t="s">
        <v>178</v>
      </c>
      <c r="E20" s="135" t="s">
        <v>172</v>
      </c>
      <c r="F20" s="85">
        <v>0.0</v>
      </c>
      <c r="G20" s="223">
        <v>1.0E8</v>
      </c>
      <c r="H20" s="138">
        <f t="shared" si="1"/>
        <v>0</v>
      </c>
      <c r="I20" s="139">
        <f t="shared" si="2"/>
        <v>0</v>
      </c>
    </row>
    <row r="21">
      <c r="A21" s="63" t="s">
        <v>50</v>
      </c>
      <c r="B21" s="64">
        <v>2.0</v>
      </c>
      <c r="C21" s="65"/>
      <c r="D21" s="66" t="s">
        <v>179</v>
      </c>
      <c r="E21" s="215" t="s">
        <v>172</v>
      </c>
      <c r="F21" s="86">
        <v>0.0</v>
      </c>
      <c r="G21" s="225">
        <v>5.0E8</v>
      </c>
      <c r="H21" s="70">
        <f t="shared" si="1"/>
        <v>0</v>
      </c>
      <c r="I21" s="71">
        <f t="shared" si="2"/>
        <v>0</v>
      </c>
    </row>
    <row r="22" ht="15.75" customHeight="1">
      <c r="A22" s="124" t="s">
        <v>52</v>
      </c>
      <c r="B22" s="217" t="s">
        <v>44</v>
      </c>
      <c r="C22" s="218" t="s">
        <v>181</v>
      </c>
      <c r="D22" s="219" t="s">
        <v>171</v>
      </c>
      <c r="E22" s="127" t="s">
        <v>172</v>
      </c>
      <c r="F22" s="84">
        <v>0.0</v>
      </c>
      <c r="G22" s="220">
        <v>100000.0</v>
      </c>
      <c r="H22" s="130">
        <f t="shared" si="1"/>
        <v>0</v>
      </c>
      <c r="I22" s="131">
        <f t="shared" si="2"/>
        <v>0</v>
      </c>
    </row>
    <row r="23" ht="15.75" customHeight="1">
      <c r="A23" s="45" t="s">
        <v>52</v>
      </c>
      <c r="B23" s="46" t="s">
        <v>44</v>
      </c>
      <c r="C23" s="47"/>
      <c r="D23" s="48" t="s">
        <v>173</v>
      </c>
      <c r="E23" s="183" t="s">
        <v>172</v>
      </c>
      <c r="F23" s="85">
        <v>0.0</v>
      </c>
      <c r="G23" s="221">
        <v>500000.0</v>
      </c>
      <c r="H23" s="52">
        <f t="shared" si="1"/>
        <v>0</v>
      </c>
      <c r="I23" s="53">
        <f t="shared" si="2"/>
        <v>0</v>
      </c>
    </row>
    <row r="24">
      <c r="A24" s="132" t="s">
        <v>52</v>
      </c>
      <c r="B24" s="222" t="s">
        <v>44</v>
      </c>
      <c r="C24" s="134"/>
      <c r="D24" s="135" t="s">
        <v>174</v>
      </c>
      <c r="E24" s="135" t="s">
        <v>172</v>
      </c>
      <c r="F24" s="85">
        <v>0.0</v>
      </c>
      <c r="G24" s="223">
        <v>1000000.0</v>
      </c>
      <c r="H24" s="138">
        <f t="shared" si="1"/>
        <v>0</v>
      </c>
      <c r="I24" s="139">
        <f t="shared" si="2"/>
        <v>0</v>
      </c>
    </row>
    <row r="25">
      <c r="A25" s="45" t="s">
        <v>52</v>
      </c>
      <c r="B25" s="46" t="s">
        <v>44</v>
      </c>
      <c r="C25" s="47"/>
      <c r="D25" s="48" t="s">
        <v>175</v>
      </c>
      <c r="E25" s="183" t="s">
        <v>172</v>
      </c>
      <c r="F25" s="85">
        <v>0.0</v>
      </c>
      <c r="G25" s="221">
        <v>5000000.0</v>
      </c>
      <c r="H25" s="52">
        <f t="shared" si="1"/>
        <v>0</v>
      </c>
      <c r="I25" s="53">
        <f t="shared" si="2"/>
        <v>0</v>
      </c>
    </row>
    <row r="26" ht="15.75" customHeight="1">
      <c r="A26" s="132" t="s">
        <v>52</v>
      </c>
      <c r="B26" s="222" t="s">
        <v>44</v>
      </c>
      <c r="C26" s="134"/>
      <c r="D26" s="140" t="s">
        <v>176</v>
      </c>
      <c r="E26" s="135" t="s">
        <v>172</v>
      </c>
      <c r="F26" s="85">
        <v>0.0</v>
      </c>
      <c r="G26" s="223">
        <v>1.0E7</v>
      </c>
      <c r="H26" s="138">
        <f t="shared" si="1"/>
        <v>0</v>
      </c>
      <c r="I26" s="139">
        <f t="shared" si="2"/>
        <v>0</v>
      </c>
    </row>
    <row r="27" ht="15.75" customHeight="1">
      <c r="A27" s="45" t="s">
        <v>52</v>
      </c>
      <c r="B27" s="46" t="s">
        <v>44</v>
      </c>
      <c r="C27" s="47"/>
      <c r="D27" s="48" t="s">
        <v>177</v>
      </c>
      <c r="E27" s="183" t="s">
        <v>172</v>
      </c>
      <c r="F27" s="85">
        <v>0.0</v>
      </c>
      <c r="G27" s="221">
        <v>5.0E7</v>
      </c>
      <c r="H27" s="52">
        <f t="shared" si="1"/>
        <v>0</v>
      </c>
      <c r="I27" s="53">
        <f t="shared" si="2"/>
        <v>0</v>
      </c>
    </row>
    <row r="28" ht="15.75" customHeight="1">
      <c r="A28" s="132" t="s">
        <v>52</v>
      </c>
      <c r="B28" s="222" t="s">
        <v>44</v>
      </c>
      <c r="C28" s="134"/>
      <c r="D28" s="140" t="s">
        <v>178</v>
      </c>
      <c r="E28" s="135" t="s">
        <v>172</v>
      </c>
      <c r="F28" s="85">
        <v>0.0</v>
      </c>
      <c r="G28" s="223">
        <v>1.0E8</v>
      </c>
      <c r="H28" s="138">
        <f t="shared" si="1"/>
        <v>0</v>
      </c>
      <c r="I28" s="139">
        <f t="shared" si="2"/>
        <v>0</v>
      </c>
    </row>
    <row r="29" ht="15.75" customHeight="1">
      <c r="A29" s="63" t="s">
        <v>52</v>
      </c>
      <c r="B29" s="64" t="s">
        <v>44</v>
      </c>
      <c r="C29" s="65"/>
      <c r="D29" s="66" t="s">
        <v>179</v>
      </c>
      <c r="E29" s="215" t="s">
        <v>172</v>
      </c>
      <c r="F29" s="86">
        <v>0.0</v>
      </c>
      <c r="G29" s="225">
        <v>5.0E8</v>
      </c>
      <c r="H29" s="70">
        <f t="shared" si="1"/>
        <v>0</v>
      </c>
      <c r="I29" s="71">
        <f t="shared" si="2"/>
        <v>0</v>
      </c>
    </row>
    <row r="30" ht="15.75" customHeight="1">
      <c r="A30" s="124" t="s">
        <v>54</v>
      </c>
      <c r="B30" s="217">
        <v>3.0</v>
      </c>
      <c r="C30" s="218" t="s">
        <v>182</v>
      </c>
      <c r="D30" s="219" t="s">
        <v>171</v>
      </c>
      <c r="E30" s="127" t="s">
        <v>172</v>
      </c>
      <c r="F30" s="84">
        <v>0.0</v>
      </c>
      <c r="G30" s="220">
        <v>100000.0</v>
      </c>
      <c r="H30" s="130">
        <f t="shared" si="1"/>
        <v>0</v>
      </c>
      <c r="I30" s="131">
        <f t="shared" si="2"/>
        <v>0</v>
      </c>
    </row>
    <row r="31" ht="15.75" customHeight="1">
      <c r="A31" s="45" t="s">
        <v>54</v>
      </c>
      <c r="B31" s="46">
        <v>3.0</v>
      </c>
      <c r="C31" s="47"/>
      <c r="D31" s="48" t="s">
        <v>173</v>
      </c>
      <c r="E31" s="183" t="s">
        <v>172</v>
      </c>
      <c r="F31" s="85">
        <v>0.0</v>
      </c>
      <c r="G31" s="221">
        <v>500000.0</v>
      </c>
      <c r="H31" s="52">
        <f t="shared" si="1"/>
        <v>0</v>
      </c>
      <c r="I31" s="53">
        <f t="shared" si="2"/>
        <v>0</v>
      </c>
    </row>
    <row r="32" ht="15.75" customHeight="1">
      <c r="A32" s="132" t="s">
        <v>54</v>
      </c>
      <c r="B32" s="222">
        <v>3.0</v>
      </c>
      <c r="C32" s="134"/>
      <c r="D32" s="135" t="s">
        <v>174</v>
      </c>
      <c r="E32" s="135" t="s">
        <v>172</v>
      </c>
      <c r="F32" s="85">
        <v>0.0</v>
      </c>
      <c r="G32" s="223">
        <v>1000000.0</v>
      </c>
      <c r="H32" s="138">
        <f t="shared" si="1"/>
        <v>0</v>
      </c>
      <c r="I32" s="139">
        <f t="shared" si="2"/>
        <v>0</v>
      </c>
    </row>
    <row r="33" ht="15.75" customHeight="1">
      <c r="A33" s="45" t="s">
        <v>54</v>
      </c>
      <c r="B33" s="46">
        <v>3.0</v>
      </c>
      <c r="C33" s="47"/>
      <c r="D33" s="48" t="s">
        <v>175</v>
      </c>
      <c r="E33" s="183" t="s">
        <v>172</v>
      </c>
      <c r="F33" s="85">
        <v>0.0</v>
      </c>
      <c r="G33" s="221">
        <v>5000000.0</v>
      </c>
      <c r="H33" s="52">
        <f t="shared" si="1"/>
        <v>0</v>
      </c>
      <c r="I33" s="53">
        <f t="shared" si="2"/>
        <v>0</v>
      </c>
    </row>
    <row r="34" ht="15.75" customHeight="1">
      <c r="A34" s="132" t="s">
        <v>54</v>
      </c>
      <c r="B34" s="222">
        <v>3.0</v>
      </c>
      <c r="C34" s="134"/>
      <c r="D34" s="140" t="s">
        <v>176</v>
      </c>
      <c r="E34" s="135" t="s">
        <v>172</v>
      </c>
      <c r="F34" s="85">
        <v>0.0</v>
      </c>
      <c r="G34" s="223">
        <v>1.0E7</v>
      </c>
      <c r="H34" s="138">
        <f t="shared" si="1"/>
        <v>0</v>
      </c>
      <c r="I34" s="139">
        <f t="shared" si="2"/>
        <v>0</v>
      </c>
    </row>
    <row r="35" ht="15.75" customHeight="1">
      <c r="A35" s="45" t="s">
        <v>54</v>
      </c>
      <c r="B35" s="46">
        <v>3.0</v>
      </c>
      <c r="C35" s="47"/>
      <c r="D35" s="48" t="s">
        <v>177</v>
      </c>
      <c r="E35" s="183" t="s">
        <v>172</v>
      </c>
      <c r="F35" s="85">
        <v>0.0</v>
      </c>
      <c r="G35" s="221">
        <v>5.0E7</v>
      </c>
      <c r="H35" s="52">
        <f t="shared" si="1"/>
        <v>0</v>
      </c>
      <c r="I35" s="53">
        <f t="shared" si="2"/>
        <v>0</v>
      </c>
    </row>
    <row r="36" ht="15.75" customHeight="1">
      <c r="A36" s="132" t="s">
        <v>54</v>
      </c>
      <c r="B36" s="222">
        <v>3.0</v>
      </c>
      <c r="C36" s="134"/>
      <c r="D36" s="140" t="s">
        <v>178</v>
      </c>
      <c r="E36" s="135" t="s">
        <v>172</v>
      </c>
      <c r="F36" s="85">
        <v>0.0</v>
      </c>
      <c r="G36" s="223">
        <v>1.0E8</v>
      </c>
      <c r="H36" s="138">
        <f t="shared" si="1"/>
        <v>0</v>
      </c>
      <c r="I36" s="139">
        <f t="shared" si="2"/>
        <v>0</v>
      </c>
    </row>
    <row r="37" ht="15.75" customHeight="1">
      <c r="A37" s="63" t="s">
        <v>54</v>
      </c>
      <c r="B37" s="64">
        <v>3.0</v>
      </c>
      <c r="C37" s="65"/>
      <c r="D37" s="66" t="s">
        <v>179</v>
      </c>
      <c r="E37" s="215" t="s">
        <v>172</v>
      </c>
      <c r="F37" s="86">
        <v>0.0</v>
      </c>
      <c r="G37" s="225">
        <v>5.0E8</v>
      </c>
      <c r="H37" s="70">
        <f t="shared" si="1"/>
        <v>0</v>
      </c>
      <c r="I37" s="71">
        <f t="shared" si="2"/>
        <v>0</v>
      </c>
    </row>
    <row r="38" ht="15.75" customHeight="1">
      <c r="A38" s="124" t="s">
        <v>56</v>
      </c>
      <c r="B38" s="217" t="s">
        <v>47</v>
      </c>
      <c r="C38" s="218" t="s">
        <v>183</v>
      </c>
      <c r="D38" s="219" t="s">
        <v>171</v>
      </c>
      <c r="E38" s="127" t="s">
        <v>172</v>
      </c>
      <c r="F38" s="84">
        <v>0.0</v>
      </c>
      <c r="G38" s="220">
        <v>100000.0</v>
      </c>
      <c r="H38" s="130">
        <f t="shared" si="1"/>
        <v>0</v>
      </c>
      <c r="I38" s="131">
        <f t="shared" si="2"/>
        <v>0</v>
      </c>
    </row>
    <row r="39" ht="15.75" customHeight="1">
      <c r="A39" s="45" t="s">
        <v>56</v>
      </c>
      <c r="B39" s="46" t="s">
        <v>47</v>
      </c>
      <c r="C39" s="47"/>
      <c r="D39" s="48" t="s">
        <v>173</v>
      </c>
      <c r="E39" s="183" t="s">
        <v>172</v>
      </c>
      <c r="F39" s="85">
        <v>0.0</v>
      </c>
      <c r="G39" s="221">
        <v>500000.0</v>
      </c>
      <c r="H39" s="52">
        <f t="shared" si="1"/>
        <v>0</v>
      </c>
      <c r="I39" s="53">
        <f t="shared" si="2"/>
        <v>0</v>
      </c>
    </row>
    <row r="40" ht="15.75" customHeight="1">
      <c r="A40" s="132" t="s">
        <v>56</v>
      </c>
      <c r="B40" s="222" t="s">
        <v>47</v>
      </c>
      <c r="C40" s="134"/>
      <c r="D40" s="135" t="s">
        <v>174</v>
      </c>
      <c r="E40" s="135" t="s">
        <v>172</v>
      </c>
      <c r="F40" s="85">
        <v>0.0</v>
      </c>
      <c r="G40" s="223">
        <v>1000000.0</v>
      </c>
      <c r="H40" s="138">
        <f t="shared" si="1"/>
        <v>0</v>
      </c>
      <c r="I40" s="139">
        <f t="shared" si="2"/>
        <v>0</v>
      </c>
    </row>
    <row r="41" ht="15.75" customHeight="1">
      <c r="A41" s="45" t="s">
        <v>56</v>
      </c>
      <c r="B41" s="46" t="s">
        <v>47</v>
      </c>
      <c r="C41" s="47"/>
      <c r="D41" s="48" t="s">
        <v>175</v>
      </c>
      <c r="E41" s="183" t="s">
        <v>172</v>
      </c>
      <c r="F41" s="85">
        <v>0.0</v>
      </c>
      <c r="G41" s="221">
        <v>5000000.0</v>
      </c>
      <c r="H41" s="52">
        <f t="shared" si="1"/>
        <v>0</v>
      </c>
      <c r="I41" s="53">
        <f t="shared" si="2"/>
        <v>0</v>
      </c>
    </row>
    <row r="42" ht="15.75" customHeight="1">
      <c r="A42" s="132" t="s">
        <v>56</v>
      </c>
      <c r="B42" s="222" t="s">
        <v>47</v>
      </c>
      <c r="C42" s="134"/>
      <c r="D42" s="140" t="s">
        <v>176</v>
      </c>
      <c r="E42" s="135" t="s">
        <v>172</v>
      </c>
      <c r="F42" s="85">
        <v>0.0</v>
      </c>
      <c r="G42" s="223">
        <v>1.0E7</v>
      </c>
      <c r="H42" s="138">
        <f t="shared" si="1"/>
        <v>0</v>
      </c>
      <c r="I42" s="139">
        <f t="shared" si="2"/>
        <v>0</v>
      </c>
    </row>
    <row r="43" ht="15.75" customHeight="1">
      <c r="A43" s="45" t="s">
        <v>56</v>
      </c>
      <c r="B43" s="46" t="s">
        <v>47</v>
      </c>
      <c r="C43" s="47"/>
      <c r="D43" s="48" t="s">
        <v>177</v>
      </c>
      <c r="E43" s="183" t="s">
        <v>172</v>
      </c>
      <c r="F43" s="85">
        <v>0.0</v>
      </c>
      <c r="G43" s="221">
        <v>5.0E7</v>
      </c>
      <c r="H43" s="52">
        <f t="shared" si="1"/>
        <v>0</v>
      </c>
      <c r="I43" s="53">
        <f t="shared" si="2"/>
        <v>0</v>
      </c>
    </row>
    <row r="44" ht="15.75" customHeight="1">
      <c r="A44" s="132" t="s">
        <v>56</v>
      </c>
      <c r="B44" s="222" t="s">
        <v>47</v>
      </c>
      <c r="C44" s="134"/>
      <c r="D44" s="140" t="s">
        <v>178</v>
      </c>
      <c r="E44" s="135" t="s">
        <v>172</v>
      </c>
      <c r="F44" s="85">
        <v>0.0</v>
      </c>
      <c r="G44" s="223">
        <v>1.0E8</v>
      </c>
      <c r="H44" s="138">
        <f t="shared" si="1"/>
        <v>0</v>
      </c>
      <c r="I44" s="139">
        <f t="shared" si="2"/>
        <v>0</v>
      </c>
    </row>
    <row r="45" ht="15.75" customHeight="1">
      <c r="A45" s="63" t="s">
        <v>56</v>
      </c>
      <c r="B45" s="64" t="s">
        <v>47</v>
      </c>
      <c r="C45" s="65"/>
      <c r="D45" s="66" t="s">
        <v>179</v>
      </c>
      <c r="E45" s="215" t="s">
        <v>172</v>
      </c>
      <c r="F45" s="86">
        <v>0.0</v>
      </c>
      <c r="G45" s="225">
        <v>5.0E8</v>
      </c>
      <c r="H45" s="70">
        <f t="shared" si="1"/>
        <v>0</v>
      </c>
      <c r="I45" s="71">
        <f t="shared" si="2"/>
        <v>0</v>
      </c>
    </row>
    <row r="46" ht="15.75" customHeight="1"/>
    <row r="47" ht="15.75" customHeight="1"/>
    <row r="48" ht="23.25" customHeight="1">
      <c r="A48" s="20" t="s">
        <v>184</v>
      </c>
      <c r="B48" s="164"/>
      <c r="C48" s="164"/>
    </row>
    <row r="49" ht="17.25" customHeight="1">
      <c r="A49" s="88" t="s">
        <v>26</v>
      </c>
      <c r="B49" s="89"/>
      <c r="C49" s="89"/>
      <c r="D49" s="89"/>
      <c r="E49" s="89"/>
      <c r="F49" s="90"/>
      <c r="G49" s="226" t="s">
        <v>185</v>
      </c>
      <c r="H49" s="89"/>
      <c r="I49" s="92"/>
    </row>
    <row r="50">
      <c r="A50" s="170" t="s">
        <v>167</v>
      </c>
      <c r="B50" s="94" t="s">
        <v>29</v>
      </c>
      <c r="C50" s="95" t="s">
        <v>30</v>
      </c>
      <c r="D50" s="215" t="s">
        <v>168</v>
      </c>
      <c r="E50" s="67" t="s">
        <v>32</v>
      </c>
      <c r="F50" s="95" t="s">
        <v>33</v>
      </c>
      <c r="G50" s="94" t="s">
        <v>34</v>
      </c>
      <c r="H50" s="173" t="s">
        <v>35</v>
      </c>
      <c r="I50" s="216" t="s">
        <v>36</v>
      </c>
      <c r="K50" s="33" t="s">
        <v>37</v>
      </c>
      <c r="L50" s="33" t="s">
        <v>186</v>
      </c>
    </row>
    <row r="51" ht="15.75" customHeight="1">
      <c r="A51" s="99" t="s">
        <v>39</v>
      </c>
      <c r="B51" s="227">
        <v>1.0</v>
      </c>
      <c r="C51" s="228" t="s">
        <v>187</v>
      </c>
      <c r="D51" s="229" t="s">
        <v>171</v>
      </c>
      <c r="E51" s="102" t="s">
        <v>172</v>
      </c>
      <c r="F51" s="84">
        <v>0.0</v>
      </c>
      <c r="G51" s="230">
        <v>100000.0</v>
      </c>
      <c r="H51" s="105">
        <f t="shared" ref="H51:H90" si="3">F51*G51</f>
        <v>0</v>
      </c>
      <c r="I51" s="106">
        <f t="shared" ref="I51:I90" si="4">H51*365</f>
        <v>0</v>
      </c>
      <c r="K51" s="43">
        <v>1.0</v>
      </c>
      <c r="L51" s="44">
        <f>sum(I51:I58)</f>
        <v>0</v>
      </c>
    </row>
    <row r="52" ht="15.75" customHeight="1">
      <c r="A52" s="45" t="s">
        <v>39</v>
      </c>
      <c r="B52" s="46">
        <v>1.0</v>
      </c>
      <c r="C52" s="47"/>
      <c r="D52" s="48" t="s">
        <v>173</v>
      </c>
      <c r="E52" s="183" t="s">
        <v>172</v>
      </c>
      <c r="F52" s="85">
        <v>0.0</v>
      </c>
      <c r="G52" s="221">
        <v>500000.0</v>
      </c>
      <c r="H52" s="52">
        <f t="shared" si="3"/>
        <v>0</v>
      </c>
      <c r="I52" s="53">
        <f t="shared" si="4"/>
        <v>0</v>
      </c>
      <c r="K52" s="43">
        <v>2.0</v>
      </c>
      <c r="L52" s="44">
        <f>sum(I59:I66)</f>
        <v>0</v>
      </c>
    </row>
    <row r="53">
      <c r="A53" s="108" t="s">
        <v>39</v>
      </c>
      <c r="B53" s="231">
        <v>1.0</v>
      </c>
      <c r="C53" s="110"/>
      <c r="D53" s="111" t="s">
        <v>174</v>
      </c>
      <c r="E53" s="111" t="s">
        <v>172</v>
      </c>
      <c r="F53" s="85">
        <v>0.0</v>
      </c>
      <c r="G53" s="232">
        <v>1000000.0</v>
      </c>
      <c r="H53" s="114">
        <f t="shared" si="3"/>
        <v>0</v>
      </c>
      <c r="I53" s="115">
        <f t="shared" si="4"/>
        <v>0</v>
      </c>
      <c r="K53" s="43" t="s">
        <v>44</v>
      </c>
      <c r="L53" s="44">
        <f>sum(I67:I74)</f>
        <v>0</v>
      </c>
    </row>
    <row r="54">
      <c r="A54" s="45" t="s">
        <v>39</v>
      </c>
      <c r="B54" s="46">
        <v>1.0</v>
      </c>
      <c r="C54" s="47"/>
      <c r="D54" s="48" t="s">
        <v>175</v>
      </c>
      <c r="E54" s="183" t="s">
        <v>172</v>
      </c>
      <c r="F54" s="85">
        <v>0.0</v>
      </c>
      <c r="G54" s="221">
        <v>5000000.0</v>
      </c>
      <c r="H54" s="52">
        <f t="shared" si="3"/>
        <v>0</v>
      </c>
      <c r="I54" s="53">
        <f t="shared" si="4"/>
        <v>0</v>
      </c>
      <c r="K54" s="43">
        <v>3.0</v>
      </c>
      <c r="L54" s="44">
        <f>sum(I75:I82)</f>
        <v>0</v>
      </c>
    </row>
    <row r="55">
      <c r="A55" s="108" t="s">
        <v>39</v>
      </c>
      <c r="B55" s="231">
        <v>1.0</v>
      </c>
      <c r="C55" s="110"/>
      <c r="D55" s="116" t="s">
        <v>176</v>
      </c>
      <c r="E55" s="111" t="s">
        <v>172</v>
      </c>
      <c r="F55" s="85">
        <v>0.0</v>
      </c>
      <c r="G55" s="232">
        <v>1.0E7</v>
      </c>
      <c r="H55" s="114">
        <f t="shared" si="3"/>
        <v>0</v>
      </c>
      <c r="I55" s="115">
        <f t="shared" si="4"/>
        <v>0</v>
      </c>
      <c r="K55" s="43" t="s">
        <v>47</v>
      </c>
      <c r="L55" s="44">
        <f>sum(I83:I90)</f>
        <v>0</v>
      </c>
    </row>
    <row r="56">
      <c r="A56" s="45" t="s">
        <v>39</v>
      </c>
      <c r="B56" s="46">
        <v>1.0</v>
      </c>
      <c r="C56" s="47"/>
      <c r="D56" s="48" t="s">
        <v>177</v>
      </c>
      <c r="E56" s="183" t="s">
        <v>172</v>
      </c>
      <c r="F56" s="85">
        <v>0.0</v>
      </c>
      <c r="G56" s="221">
        <v>5.0E7</v>
      </c>
      <c r="H56" s="52">
        <f t="shared" si="3"/>
        <v>0</v>
      </c>
      <c r="I56" s="53">
        <f t="shared" si="4"/>
        <v>0</v>
      </c>
      <c r="K56" s="72" t="s">
        <v>137</v>
      </c>
      <c r="L56" s="73">
        <f>sum(L51:L55)</f>
        <v>0</v>
      </c>
    </row>
    <row r="57">
      <c r="A57" s="108" t="s">
        <v>39</v>
      </c>
      <c r="B57" s="231">
        <v>1.0</v>
      </c>
      <c r="C57" s="110"/>
      <c r="D57" s="116" t="s">
        <v>178</v>
      </c>
      <c r="E57" s="111" t="s">
        <v>172</v>
      </c>
      <c r="F57" s="85">
        <v>0.0</v>
      </c>
      <c r="G57" s="232">
        <v>1.0E8</v>
      </c>
      <c r="H57" s="114">
        <f t="shared" si="3"/>
        <v>0</v>
      </c>
      <c r="I57" s="115">
        <f t="shared" si="4"/>
        <v>0</v>
      </c>
    </row>
    <row r="58">
      <c r="A58" s="63" t="s">
        <v>39</v>
      </c>
      <c r="B58" s="64">
        <v>1.0</v>
      </c>
      <c r="C58" s="224"/>
      <c r="D58" s="66" t="s">
        <v>179</v>
      </c>
      <c r="E58" s="215" t="s">
        <v>172</v>
      </c>
      <c r="F58" s="86">
        <v>0.0</v>
      </c>
      <c r="G58" s="225">
        <v>5.0E8</v>
      </c>
      <c r="H58" s="70">
        <f t="shared" si="3"/>
        <v>0</v>
      </c>
      <c r="I58" s="71">
        <f t="shared" si="4"/>
        <v>0</v>
      </c>
    </row>
    <row r="59" ht="15.75" customHeight="1">
      <c r="A59" s="99" t="s">
        <v>50</v>
      </c>
      <c r="B59" s="227">
        <v>2.0</v>
      </c>
      <c r="C59" s="228" t="s">
        <v>188</v>
      </c>
      <c r="D59" s="229" t="s">
        <v>171</v>
      </c>
      <c r="E59" s="102" t="s">
        <v>172</v>
      </c>
      <c r="F59" s="84">
        <v>0.0</v>
      </c>
      <c r="G59" s="230">
        <v>100000.0</v>
      </c>
      <c r="H59" s="105">
        <f t="shared" si="3"/>
        <v>0</v>
      </c>
      <c r="I59" s="106">
        <f t="shared" si="4"/>
        <v>0</v>
      </c>
    </row>
    <row r="60" ht="15.75" customHeight="1">
      <c r="A60" s="45" t="s">
        <v>50</v>
      </c>
      <c r="B60" s="46">
        <v>2.0</v>
      </c>
      <c r="C60" s="47"/>
      <c r="D60" s="48" t="s">
        <v>173</v>
      </c>
      <c r="E60" s="183" t="s">
        <v>172</v>
      </c>
      <c r="F60" s="85">
        <v>0.0</v>
      </c>
      <c r="G60" s="221">
        <v>500000.0</v>
      </c>
      <c r="H60" s="52">
        <f t="shared" si="3"/>
        <v>0</v>
      </c>
      <c r="I60" s="53">
        <f t="shared" si="4"/>
        <v>0</v>
      </c>
    </row>
    <row r="61">
      <c r="A61" s="108" t="s">
        <v>50</v>
      </c>
      <c r="B61" s="231">
        <v>2.0</v>
      </c>
      <c r="C61" s="110"/>
      <c r="D61" s="111" t="s">
        <v>174</v>
      </c>
      <c r="E61" s="111" t="s">
        <v>172</v>
      </c>
      <c r="F61" s="85">
        <v>0.0</v>
      </c>
      <c r="G61" s="232">
        <v>1000000.0</v>
      </c>
      <c r="H61" s="114">
        <f t="shared" si="3"/>
        <v>0</v>
      </c>
      <c r="I61" s="115">
        <f t="shared" si="4"/>
        <v>0</v>
      </c>
    </row>
    <row r="62">
      <c r="A62" s="45" t="s">
        <v>50</v>
      </c>
      <c r="B62" s="46">
        <v>2.0</v>
      </c>
      <c r="C62" s="47"/>
      <c r="D62" s="48" t="s">
        <v>175</v>
      </c>
      <c r="E62" s="183" t="s">
        <v>172</v>
      </c>
      <c r="F62" s="85">
        <v>0.0</v>
      </c>
      <c r="G62" s="221">
        <v>5000000.0</v>
      </c>
      <c r="H62" s="52">
        <f t="shared" si="3"/>
        <v>0</v>
      </c>
      <c r="I62" s="53">
        <f t="shared" si="4"/>
        <v>0</v>
      </c>
    </row>
    <row r="63">
      <c r="A63" s="108" t="s">
        <v>50</v>
      </c>
      <c r="B63" s="231">
        <v>2.0</v>
      </c>
      <c r="C63" s="110"/>
      <c r="D63" s="116" t="s">
        <v>176</v>
      </c>
      <c r="E63" s="111" t="s">
        <v>172</v>
      </c>
      <c r="F63" s="85">
        <v>0.0</v>
      </c>
      <c r="G63" s="232">
        <v>1.0E7</v>
      </c>
      <c r="H63" s="114">
        <f t="shared" si="3"/>
        <v>0</v>
      </c>
      <c r="I63" s="115">
        <f t="shared" si="4"/>
        <v>0</v>
      </c>
    </row>
    <row r="64">
      <c r="A64" s="45" t="s">
        <v>50</v>
      </c>
      <c r="B64" s="46">
        <v>2.0</v>
      </c>
      <c r="C64" s="47"/>
      <c r="D64" s="48" t="s">
        <v>177</v>
      </c>
      <c r="E64" s="183" t="s">
        <v>172</v>
      </c>
      <c r="F64" s="85">
        <v>0.0</v>
      </c>
      <c r="G64" s="221">
        <v>5.0E7</v>
      </c>
      <c r="H64" s="52">
        <f t="shared" si="3"/>
        <v>0</v>
      </c>
      <c r="I64" s="53">
        <f t="shared" si="4"/>
        <v>0</v>
      </c>
    </row>
    <row r="65">
      <c r="A65" s="108" t="s">
        <v>50</v>
      </c>
      <c r="B65" s="231">
        <v>2.0</v>
      </c>
      <c r="C65" s="110"/>
      <c r="D65" s="116" t="s">
        <v>178</v>
      </c>
      <c r="E65" s="111" t="s">
        <v>172</v>
      </c>
      <c r="F65" s="85">
        <v>0.0</v>
      </c>
      <c r="G65" s="232">
        <v>1.0E8</v>
      </c>
      <c r="H65" s="114">
        <f t="shared" si="3"/>
        <v>0</v>
      </c>
      <c r="I65" s="115">
        <f t="shared" si="4"/>
        <v>0</v>
      </c>
    </row>
    <row r="66">
      <c r="A66" s="63" t="s">
        <v>50</v>
      </c>
      <c r="B66" s="64">
        <v>2.0</v>
      </c>
      <c r="C66" s="65"/>
      <c r="D66" s="66" t="s">
        <v>179</v>
      </c>
      <c r="E66" s="215" t="s">
        <v>172</v>
      </c>
      <c r="F66" s="86">
        <v>0.0</v>
      </c>
      <c r="G66" s="225">
        <v>5.0E8</v>
      </c>
      <c r="H66" s="70">
        <f t="shared" si="3"/>
        <v>0</v>
      </c>
      <c r="I66" s="71">
        <f t="shared" si="4"/>
        <v>0</v>
      </c>
    </row>
    <row r="67" ht="15.75" customHeight="1">
      <c r="A67" s="99" t="s">
        <v>52</v>
      </c>
      <c r="B67" s="227" t="s">
        <v>44</v>
      </c>
      <c r="C67" s="228" t="s">
        <v>189</v>
      </c>
      <c r="D67" s="229" t="s">
        <v>171</v>
      </c>
      <c r="E67" s="102" t="s">
        <v>172</v>
      </c>
      <c r="F67" s="84">
        <v>0.0</v>
      </c>
      <c r="G67" s="230">
        <v>100000.0</v>
      </c>
      <c r="H67" s="105">
        <f t="shared" si="3"/>
        <v>0</v>
      </c>
      <c r="I67" s="106">
        <f t="shared" si="4"/>
        <v>0</v>
      </c>
    </row>
    <row r="68" ht="15.75" customHeight="1">
      <c r="A68" s="45" t="s">
        <v>52</v>
      </c>
      <c r="B68" s="46" t="s">
        <v>44</v>
      </c>
      <c r="C68" s="47"/>
      <c r="D68" s="48" t="s">
        <v>173</v>
      </c>
      <c r="E68" s="183" t="s">
        <v>172</v>
      </c>
      <c r="F68" s="85">
        <v>0.0</v>
      </c>
      <c r="G68" s="221">
        <v>500000.0</v>
      </c>
      <c r="H68" s="52">
        <f t="shared" si="3"/>
        <v>0</v>
      </c>
      <c r="I68" s="53">
        <f t="shared" si="4"/>
        <v>0</v>
      </c>
    </row>
    <row r="69">
      <c r="A69" s="108" t="s">
        <v>52</v>
      </c>
      <c r="B69" s="231" t="s">
        <v>44</v>
      </c>
      <c r="C69" s="110"/>
      <c r="D69" s="111" t="s">
        <v>174</v>
      </c>
      <c r="E69" s="111" t="s">
        <v>172</v>
      </c>
      <c r="F69" s="85">
        <v>0.0</v>
      </c>
      <c r="G69" s="232">
        <v>1000000.0</v>
      </c>
      <c r="H69" s="114">
        <f t="shared" si="3"/>
        <v>0</v>
      </c>
      <c r="I69" s="115">
        <f t="shared" si="4"/>
        <v>0</v>
      </c>
    </row>
    <row r="70">
      <c r="A70" s="45" t="s">
        <v>52</v>
      </c>
      <c r="B70" s="46" t="s">
        <v>44</v>
      </c>
      <c r="C70" s="47"/>
      <c r="D70" s="48" t="s">
        <v>175</v>
      </c>
      <c r="E70" s="183" t="s">
        <v>172</v>
      </c>
      <c r="F70" s="85">
        <v>0.0</v>
      </c>
      <c r="G70" s="221">
        <v>5000000.0</v>
      </c>
      <c r="H70" s="52">
        <f t="shared" si="3"/>
        <v>0</v>
      </c>
      <c r="I70" s="53">
        <f t="shared" si="4"/>
        <v>0</v>
      </c>
    </row>
    <row r="71" ht="15.75" customHeight="1">
      <c r="A71" s="108" t="s">
        <v>52</v>
      </c>
      <c r="B71" s="231" t="s">
        <v>44</v>
      </c>
      <c r="C71" s="110"/>
      <c r="D71" s="116" t="s">
        <v>176</v>
      </c>
      <c r="E71" s="111" t="s">
        <v>172</v>
      </c>
      <c r="F71" s="85">
        <v>0.0</v>
      </c>
      <c r="G71" s="232">
        <v>1.0E7</v>
      </c>
      <c r="H71" s="114">
        <f t="shared" si="3"/>
        <v>0</v>
      </c>
      <c r="I71" s="115">
        <f t="shared" si="4"/>
        <v>0</v>
      </c>
    </row>
    <row r="72" ht="15.75" customHeight="1">
      <c r="A72" s="45" t="s">
        <v>52</v>
      </c>
      <c r="B72" s="46" t="s">
        <v>44</v>
      </c>
      <c r="C72" s="47"/>
      <c r="D72" s="48" t="s">
        <v>177</v>
      </c>
      <c r="E72" s="183" t="s">
        <v>172</v>
      </c>
      <c r="F72" s="85">
        <v>0.0</v>
      </c>
      <c r="G72" s="221">
        <v>5.0E7</v>
      </c>
      <c r="H72" s="52">
        <f t="shared" si="3"/>
        <v>0</v>
      </c>
      <c r="I72" s="53">
        <f t="shared" si="4"/>
        <v>0</v>
      </c>
    </row>
    <row r="73" ht="15.75" customHeight="1">
      <c r="A73" s="108" t="s">
        <v>52</v>
      </c>
      <c r="B73" s="231" t="s">
        <v>44</v>
      </c>
      <c r="C73" s="110"/>
      <c r="D73" s="116" t="s">
        <v>178</v>
      </c>
      <c r="E73" s="111" t="s">
        <v>172</v>
      </c>
      <c r="F73" s="85">
        <v>0.0</v>
      </c>
      <c r="G73" s="232">
        <v>1.0E8</v>
      </c>
      <c r="H73" s="114">
        <f t="shared" si="3"/>
        <v>0</v>
      </c>
      <c r="I73" s="115">
        <f t="shared" si="4"/>
        <v>0</v>
      </c>
    </row>
    <row r="74" ht="15.75" customHeight="1">
      <c r="A74" s="63" t="s">
        <v>52</v>
      </c>
      <c r="B74" s="64" t="s">
        <v>44</v>
      </c>
      <c r="C74" s="65"/>
      <c r="D74" s="66" t="s">
        <v>190</v>
      </c>
      <c r="E74" s="215" t="s">
        <v>172</v>
      </c>
      <c r="F74" s="86">
        <v>0.0</v>
      </c>
      <c r="G74" s="225">
        <v>5.0E8</v>
      </c>
      <c r="H74" s="70">
        <f t="shared" si="3"/>
        <v>0</v>
      </c>
      <c r="I74" s="71">
        <f t="shared" si="4"/>
        <v>0</v>
      </c>
    </row>
    <row r="75" ht="15.75" customHeight="1">
      <c r="A75" s="99" t="s">
        <v>54</v>
      </c>
      <c r="B75" s="227">
        <v>3.0</v>
      </c>
      <c r="C75" s="228" t="s">
        <v>191</v>
      </c>
      <c r="D75" s="229" t="s">
        <v>171</v>
      </c>
      <c r="E75" s="102" t="s">
        <v>172</v>
      </c>
      <c r="F75" s="84">
        <v>0.0</v>
      </c>
      <c r="G75" s="230">
        <v>100000.0</v>
      </c>
      <c r="H75" s="105">
        <f t="shared" si="3"/>
        <v>0</v>
      </c>
      <c r="I75" s="106">
        <f t="shared" si="4"/>
        <v>0</v>
      </c>
    </row>
    <row r="76" ht="15.75" customHeight="1">
      <c r="A76" s="45" t="s">
        <v>54</v>
      </c>
      <c r="B76" s="46">
        <v>3.0</v>
      </c>
      <c r="C76" s="47"/>
      <c r="D76" s="48" t="s">
        <v>173</v>
      </c>
      <c r="E76" s="183" t="s">
        <v>172</v>
      </c>
      <c r="F76" s="85">
        <v>0.0</v>
      </c>
      <c r="G76" s="221">
        <v>500000.0</v>
      </c>
      <c r="H76" s="52">
        <f t="shared" si="3"/>
        <v>0</v>
      </c>
      <c r="I76" s="53">
        <f t="shared" si="4"/>
        <v>0</v>
      </c>
    </row>
    <row r="77" ht="15.75" customHeight="1">
      <c r="A77" s="108" t="s">
        <v>54</v>
      </c>
      <c r="B77" s="231">
        <v>3.0</v>
      </c>
      <c r="C77" s="110"/>
      <c r="D77" s="111" t="s">
        <v>174</v>
      </c>
      <c r="E77" s="111" t="s">
        <v>172</v>
      </c>
      <c r="F77" s="85">
        <v>0.0</v>
      </c>
      <c r="G77" s="232">
        <v>1000000.0</v>
      </c>
      <c r="H77" s="114">
        <f t="shared" si="3"/>
        <v>0</v>
      </c>
      <c r="I77" s="115">
        <f t="shared" si="4"/>
        <v>0</v>
      </c>
    </row>
    <row r="78" ht="15.75" customHeight="1">
      <c r="A78" s="45" t="s">
        <v>54</v>
      </c>
      <c r="B78" s="46">
        <v>3.0</v>
      </c>
      <c r="C78" s="47"/>
      <c r="D78" s="48" t="s">
        <v>175</v>
      </c>
      <c r="E78" s="183" t="s">
        <v>172</v>
      </c>
      <c r="F78" s="85">
        <v>0.0</v>
      </c>
      <c r="G78" s="221">
        <v>5000000.0</v>
      </c>
      <c r="H78" s="52">
        <f t="shared" si="3"/>
        <v>0</v>
      </c>
      <c r="I78" s="53">
        <f t="shared" si="4"/>
        <v>0</v>
      </c>
    </row>
    <row r="79" ht="15.75" customHeight="1">
      <c r="A79" s="108" t="s">
        <v>54</v>
      </c>
      <c r="B79" s="231">
        <v>3.0</v>
      </c>
      <c r="C79" s="110"/>
      <c r="D79" s="116" t="s">
        <v>176</v>
      </c>
      <c r="E79" s="111" t="s">
        <v>172</v>
      </c>
      <c r="F79" s="85">
        <v>0.0</v>
      </c>
      <c r="G79" s="232">
        <v>1.0E7</v>
      </c>
      <c r="H79" s="114">
        <f t="shared" si="3"/>
        <v>0</v>
      </c>
      <c r="I79" s="115">
        <f t="shared" si="4"/>
        <v>0</v>
      </c>
    </row>
    <row r="80" ht="15.75" customHeight="1">
      <c r="A80" s="45" t="s">
        <v>54</v>
      </c>
      <c r="B80" s="46">
        <v>3.0</v>
      </c>
      <c r="C80" s="47"/>
      <c r="D80" s="48" t="s">
        <v>177</v>
      </c>
      <c r="E80" s="183" t="s">
        <v>172</v>
      </c>
      <c r="F80" s="85">
        <v>0.0</v>
      </c>
      <c r="G80" s="221">
        <v>5.0E7</v>
      </c>
      <c r="H80" s="52">
        <f t="shared" si="3"/>
        <v>0</v>
      </c>
      <c r="I80" s="53">
        <f t="shared" si="4"/>
        <v>0</v>
      </c>
    </row>
    <row r="81" ht="15.75" customHeight="1">
      <c r="A81" s="108" t="s">
        <v>54</v>
      </c>
      <c r="B81" s="231">
        <v>3.0</v>
      </c>
      <c r="C81" s="110"/>
      <c r="D81" s="116" t="s">
        <v>178</v>
      </c>
      <c r="E81" s="111" t="s">
        <v>172</v>
      </c>
      <c r="F81" s="85">
        <v>0.0</v>
      </c>
      <c r="G81" s="232">
        <v>1.0E8</v>
      </c>
      <c r="H81" s="114">
        <f t="shared" si="3"/>
        <v>0</v>
      </c>
      <c r="I81" s="115">
        <f t="shared" si="4"/>
        <v>0</v>
      </c>
    </row>
    <row r="82" ht="15.75" customHeight="1">
      <c r="A82" s="63" t="s">
        <v>54</v>
      </c>
      <c r="B82" s="64">
        <v>3.0</v>
      </c>
      <c r="C82" s="65"/>
      <c r="D82" s="66" t="s">
        <v>179</v>
      </c>
      <c r="E82" s="215" t="s">
        <v>172</v>
      </c>
      <c r="F82" s="86">
        <v>0.0</v>
      </c>
      <c r="G82" s="225">
        <v>5.0E8</v>
      </c>
      <c r="H82" s="70">
        <f t="shared" si="3"/>
        <v>0</v>
      </c>
      <c r="I82" s="71">
        <f t="shared" si="4"/>
        <v>0</v>
      </c>
    </row>
    <row r="83" ht="15.75" customHeight="1">
      <c r="A83" s="99" t="s">
        <v>56</v>
      </c>
      <c r="B83" s="227" t="s">
        <v>47</v>
      </c>
      <c r="C83" s="228" t="s">
        <v>192</v>
      </c>
      <c r="D83" s="229" t="s">
        <v>171</v>
      </c>
      <c r="E83" s="102" t="s">
        <v>172</v>
      </c>
      <c r="F83" s="84">
        <v>0.0</v>
      </c>
      <c r="G83" s="230">
        <v>100000.0</v>
      </c>
      <c r="H83" s="105">
        <f t="shared" si="3"/>
        <v>0</v>
      </c>
      <c r="I83" s="106">
        <f t="shared" si="4"/>
        <v>0</v>
      </c>
    </row>
    <row r="84" ht="15.75" customHeight="1">
      <c r="A84" s="45" t="s">
        <v>56</v>
      </c>
      <c r="B84" s="46" t="s">
        <v>47</v>
      </c>
      <c r="C84" s="47"/>
      <c r="D84" s="48" t="s">
        <v>173</v>
      </c>
      <c r="E84" s="183" t="s">
        <v>172</v>
      </c>
      <c r="F84" s="85">
        <v>0.0</v>
      </c>
      <c r="G84" s="221">
        <v>500000.0</v>
      </c>
      <c r="H84" s="52">
        <f t="shared" si="3"/>
        <v>0</v>
      </c>
      <c r="I84" s="53">
        <f t="shared" si="4"/>
        <v>0</v>
      </c>
    </row>
    <row r="85" ht="15.75" customHeight="1">
      <c r="A85" s="108" t="s">
        <v>56</v>
      </c>
      <c r="B85" s="231" t="s">
        <v>47</v>
      </c>
      <c r="C85" s="110"/>
      <c r="D85" s="111" t="s">
        <v>174</v>
      </c>
      <c r="E85" s="111" t="s">
        <v>172</v>
      </c>
      <c r="F85" s="85">
        <v>0.0</v>
      </c>
      <c r="G85" s="232">
        <v>1000000.0</v>
      </c>
      <c r="H85" s="114">
        <f t="shared" si="3"/>
        <v>0</v>
      </c>
      <c r="I85" s="115">
        <f t="shared" si="4"/>
        <v>0</v>
      </c>
    </row>
    <row r="86" ht="15.75" customHeight="1">
      <c r="A86" s="45" t="s">
        <v>56</v>
      </c>
      <c r="B86" s="46" t="s">
        <v>47</v>
      </c>
      <c r="C86" s="47"/>
      <c r="D86" s="48" t="s">
        <v>175</v>
      </c>
      <c r="E86" s="183" t="s">
        <v>172</v>
      </c>
      <c r="F86" s="85">
        <v>0.0</v>
      </c>
      <c r="G86" s="221">
        <v>5000000.0</v>
      </c>
      <c r="H86" s="52">
        <f t="shared" si="3"/>
        <v>0</v>
      </c>
      <c r="I86" s="53">
        <f t="shared" si="4"/>
        <v>0</v>
      </c>
    </row>
    <row r="87" ht="15.75" customHeight="1">
      <c r="A87" s="108" t="s">
        <v>56</v>
      </c>
      <c r="B87" s="231" t="s">
        <v>47</v>
      </c>
      <c r="C87" s="110"/>
      <c r="D87" s="116" t="s">
        <v>176</v>
      </c>
      <c r="E87" s="111" t="s">
        <v>172</v>
      </c>
      <c r="F87" s="85">
        <v>0.0</v>
      </c>
      <c r="G87" s="232">
        <v>1.0E7</v>
      </c>
      <c r="H87" s="114">
        <f t="shared" si="3"/>
        <v>0</v>
      </c>
      <c r="I87" s="115">
        <f t="shared" si="4"/>
        <v>0</v>
      </c>
    </row>
    <row r="88" ht="15.75" customHeight="1">
      <c r="A88" s="45" t="s">
        <v>56</v>
      </c>
      <c r="B88" s="46" t="s">
        <v>47</v>
      </c>
      <c r="C88" s="47"/>
      <c r="D88" s="48" t="s">
        <v>177</v>
      </c>
      <c r="E88" s="183" t="s">
        <v>172</v>
      </c>
      <c r="F88" s="85">
        <v>0.0</v>
      </c>
      <c r="G88" s="221">
        <v>5.0E7</v>
      </c>
      <c r="H88" s="52">
        <f t="shared" si="3"/>
        <v>0</v>
      </c>
      <c r="I88" s="53">
        <f t="shared" si="4"/>
        <v>0</v>
      </c>
    </row>
    <row r="89" ht="15.75" customHeight="1">
      <c r="A89" s="108" t="s">
        <v>56</v>
      </c>
      <c r="B89" s="231" t="s">
        <v>47</v>
      </c>
      <c r="C89" s="110"/>
      <c r="D89" s="116" t="s">
        <v>178</v>
      </c>
      <c r="E89" s="111" t="s">
        <v>172</v>
      </c>
      <c r="F89" s="85">
        <v>0.0</v>
      </c>
      <c r="G89" s="232">
        <v>1.0E8</v>
      </c>
      <c r="H89" s="114">
        <f t="shared" si="3"/>
        <v>0</v>
      </c>
      <c r="I89" s="115">
        <f t="shared" si="4"/>
        <v>0</v>
      </c>
    </row>
    <row r="90" ht="15.75" customHeight="1">
      <c r="A90" s="63" t="s">
        <v>56</v>
      </c>
      <c r="B90" s="64" t="s">
        <v>47</v>
      </c>
      <c r="C90" s="65"/>
      <c r="D90" s="66" t="s">
        <v>179</v>
      </c>
      <c r="E90" s="215" t="s">
        <v>172</v>
      </c>
      <c r="F90" s="86">
        <v>0.0</v>
      </c>
      <c r="G90" s="225">
        <v>5.0E8</v>
      </c>
      <c r="H90" s="70">
        <f t="shared" si="3"/>
        <v>0</v>
      </c>
      <c r="I90" s="71">
        <f t="shared" si="4"/>
        <v>0</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4">
    <mergeCell ref="A49:F49"/>
    <mergeCell ref="G49:I49"/>
    <mergeCell ref="C51:C58"/>
    <mergeCell ref="C59:C66"/>
    <mergeCell ref="C67:C74"/>
    <mergeCell ref="C75:C82"/>
    <mergeCell ref="C83:C90"/>
    <mergeCell ref="A4:F4"/>
    <mergeCell ref="G4:I4"/>
    <mergeCell ref="C6:C13"/>
    <mergeCell ref="C14:C21"/>
    <mergeCell ref="C22:C29"/>
    <mergeCell ref="C30:C37"/>
    <mergeCell ref="C38:C45"/>
  </mergeCells>
  <printOptions/>
  <pageMargins bottom="0.75" footer="0.0" header="0.0" left="0.7" right="0.7" top="0.75"/>
  <pageSetup orientation="landscape"/>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13"/>
    <col customWidth="1" min="3" max="3" width="27.88"/>
    <col customWidth="1" min="4" max="4" width="16.38"/>
    <col customWidth="1" min="5" max="6" width="8.63"/>
    <col customWidth="1" min="7" max="7" width="15.25"/>
    <col customWidth="1" min="8" max="8" width="19.75"/>
    <col customWidth="1" min="9" max="9" width="17.63"/>
    <col customWidth="1" min="10" max="11" width="8.63"/>
    <col customWidth="1" min="12" max="12" width="39.25"/>
    <col customWidth="1" min="13" max="26" width="8.63"/>
  </cols>
  <sheetData>
    <row r="1">
      <c r="A1" s="19" t="s">
        <v>164</v>
      </c>
      <c r="B1" s="164"/>
      <c r="C1" s="164"/>
    </row>
    <row r="2">
      <c r="A2" s="20" t="s">
        <v>102</v>
      </c>
      <c r="B2" s="164"/>
      <c r="C2" s="164"/>
    </row>
    <row r="3" ht="33.75" customHeight="1">
      <c r="A3" s="20" t="s">
        <v>165</v>
      </c>
      <c r="B3" s="164"/>
      <c r="C3" s="164"/>
    </row>
    <row r="4">
      <c r="A4" s="119" t="s">
        <v>26</v>
      </c>
      <c r="B4" s="120"/>
      <c r="C4" s="120"/>
      <c r="D4" s="120"/>
      <c r="E4" s="120"/>
      <c r="F4" s="121"/>
      <c r="G4" s="214" t="s">
        <v>166</v>
      </c>
      <c r="H4" s="120"/>
      <c r="I4" s="123"/>
    </row>
    <row r="5">
      <c r="A5" s="170" t="s">
        <v>167</v>
      </c>
      <c r="B5" s="94" t="s">
        <v>29</v>
      </c>
      <c r="C5" s="95" t="s">
        <v>30</v>
      </c>
      <c r="D5" s="215" t="s">
        <v>168</v>
      </c>
      <c r="E5" s="67" t="s">
        <v>32</v>
      </c>
      <c r="F5" s="95" t="s">
        <v>33</v>
      </c>
      <c r="G5" s="94" t="s">
        <v>34</v>
      </c>
      <c r="H5" s="173" t="s">
        <v>35</v>
      </c>
      <c r="I5" s="216" t="s">
        <v>36</v>
      </c>
      <c r="K5" s="33" t="s">
        <v>37</v>
      </c>
      <c r="L5" s="33" t="s">
        <v>193</v>
      </c>
    </row>
    <row r="6" ht="15.75" customHeight="1">
      <c r="A6" s="124" t="s">
        <v>39</v>
      </c>
      <c r="B6" s="217">
        <v>1.0</v>
      </c>
      <c r="C6" s="218" t="s">
        <v>194</v>
      </c>
      <c r="D6" s="219" t="s">
        <v>171</v>
      </c>
      <c r="E6" s="127" t="s">
        <v>172</v>
      </c>
      <c r="F6" s="84">
        <v>0.0</v>
      </c>
      <c r="G6" s="220">
        <v>100000.0</v>
      </c>
      <c r="H6" s="130">
        <f t="shared" ref="H6:H45" si="1">F6*G6</f>
        <v>0</v>
      </c>
      <c r="I6" s="131">
        <f t="shared" ref="I6:I45" si="2">H6*365</f>
        <v>0</v>
      </c>
      <c r="K6" s="43">
        <v>1.0</v>
      </c>
      <c r="L6" s="44">
        <f>sum(I6:I13)</f>
        <v>0</v>
      </c>
    </row>
    <row r="7">
      <c r="A7" s="45" t="s">
        <v>39</v>
      </c>
      <c r="B7" s="46">
        <v>1.0</v>
      </c>
      <c r="C7" s="47"/>
      <c r="D7" s="48" t="s">
        <v>173</v>
      </c>
      <c r="E7" s="183" t="s">
        <v>172</v>
      </c>
      <c r="F7" s="85">
        <v>0.0</v>
      </c>
      <c r="G7" s="221">
        <v>500000.0</v>
      </c>
      <c r="H7" s="52">
        <f t="shared" si="1"/>
        <v>0</v>
      </c>
      <c r="I7" s="53">
        <f t="shared" si="2"/>
        <v>0</v>
      </c>
      <c r="K7" s="43">
        <v>2.0</v>
      </c>
      <c r="L7" s="44">
        <f>sum(I14:I21)</f>
        <v>0</v>
      </c>
    </row>
    <row r="8">
      <c r="A8" s="132" t="s">
        <v>39</v>
      </c>
      <c r="B8" s="222">
        <v>1.0</v>
      </c>
      <c r="C8" s="134"/>
      <c r="D8" s="135" t="s">
        <v>174</v>
      </c>
      <c r="E8" s="135" t="s">
        <v>172</v>
      </c>
      <c r="F8" s="85">
        <v>0.0</v>
      </c>
      <c r="G8" s="223">
        <v>1000000.0</v>
      </c>
      <c r="H8" s="138">
        <f t="shared" si="1"/>
        <v>0</v>
      </c>
      <c r="I8" s="139">
        <f t="shared" si="2"/>
        <v>0</v>
      </c>
      <c r="K8" s="43" t="s">
        <v>44</v>
      </c>
      <c r="L8" s="44">
        <f>sum(I22:I29)</f>
        <v>0</v>
      </c>
    </row>
    <row r="9">
      <c r="A9" s="45" t="s">
        <v>39</v>
      </c>
      <c r="B9" s="46">
        <v>1.0</v>
      </c>
      <c r="C9" s="47"/>
      <c r="D9" s="48" t="s">
        <v>175</v>
      </c>
      <c r="E9" s="183" t="s">
        <v>172</v>
      </c>
      <c r="F9" s="85">
        <v>0.0</v>
      </c>
      <c r="G9" s="221">
        <v>5000000.0</v>
      </c>
      <c r="H9" s="52">
        <f t="shared" si="1"/>
        <v>0</v>
      </c>
      <c r="I9" s="53">
        <f t="shared" si="2"/>
        <v>0</v>
      </c>
      <c r="K9" s="43">
        <v>3.0</v>
      </c>
      <c r="L9" s="44">
        <f>sum(I30:I37)</f>
        <v>0</v>
      </c>
    </row>
    <row r="10">
      <c r="A10" s="132" t="s">
        <v>39</v>
      </c>
      <c r="B10" s="222">
        <v>1.0</v>
      </c>
      <c r="C10" s="134"/>
      <c r="D10" s="140" t="s">
        <v>176</v>
      </c>
      <c r="E10" s="135" t="s">
        <v>172</v>
      </c>
      <c r="F10" s="85">
        <v>0.0</v>
      </c>
      <c r="G10" s="223">
        <v>1.0E7</v>
      </c>
      <c r="H10" s="138">
        <f t="shared" si="1"/>
        <v>0</v>
      </c>
      <c r="I10" s="139">
        <f t="shared" si="2"/>
        <v>0</v>
      </c>
      <c r="K10" s="43" t="s">
        <v>47</v>
      </c>
      <c r="L10" s="44">
        <f>sum(I38:I45)</f>
        <v>0</v>
      </c>
    </row>
    <row r="11">
      <c r="A11" s="45" t="s">
        <v>39</v>
      </c>
      <c r="B11" s="46">
        <v>1.0</v>
      </c>
      <c r="C11" s="47"/>
      <c r="D11" s="48" t="s">
        <v>177</v>
      </c>
      <c r="E11" s="183" t="s">
        <v>172</v>
      </c>
      <c r="F11" s="85">
        <v>0.0</v>
      </c>
      <c r="G11" s="221">
        <v>5.0E7</v>
      </c>
      <c r="H11" s="52">
        <f t="shared" si="1"/>
        <v>0</v>
      </c>
      <c r="I11" s="53">
        <f t="shared" si="2"/>
        <v>0</v>
      </c>
      <c r="K11" s="72" t="s">
        <v>137</v>
      </c>
      <c r="L11" s="73">
        <f>sum(L6:L10)</f>
        <v>0</v>
      </c>
    </row>
    <row r="12" ht="15.75" customHeight="1">
      <c r="A12" s="132" t="s">
        <v>39</v>
      </c>
      <c r="B12" s="222">
        <v>1.0</v>
      </c>
      <c r="C12" s="134"/>
      <c r="D12" s="140" t="s">
        <v>178</v>
      </c>
      <c r="E12" s="135" t="s">
        <v>172</v>
      </c>
      <c r="F12" s="85">
        <v>0.0</v>
      </c>
      <c r="G12" s="223">
        <v>1.0E8</v>
      </c>
      <c r="H12" s="138">
        <f t="shared" si="1"/>
        <v>0</v>
      </c>
      <c r="I12" s="139">
        <f t="shared" si="2"/>
        <v>0</v>
      </c>
    </row>
    <row r="13">
      <c r="A13" s="63" t="s">
        <v>39</v>
      </c>
      <c r="B13" s="64">
        <v>1.0</v>
      </c>
      <c r="C13" s="224"/>
      <c r="D13" s="66" t="s">
        <v>179</v>
      </c>
      <c r="E13" s="215" t="s">
        <v>172</v>
      </c>
      <c r="F13" s="86">
        <v>0.0</v>
      </c>
      <c r="G13" s="225">
        <v>5.0E8</v>
      </c>
      <c r="H13" s="70">
        <f t="shared" si="1"/>
        <v>0</v>
      </c>
      <c r="I13" s="71">
        <f t="shared" si="2"/>
        <v>0</v>
      </c>
    </row>
    <row r="14">
      <c r="A14" s="124" t="s">
        <v>50</v>
      </c>
      <c r="B14" s="217">
        <v>2.0</v>
      </c>
      <c r="C14" s="218" t="s">
        <v>195</v>
      </c>
      <c r="D14" s="219" t="s">
        <v>171</v>
      </c>
      <c r="E14" s="127" t="s">
        <v>172</v>
      </c>
      <c r="F14" s="84">
        <v>0.0</v>
      </c>
      <c r="G14" s="220">
        <v>100000.0</v>
      </c>
      <c r="H14" s="130">
        <f t="shared" si="1"/>
        <v>0</v>
      </c>
      <c r="I14" s="131">
        <f t="shared" si="2"/>
        <v>0</v>
      </c>
    </row>
    <row r="15">
      <c r="A15" s="45" t="s">
        <v>50</v>
      </c>
      <c r="B15" s="46">
        <v>2.0</v>
      </c>
      <c r="C15" s="47"/>
      <c r="D15" s="48" t="s">
        <v>173</v>
      </c>
      <c r="E15" s="183" t="s">
        <v>172</v>
      </c>
      <c r="F15" s="85">
        <v>0.0</v>
      </c>
      <c r="G15" s="221">
        <v>500000.0</v>
      </c>
      <c r="H15" s="52">
        <f t="shared" si="1"/>
        <v>0</v>
      </c>
      <c r="I15" s="53">
        <f t="shared" si="2"/>
        <v>0</v>
      </c>
    </row>
    <row r="16">
      <c r="A16" s="132" t="s">
        <v>50</v>
      </c>
      <c r="B16" s="222">
        <v>2.0</v>
      </c>
      <c r="C16" s="134"/>
      <c r="D16" s="135" t="s">
        <v>174</v>
      </c>
      <c r="E16" s="135" t="s">
        <v>172</v>
      </c>
      <c r="F16" s="85">
        <v>0.0</v>
      </c>
      <c r="G16" s="223">
        <v>1000000.0</v>
      </c>
      <c r="H16" s="138">
        <f t="shared" si="1"/>
        <v>0</v>
      </c>
      <c r="I16" s="139">
        <f t="shared" si="2"/>
        <v>0</v>
      </c>
    </row>
    <row r="17">
      <c r="A17" s="45" t="s">
        <v>50</v>
      </c>
      <c r="B17" s="46">
        <v>2.0</v>
      </c>
      <c r="C17" s="47"/>
      <c r="D17" s="48" t="s">
        <v>175</v>
      </c>
      <c r="E17" s="183" t="s">
        <v>172</v>
      </c>
      <c r="F17" s="85">
        <v>0.0</v>
      </c>
      <c r="G17" s="221">
        <v>5000000.0</v>
      </c>
      <c r="H17" s="52">
        <f t="shared" si="1"/>
        <v>0</v>
      </c>
      <c r="I17" s="53">
        <f t="shared" si="2"/>
        <v>0</v>
      </c>
    </row>
    <row r="18" ht="15.75" customHeight="1">
      <c r="A18" s="132" t="s">
        <v>50</v>
      </c>
      <c r="B18" s="222">
        <v>2.0</v>
      </c>
      <c r="C18" s="134"/>
      <c r="D18" s="140" t="s">
        <v>176</v>
      </c>
      <c r="E18" s="135" t="s">
        <v>172</v>
      </c>
      <c r="F18" s="85">
        <v>0.0</v>
      </c>
      <c r="G18" s="223">
        <v>1.0E7</v>
      </c>
      <c r="H18" s="138">
        <f t="shared" si="1"/>
        <v>0</v>
      </c>
      <c r="I18" s="139">
        <f t="shared" si="2"/>
        <v>0</v>
      </c>
    </row>
    <row r="19">
      <c r="A19" s="45" t="s">
        <v>50</v>
      </c>
      <c r="B19" s="46">
        <v>2.0</v>
      </c>
      <c r="C19" s="47"/>
      <c r="D19" s="48" t="s">
        <v>177</v>
      </c>
      <c r="E19" s="183" t="s">
        <v>172</v>
      </c>
      <c r="F19" s="85">
        <v>0.0</v>
      </c>
      <c r="G19" s="221">
        <v>5.0E7</v>
      </c>
      <c r="H19" s="52">
        <f t="shared" si="1"/>
        <v>0</v>
      </c>
      <c r="I19" s="53">
        <f t="shared" si="2"/>
        <v>0</v>
      </c>
    </row>
    <row r="20">
      <c r="A20" s="132" t="s">
        <v>50</v>
      </c>
      <c r="B20" s="222">
        <v>2.0</v>
      </c>
      <c r="C20" s="134"/>
      <c r="D20" s="140" t="s">
        <v>178</v>
      </c>
      <c r="E20" s="135" t="s">
        <v>172</v>
      </c>
      <c r="F20" s="85">
        <v>0.0</v>
      </c>
      <c r="G20" s="223">
        <v>1.0E8</v>
      </c>
      <c r="H20" s="138">
        <f t="shared" si="1"/>
        <v>0</v>
      </c>
      <c r="I20" s="139">
        <f t="shared" si="2"/>
        <v>0</v>
      </c>
    </row>
    <row r="21" ht="15.75" customHeight="1">
      <c r="A21" s="63" t="s">
        <v>50</v>
      </c>
      <c r="B21" s="64">
        <v>2.0</v>
      </c>
      <c r="C21" s="65"/>
      <c r="D21" s="66" t="s">
        <v>179</v>
      </c>
      <c r="E21" s="215" t="s">
        <v>172</v>
      </c>
      <c r="F21" s="86">
        <v>0.0</v>
      </c>
      <c r="G21" s="225">
        <v>5.0E8</v>
      </c>
      <c r="H21" s="70">
        <f t="shared" si="1"/>
        <v>0</v>
      </c>
      <c r="I21" s="71">
        <f t="shared" si="2"/>
        <v>0</v>
      </c>
    </row>
    <row r="22" ht="15.75" customHeight="1">
      <c r="A22" s="124" t="s">
        <v>52</v>
      </c>
      <c r="B22" s="217" t="s">
        <v>44</v>
      </c>
      <c r="C22" s="218" t="s">
        <v>196</v>
      </c>
      <c r="D22" s="219" t="s">
        <v>171</v>
      </c>
      <c r="E22" s="127" t="s">
        <v>172</v>
      </c>
      <c r="F22" s="84">
        <v>0.0</v>
      </c>
      <c r="G22" s="220">
        <v>100000.0</v>
      </c>
      <c r="H22" s="130">
        <f t="shared" si="1"/>
        <v>0</v>
      </c>
      <c r="I22" s="131">
        <f t="shared" si="2"/>
        <v>0</v>
      </c>
    </row>
    <row r="23" ht="15.75" customHeight="1">
      <c r="A23" s="45" t="s">
        <v>52</v>
      </c>
      <c r="B23" s="46" t="s">
        <v>44</v>
      </c>
      <c r="C23" s="47"/>
      <c r="D23" s="48" t="s">
        <v>173</v>
      </c>
      <c r="E23" s="183" t="s">
        <v>172</v>
      </c>
      <c r="F23" s="85">
        <v>0.0</v>
      </c>
      <c r="G23" s="221">
        <v>500000.0</v>
      </c>
      <c r="H23" s="52">
        <f t="shared" si="1"/>
        <v>0</v>
      </c>
      <c r="I23" s="53">
        <f t="shared" si="2"/>
        <v>0</v>
      </c>
    </row>
    <row r="24" ht="15.75" customHeight="1">
      <c r="A24" s="132" t="s">
        <v>52</v>
      </c>
      <c r="B24" s="222" t="s">
        <v>44</v>
      </c>
      <c r="C24" s="134"/>
      <c r="D24" s="135" t="s">
        <v>174</v>
      </c>
      <c r="E24" s="135" t="s">
        <v>172</v>
      </c>
      <c r="F24" s="85">
        <v>0.0</v>
      </c>
      <c r="G24" s="223">
        <v>1000000.0</v>
      </c>
      <c r="H24" s="138">
        <f t="shared" si="1"/>
        <v>0</v>
      </c>
      <c r="I24" s="139">
        <f t="shared" si="2"/>
        <v>0</v>
      </c>
    </row>
    <row r="25" ht="15.75" customHeight="1">
      <c r="A25" s="45" t="s">
        <v>52</v>
      </c>
      <c r="B25" s="46" t="s">
        <v>44</v>
      </c>
      <c r="C25" s="47"/>
      <c r="D25" s="48" t="s">
        <v>175</v>
      </c>
      <c r="E25" s="183" t="s">
        <v>172</v>
      </c>
      <c r="F25" s="85">
        <v>0.0</v>
      </c>
      <c r="G25" s="221">
        <v>5000000.0</v>
      </c>
      <c r="H25" s="52">
        <f t="shared" si="1"/>
        <v>0</v>
      </c>
      <c r="I25" s="53">
        <f t="shared" si="2"/>
        <v>0</v>
      </c>
    </row>
    <row r="26" ht="15.75" customHeight="1">
      <c r="A26" s="132" t="s">
        <v>52</v>
      </c>
      <c r="B26" s="222" t="s">
        <v>44</v>
      </c>
      <c r="C26" s="134"/>
      <c r="D26" s="140" t="s">
        <v>176</v>
      </c>
      <c r="E26" s="135" t="s">
        <v>172</v>
      </c>
      <c r="F26" s="85">
        <v>0.0</v>
      </c>
      <c r="G26" s="223">
        <v>1.0E7</v>
      </c>
      <c r="H26" s="138">
        <f t="shared" si="1"/>
        <v>0</v>
      </c>
      <c r="I26" s="139">
        <f t="shared" si="2"/>
        <v>0</v>
      </c>
    </row>
    <row r="27" ht="15.75" customHeight="1">
      <c r="A27" s="45" t="s">
        <v>52</v>
      </c>
      <c r="B27" s="46" t="s">
        <v>44</v>
      </c>
      <c r="C27" s="47"/>
      <c r="D27" s="48" t="s">
        <v>177</v>
      </c>
      <c r="E27" s="183" t="s">
        <v>172</v>
      </c>
      <c r="F27" s="85">
        <v>0.0</v>
      </c>
      <c r="G27" s="221">
        <v>5.0E7</v>
      </c>
      <c r="H27" s="52">
        <f t="shared" si="1"/>
        <v>0</v>
      </c>
      <c r="I27" s="53">
        <f t="shared" si="2"/>
        <v>0</v>
      </c>
    </row>
    <row r="28" ht="15.75" customHeight="1">
      <c r="A28" s="132" t="s">
        <v>52</v>
      </c>
      <c r="B28" s="222" t="s">
        <v>44</v>
      </c>
      <c r="C28" s="134"/>
      <c r="D28" s="140" t="s">
        <v>178</v>
      </c>
      <c r="E28" s="135" t="s">
        <v>172</v>
      </c>
      <c r="F28" s="85">
        <v>0.0</v>
      </c>
      <c r="G28" s="223">
        <v>1.0E8</v>
      </c>
      <c r="H28" s="138">
        <f t="shared" si="1"/>
        <v>0</v>
      </c>
      <c r="I28" s="139">
        <f t="shared" si="2"/>
        <v>0</v>
      </c>
    </row>
    <row r="29" ht="15.75" customHeight="1">
      <c r="A29" s="63" t="s">
        <v>52</v>
      </c>
      <c r="B29" s="64" t="s">
        <v>44</v>
      </c>
      <c r="C29" s="65"/>
      <c r="D29" s="66" t="s">
        <v>179</v>
      </c>
      <c r="E29" s="215" t="s">
        <v>172</v>
      </c>
      <c r="F29" s="86">
        <v>0.0</v>
      </c>
      <c r="G29" s="225">
        <v>5.0E8</v>
      </c>
      <c r="H29" s="70">
        <f t="shared" si="1"/>
        <v>0</v>
      </c>
      <c r="I29" s="71">
        <f t="shared" si="2"/>
        <v>0</v>
      </c>
    </row>
    <row r="30" ht="15.75" customHeight="1">
      <c r="A30" s="124" t="s">
        <v>54</v>
      </c>
      <c r="B30" s="217">
        <v>3.0</v>
      </c>
      <c r="C30" s="218" t="s">
        <v>197</v>
      </c>
      <c r="D30" s="219" t="s">
        <v>171</v>
      </c>
      <c r="E30" s="127" t="s">
        <v>172</v>
      </c>
      <c r="F30" s="84">
        <v>0.0</v>
      </c>
      <c r="G30" s="220">
        <v>100000.0</v>
      </c>
      <c r="H30" s="130">
        <f t="shared" si="1"/>
        <v>0</v>
      </c>
      <c r="I30" s="131">
        <f t="shared" si="2"/>
        <v>0</v>
      </c>
    </row>
    <row r="31" ht="15.75" customHeight="1">
      <c r="A31" s="45" t="s">
        <v>54</v>
      </c>
      <c r="B31" s="46">
        <v>3.0</v>
      </c>
      <c r="C31" s="47"/>
      <c r="D31" s="48" t="s">
        <v>173</v>
      </c>
      <c r="E31" s="183" t="s">
        <v>172</v>
      </c>
      <c r="F31" s="85">
        <v>0.0</v>
      </c>
      <c r="G31" s="221">
        <v>500000.0</v>
      </c>
      <c r="H31" s="52">
        <f t="shared" si="1"/>
        <v>0</v>
      </c>
      <c r="I31" s="53">
        <f t="shared" si="2"/>
        <v>0</v>
      </c>
    </row>
    <row r="32" ht="15.75" customHeight="1">
      <c r="A32" s="132" t="s">
        <v>54</v>
      </c>
      <c r="B32" s="222">
        <v>3.0</v>
      </c>
      <c r="C32" s="134"/>
      <c r="D32" s="135" t="s">
        <v>174</v>
      </c>
      <c r="E32" s="135" t="s">
        <v>172</v>
      </c>
      <c r="F32" s="85">
        <v>0.0</v>
      </c>
      <c r="G32" s="223">
        <v>1000000.0</v>
      </c>
      <c r="H32" s="138">
        <f t="shared" si="1"/>
        <v>0</v>
      </c>
      <c r="I32" s="139">
        <f t="shared" si="2"/>
        <v>0</v>
      </c>
    </row>
    <row r="33" ht="15.75" customHeight="1">
      <c r="A33" s="45" t="s">
        <v>54</v>
      </c>
      <c r="B33" s="46">
        <v>3.0</v>
      </c>
      <c r="C33" s="47"/>
      <c r="D33" s="48" t="s">
        <v>175</v>
      </c>
      <c r="E33" s="183" t="s">
        <v>172</v>
      </c>
      <c r="F33" s="85">
        <v>0.0</v>
      </c>
      <c r="G33" s="221">
        <v>5000000.0</v>
      </c>
      <c r="H33" s="52">
        <f t="shared" si="1"/>
        <v>0</v>
      </c>
      <c r="I33" s="53">
        <f t="shared" si="2"/>
        <v>0</v>
      </c>
    </row>
    <row r="34" ht="15.75" customHeight="1">
      <c r="A34" s="132" t="s">
        <v>54</v>
      </c>
      <c r="B34" s="222">
        <v>3.0</v>
      </c>
      <c r="C34" s="134"/>
      <c r="D34" s="140" t="s">
        <v>176</v>
      </c>
      <c r="E34" s="135" t="s">
        <v>172</v>
      </c>
      <c r="F34" s="85">
        <v>0.0</v>
      </c>
      <c r="G34" s="223">
        <v>1.0E7</v>
      </c>
      <c r="H34" s="138">
        <f t="shared" si="1"/>
        <v>0</v>
      </c>
      <c r="I34" s="139">
        <f t="shared" si="2"/>
        <v>0</v>
      </c>
    </row>
    <row r="35" ht="15.75" customHeight="1">
      <c r="A35" s="45" t="s">
        <v>54</v>
      </c>
      <c r="B35" s="46">
        <v>3.0</v>
      </c>
      <c r="C35" s="47"/>
      <c r="D35" s="48" t="s">
        <v>177</v>
      </c>
      <c r="E35" s="183" t="s">
        <v>172</v>
      </c>
      <c r="F35" s="85">
        <v>0.0</v>
      </c>
      <c r="G35" s="221">
        <v>5.0E7</v>
      </c>
      <c r="H35" s="52">
        <f t="shared" si="1"/>
        <v>0</v>
      </c>
      <c r="I35" s="53">
        <f t="shared" si="2"/>
        <v>0</v>
      </c>
    </row>
    <row r="36" ht="15.75" customHeight="1">
      <c r="A36" s="132" t="s">
        <v>54</v>
      </c>
      <c r="B36" s="222">
        <v>3.0</v>
      </c>
      <c r="C36" s="134"/>
      <c r="D36" s="140" t="s">
        <v>178</v>
      </c>
      <c r="E36" s="135" t="s">
        <v>172</v>
      </c>
      <c r="F36" s="85">
        <v>0.0</v>
      </c>
      <c r="G36" s="223">
        <v>1.0E8</v>
      </c>
      <c r="H36" s="138">
        <f t="shared" si="1"/>
        <v>0</v>
      </c>
      <c r="I36" s="139">
        <f t="shared" si="2"/>
        <v>0</v>
      </c>
    </row>
    <row r="37" ht="15.75" customHeight="1">
      <c r="A37" s="63" t="s">
        <v>54</v>
      </c>
      <c r="B37" s="64">
        <v>3.0</v>
      </c>
      <c r="C37" s="65"/>
      <c r="D37" s="66" t="s">
        <v>179</v>
      </c>
      <c r="E37" s="215" t="s">
        <v>172</v>
      </c>
      <c r="F37" s="86">
        <v>0.0</v>
      </c>
      <c r="G37" s="225">
        <v>5.0E8</v>
      </c>
      <c r="H37" s="70">
        <f t="shared" si="1"/>
        <v>0</v>
      </c>
      <c r="I37" s="71">
        <f t="shared" si="2"/>
        <v>0</v>
      </c>
    </row>
    <row r="38" ht="15.75" customHeight="1">
      <c r="A38" s="124" t="s">
        <v>56</v>
      </c>
      <c r="B38" s="217" t="s">
        <v>47</v>
      </c>
      <c r="C38" s="218" t="s">
        <v>198</v>
      </c>
      <c r="D38" s="219" t="s">
        <v>171</v>
      </c>
      <c r="E38" s="127" t="s">
        <v>172</v>
      </c>
      <c r="F38" s="84">
        <v>0.0</v>
      </c>
      <c r="G38" s="220">
        <v>100000.0</v>
      </c>
      <c r="H38" s="130">
        <f t="shared" si="1"/>
        <v>0</v>
      </c>
      <c r="I38" s="131">
        <f t="shared" si="2"/>
        <v>0</v>
      </c>
    </row>
    <row r="39" ht="15.75" customHeight="1">
      <c r="A39" s="45" t="s">
        <v>56</v>
      </c>
      <c r="B39" s="46" t="s">
        <v>47</v>
      </c>
      <c r="C39" s="47"/>
      <c r="D39" s="48" t="s">
        <v>173</v>
      </c>
      <c r="E39" s="183" t="s">
        <v>172</v>
      </c>
      <c r="F39" s="85">
        <v>0.0</v>
      </c>
      <c r="G39" s="221">
        <v>500000.0</v>
      </c>
      <c r="H39" s="52">
        <f t="shared" si="1"/>
        <v>0</v>
      </c>
      <c r="I39" s="53">
        <f t="shared" si="2"/>
        <v>0</v>
      </c>
    </row>
    <row r="40" ht="15.75" customHeight="1">
      <c r="A40" s="132" t="s">
        <v>56</v>
      </c>
      <c r="B40" s="222" t="s">
        <v>47</v>
      </c>
      <c r="C40" s="134"/>
      <c r="D40" s="135" t="s">
        <v>174</v>
      </c>
      <c r="E40" s="135" t="s">
        <v>172</v>
      </c>
      <c r="F40" s="85">
        <v>0.0</v>
      </c>
      <c r="G40" s="223">
        <v>1000000.0</v>
      </c>
      <c r="H40" s="138">
        <f t="shared" si="1"/>
        <v>0</v>
      </c>
      <c r="I40" s="139">
        <f t="shared" si="2"/>
        <v>0</v>
      </c>
    </row>
    <row r="41" ht="15.75" customHeight="1">
      <c r="A41" s="233" t="s">
        <v>56</v>
      </c>
      <c r="B41" s="234" t="s">
        <v>47</v>
      </c>
      <c r="C41" s="235"/>
      <c r="D41" s="236" t="s">
        <v>175</v>
      </c>
      <c r="E41" s="237" t="s">
        <v>172</v>
      </c>
      <c r="F41" s="85">
        <v>0.0</v>
      </c>
      <c r="G41" s="238">
        <v>5000000.0</v>
      </c>
      <c r="H41" s="44">
        <f t="shared" si="1"/>
        <v>0</v>
      </c>
      <c r="I41" s="239">
        <f t="shared" si="2"/>
        <v>0</v>
      </c>
    </row>
    <row r="42" ht="15.75" customHeight="1">
      <c r="A42" s="233" t="s">
        <v>56</v>
      </c>
      <c r="B42" s="234" t="s">
        <v>47</v>
      </c>
      <c r="C42" s="235"/>
      <c r="D42" s="236" t="s">
        <v>176</v>
      </c>
      <c r="E42" s="237" t="s">
        <v>172</v>
      </c>
      <c r="F42" s="85">
        <v>0.0</v>
      </c>
      <c r="G42" s="238">
        <v>1.0E7</v>
      </c>
      <c r="H42" s="44">
        <f t="shared" si="1"/>
        <v>0</v>
      </c>
      <c r="I42" s="239">
        <f t="shared" si="2"/>
        <v>0</v>
      </c>
    </row>
    <row r="43" ht="15.75" customHeight="1">
      <c r="A43" s="233" t="s">
        <v>56</v>
      </c>
      <c r="B43" s="234" t="s">
        <v>47</v>
      </c>
      <c r="C43" s="235"/>
      <c r="D43" s="236" t="s">
        <v>177</v>
      </c>
      <c r="E43" s="237" t="s">
        <v>172</v>
      </c>
      <c r="F43" s="85">
        <v>0.0</v>
      </c>
      <c r="G43" s="238">
        <v>5.0E7</v>
      </c>
      <c r="H43" s="44">
        <f t="shared" si="1"/>
        <v>0</v>
      </c>
      <c r="I43" s="239">
        <f t="shared" si="2"/>
        <v>0</v>
      </c>
    </row>
    <row r="44" ht="15.75" customHeight="1">
      <c r="A44" s="233" t="s">
        <v>56</v>
      </c>
      <c r="B44" s="234" t="s">
        <v>47</v>
      </c>
      <c r="C44" s="235"/>
      <c r="D44" s="236" t="s">
        <v>178</v>
      </c>
      <c r="E44" s="237" t="s">
        <v>172</v>
      </c>
      <c r="F44" s="85">
        <v>0.0</v>
      </c>
      <c r="G44" s="238">
        <v>1.0E8</v>
      </c>
      <c r="H44" s="44">
        <f t="shared" si="1"/>
        <v>0</v>
      </c>
      <c r="I44" s="239">
        <f t="shared" si="2"/>
        <v>0</v>
      </c>
    </row>
    <row r="45" ht="15.75" customHeight="1">
      <c r="A45" s="240" t="s">
        <v>56</v>
      </c>
      <c r="B45" s="241" t="s">
        <v>47</v>
      </c>
      <c r="C45" s="242"/>
      <c r="D45" s="243" t="s">
        <v>179</v>
      </c>
      <c r="E45" s="244" t="s">
        <v>172</v>
      </c>
      <c r="F45" s="86">
        <v>0.0</v>
      </c>
      <c r="G45" s="245">
        <v>5.0E8</v>
      </c>
      <c r="H45" s="246">
        <f t="shared" si="1"/>
        <v>0</v>
      </c>
      <c r="I45" s="247">
        <f t="shared" si="2"/>
        <v>0</v>
      </c>
    </row>
    <row r="46" ht="15.75" customHeight="1"/>
    <row r="47" ht="15.75" customHeight="1"/>
    <row r="48" ht="15.75" customHeight="1">
      <c r="A48" s="20" t="s">
        <v>184</v>
      </c>
      <c r="B48" s="164"/>
      <c r="C48" s="164"/>
    </row>
    <row r="49" ht="15.75" customHeight="1">
      <c r="A49" s="88" t="s">
        <v>26</v>
      </c>
      <c r="B49" s="89"/>
      <c r="C49" s="89"/>
      <c r="D49" s="89"/>
      <c r="E49" s="89"/>
      <c r="F49" s="90"/>
      <c r="G49" s="226" t="s">
        <v>185</v>
      </c>
      <c r="H49" s="89"/>
      <c r="I49" s="92"/>
    </row>
    <row r="50" ht="15.75" customHeight="1">
      <c r="A50" s="170" t="s">
        <v>167</v>
      </c>
      <c r="B50" s="94" t="s">
        <v>29</v>
      </c>
      <c r="C50" s="95" t="s">
        <v>30</v>
      </c>
      <c r="D50" s="215" t="s">
        <v>168</v>
      </c>
      <c r="E50" s="67" t="s">
        <v>32</v>
      </c>
      <c r="F50" s="95" t="s">
        <v>33</v>
      </c>
      <c r="G50" s="94" t="s">
        <v>34</v>
      </c>
      <c r="H50" s="173" t="s">
        <v>35</v>
      </c>
      <c r="I50" s="216" t="s">
        <v>36</v>
      </c>
      <c r="K50" s="33" t="s">
        <v>37</v>
      </c>
      <c r="L50" s="33" t="s">
        <v>199</v>
      </c>
    </row>
    <row r="51" ht="15.75" customHeight="1">
      <c r="A51" s="99" t="s">
        <v>39</v>
      </c>
      <c r="B51" s="227">
        <v>1.0</v>
      </c>
      <c r="C51" s="228" t="s">
        <v>200</v>
      </c>
      <c r="D51" s="229" t="s">
        <v>171</v>
      </c>
      <c r="E51" s="102" t="s">
        <v>172</v>
      </c>
      <c r="F51" s="84">
        <v>0.0</v>
      </c>
      <c r="G51" s="230">
        <v>100000.0</v>
      </c>
      <c r="H51" s="105">
        <f t="shared" ref="H51:H90" si="3">F51*G51</f>
        <v>0</v>
      </c>
      <c r="I51" s="106">
        <f t="shared" ref="I51:I90" si="4">H51*365</f>
        <v>0</v>
      </c>
      <c r="K51" s="43">
        <v>1.0</v>
      </c>
      <c r="L51" s="44">
        <f>sum(I51:I58)</f>
        <v>0</v>
      </c>
    </row>
    <row r="52" ht="15.75" customHeight="1">
      <c r="A52" s="45" t="s">
        <v>39</v>
      </c>
      <c r="B52" s="46">
        <v>1.0</v>
      </c>
      <c r="C52" s="47"/>
      <c r="D52" s="48" t="s">
        <v>173</v>
      </c>
      <c r="E52" s="183" t="s">
        <v>172</v>
      </c>
      <c r="F52" s="85">
        <v>0.0</v>
      </c>
      <c r="G52" s="221">
        <v>500000.0</v>
      </c>
      <c r="H52" s="52">
        <f t="shared" si="3"/>
        <v>0</v>
      </c>
      <c r="I52" s="53">
        <f t="shared" si="4"/>
        <v>0</v>
      </c>
      <c r="K52" s="43">
        <v>2.0</v>
      </c>
      <c r="L52" s="44">
        <f>sum(I59:I66)</f>
        <v>0</v>
      </c>
    </row>
    <row r="53" ht="15.75" customHeight="1">
      <c r="A53" s="108" t="s">
        <v>39</v>
      </c>
      <c r="B53" s="231">
        <v>1.0</v>
      </c>
      <c r="C53" s="110"/>
      <c r="D53" s="111" t="s">
        <v>174</v>
      </c>
      <c r="E53" s="111" t="s">
        <v>172</v>
      </c>
      <c r="F53" s="85">
        <v>0.0</v>
      </c>
      <c r="G53" s="232">
        <v>1000000.0</v>
      </c>
      <c r="H53" s="114">
        <f t="shared" si="3"/>
        <v>0</v>
      </c>
      <c r="I53" s="115">
        <f t="shared" si="4"/>
        <v>0</v>
      </c>
      <c r="K53" s="43" t="s">
        <v>44</v>
      </c>
      <c r="L53" s="44">
        <f>sum(I67:I74)</f>
        <v>0</v>
      </c>
    </row>
    <row r="54" ht="15.75" customHeight="1">
      <c r="A54" s="45" t="s">
        <v>39</v>
      </c>
      <c r="B54" s="46">
        <v>1.0</v>
      </c>
      <c r="C54" s="47"/>
      <c r="D54" s="48" t="s">
        <v>175</v>
      </c>
      <c r="E54" s="183" t="s">
        <v>172</v>
      </c>
      <c r="F54" s="85">
        <v>0.0</v>
      </c>
      <c r="G54" s="221">
        <v>5000000.0</v>
      </c>
      <c r="H54" s="52">
        <f t="shared" si="3"/>
        <v>0</v>
      </c>
      <c r="I54" s="53">
        <f t="shared" si="4"/>
        <v>0</v>
      </c>
      <c r="K54" s="43">
        <v>3.0</v>
      </c>
      <c r="L54" s="44">
        <f>sum(I75:I82)</f>
        <v>0</v>
      </c>
    </row>
    <row r="55" ht="15.75" customHeight="1">
      <c r="A55" s="108" t="s">
        <v>39</v>
      </c>
      <c r="B55" s="231">
        <v>1.0</v>
      </c>
      <c r="C55" s="110"/>
      <c r="D55" s="116" t="s">
        <v>176</v>
      </c>
      <c r="E55" s="111" t="s">
        <v>172</v>
      </c>
      <c r="F55" s="85">
        <v>0.0</v>
      </c>
      <c r="G55" s="232">
        <v>1.0E7</v>
      </c>
      <c r="H55" s="114">
        <f t="shared" si="3"/>
        <v>0</v>
      </c>
      <c r="I55" s="115">
        <f t="shared" si="4"/>
        <v>0</v>
      </c>
      <c r="K55" s="43" t="s">
        <v>47</v>
      </c>
      <c r="L55" s="44">
        <f>sum(I83:I90)</f>
        <v>0</v>
      </c>
    </row>
    <row r="56" ht="15.75" customHeight="1">
      <c r="A56" s="45" t="s">
        <v>39</v>
      </c>
      <c r="B56" s="46">
        <v>1.0</v>
      </c>
      <c r="C56" s="47"/>
      <c r="D56" s="48" t="s">
        <v>177</v>
      </c>
      <c r="E56" s="183" t="s">
        <v>172</v>
      </c>
      <c r="F56" s="85">
        <v>0.0</v>
      </c>
      <c r="G56" s="221">
        <v>5.0E7</v>
      </c>
      <c r="H56" s="52">
        <f t="shared" si="3"/>
        <v>0</v>
      </c>
      <c r="I56" s="53">
        <f t="shared" si="4"/>
        <v>0</v>
      </c>
      <c r="K56" s="72" t="s">
        <v>137</v>
      </c>
      <c r="L56" s="73">
        <f>sum(L51:L55)</f>
        <v>0</v>
      </c>
    </row>
    <row r="57" ht="15.75" customHeight="1">
      <c r="A57" s="108" t="s">
        <v>39</v>
      </c>
      <c r="B57" s="231">
        <v>1.0</v>
      </c>
      <c r="C57" s="110"/>
      <c r="D57" s="116" t="s">
        <v>178</v>
      </c>
      <c r="E57" s="111" t="s">
        <v>172</v>
      </c>
      <c r="F57" s="85">
        <v>0.0</v>
      </c>
      <c r="G57" s="232">
        <v>1.0E8</v>
      </c>
      <c r="H57" s="114">
        <f t="shared" si="3"/>
        <v>0</v>
      </c>
      <c r="I57" s="115">
        <f t="shared" si="4"/>
        <v>0</v>
      </c>
    </row>
    <row r="58" ht="15.75" customHeight="1">
      <c r="A58" s="63" t="s">
        <v>39</v>
      </c>
      <c r="B58" s="64">
        <v>1.0</v>
      </c>
      <c r="C58" s="224"/>
      <c r="D58" s="66" t="s">
        <v>179</v>
      </c>
      <c r="E58" s="215" t="s">
        <v>172</v>
      </c>
      <c r="F58" s="86">
        <v>0.0</v>
      </c>
      <c r="G58" s="225">
        <v>5.0E8</v>
      </c>
      <c r="H58" s="70">
        <f t="shared" si="3"/>
        <v>0</v>
      </c>
      <c r="I58" s="71">
        <f t="shared" si="4"/>
        <v>0</v>
      </c>
    </row>
    <row r="59" ht="15.75" customHeight="1">
      <c r="A59" s="99" t="s">
        <v>50</v>
      </c>
      <c r="B59" s="227">
        <v>2.0</v>
      </c>
      <c r="C59" s="228" t="s">
        <v>201</v>
      </c>
      <c r="D59" s="229" t="s">
        <v>171</v>
      </c>
      <c r="E59" s="102" t="s">
        <v>172</v>
      </c>
      <c r="F59" s="84">
        <v>0.0</v>
      </c>
      <c r="G59" s="230">
        <v>100000.0</v>
      </c>
      <c r="H59" s="105">
        <f t="shared" si="3"/>
        <v>0</v>
      </c>
      <c r="I59" s="106">
        <f t="shared" si="4"/>
        <v>0</v>
      </c>
    </row>
    <row r="60" ht="15.75" customHeight="1">
      <c r="A60" s="45" t="s">
        <v>50</v>
      </c>
      <c r="B60" s="46">
        <v>2.0</v>
      </c>
      <c r="C60" s="47"/>
      <c r="D60" s="48" t="s">
        <v>173</v>
      </c>
      <c r="E60" s="183" t="s">
        <v>172</v>
      </c>
      <c r="F60" s="85">
        <v>0.0</v>
      </c>
      <c r="G60" s="221">
        <v>500000.0</v>
      </c>
      <c r="H60" s="52">
        <f t="shared" si="3"/>
        <v>0</v>
      </c>
      <c r="I60" s="53">
        <f t="shared" si="4"/>
        <v>0</v>
      </c>
    </row>
    <row r="61" ht="15.75" customHeight="1">
      <c r="A61" s="108" t="s">
        <v>50</v>
      </c>
      <c r="B61" s="231">
        <v>2.0</v>
      </c>
      <c r="C61" s="110"/>
      <c r="D61" s="111" t="s">
        <v>174</v>
      </c>
      <c r="E61" s="111" t="s">
        <v>172</v>
      </c>
      <c r="F61" s="85">
        <v>0.0</v>
      </c>
      <c r="G61" s="232">
        <v>1000000.0</v>
      </c>
      <c r="H61" s="114">
        <f t="shared" si="3"/>
        <v>0</v>
      </c>
      <c r="I61" s="115">
        <f t="shared" si="4"/>
        <v>0</v>
      </c>
    </row>
    <row r="62" ht="15.75" customHeight="1">
      <c r="A62" s="45" t="s">
        <v>50</v>
      </c>
      <c r="B62" s="46">
        <v>2.0</v>
      </c>
      <c r="C62" s="47"/>
      <c r="D62" s="48" t="s">
        <v>175</v>
      </c>
      <c r="E62" s="183" t="s">
        <v>172</v>
      </c>
      <c r="F62" s="85">
        <v>0.0</v>
      </c>
      <c r="G62" s="221">
        <v>5000000.0</v>
      </c>
      <c r="H62" s="52">
        <f t="shared" si="3"/>
        <v>0</v>
      </c>
      <c r="I62" s="53">
        <f t="shared" si="4"/>
        <v>0</v>
      </c>
    </row>
    <row r="63" ht="15.75" customHeight="1">
      <c r="A63" s="108" t="s">
        <v>50</v>
      </c>
      <c r="B63" s="231">
        <v>2.0</v>
      </c>
      <c r="C63" s="110"/>
      <c r="D63" s="116" t="s">
        <v>176</v>
      </c>
      <c r="E63" s="111" t="s">
        <v>172</v>
      </c>
      <c r="F63" s="85">
        <v>0.0</v>
      </c>
      <c r="G63" s="232">
        <v>1.0E7</v>
      </c>
      <c r="H63" s="114">
        <f t="shared" si="3"/>
        <v>0</v>
      </c>
      <c r="I63" s="115">
        <f t="shared" si="4"/>
        <v>0</v>
      </c>
    </row>
    <row r="64" ht="15.75" customHeight="1">
      <c r="A64" s="45" t="s">
        <v>50</v>
      </c>
      <c r="B64" s="46">
        <v>2.0</v>
      </c>
      <c r="C64" s="47"/>
      <c r="D64" s="48" t="s">
        <v>177</v>
      </c>
      <c r="E64" s="183" t="s">
        <v>172</v>
      </c>
      <c r="F64" s="85">
        <v>0.0</v>
      </c>
      <c r="G64" s="221">
        <v>5.0E7</v>
      </c>
      <c r="H64" s="52">
        <f t="shared" si="3"/>
        <v>0</v>
      </c>
      <c r="I64" s="53">
        <f t="shared" si="4"/>
        <v>0</v>
      </c>
    </row>
    <row r="65" ht="15.75" customHeight="1">
      <c r="A65" s="108" t="s">
        <v>50</v>
      </c>
      <c r="B65" s="231">
        <v>2.0</v>
      </c>
      <c r="C65" s="110"/>
      <c r="D65" s="116" t="s">
        <v>178</v>
      </c>
      <c r="E65" s="111" t="s">
        <v>172</v>
      </c>
      <c r="F65" s="85">
        <v>0.0</v>
      </c>
      <c r="G65" s="232">
        <v>1.0E8</v>
      </c>
      <c r="H65" s="114">
        <f t="shared" si="3"/>
        <v>0</v>
      </c>
      <c r="I65" s="115">
        <f t="shared" si="4"/>
        <v>0</v>
      </c>
    </row>
    <row r="66" ht="15.75" customHeight="1">
      <c r="A66" s="63" t="s">
        <v>50</v>
      </c>
      <c r="B66" s="64">
        <v>2.0</v>
      </c>
      <c r="C66" s="65"/>
      <c r="D66" s="66" t="s">
        <v>179</v>
      </c>
      <c r="E66" s="215" t="s">
        <v>172</v>
      </c>
      <c r="F66" s="86">
        <v>0.0</v>
      </c>
      <c r="G66" s="225">
        <v>5.0E8</v>
      </c>
      <c r="H66" s="70">
        <f t="shared" si="3"/>
        <v>0</v>
      </c>
      <c r="I66" s="71">
        <f t="shared" si="4"/>
        <v>0</v>
      </c>
    </row>
    <row r="67" ht="15.75" customHeight="1">
      <c r="A67" s="99" t="s">
        <v>52</v>
      </c>
      <c r="B67" s="227" t="s">
        <v>44</v>
      </c>
      <c r="C67" s="228" t="s">
        <v>202</v>
      </c>
      <c r="D67" s="229" t="s">
        <v>171</v>
      </c>
      <c r="E67" s="102" t="s">
        <v>172</v>
      </c>
      <c r="F67" s="84">
        <v>0.0</v>
      </c>
      <c r="G67" s="230">
        <v>100000.0</v>
      </c>
      <c r="H67" s="105">
        <f t="shared" si="3"/>
        <v>0</v>
      </c>
      <c r="I67" s="106">
        <f t="shared" si="4"/>
        <v>0</v>
      </c>
    </row>
    <row r="68" ht="15.75" customHeight="1">
      <c r="A68" s="45" t="s">
        <v>52</v>
      </c>
      <c r="B68" s="46" t="s">
        <v>44</v>
      </c>
      <c r="C68" s="47"/>
      <c r="D68" s="48" t="s">
        <v>173</v>
      </c>
      <c r="E68" s="183" t="s">
        <v>172</v>
      </c>
      <c r="F68" s="85">
        <v>0.0</v>
      </c>
      <c r="G68" s="221">
        <v>500000.0</v>
      </c>
      <c r="H68" s="52">
        <f t="shared" si="3"/>
        <v>0</v>
      </c>
      <c r="I68" s="53">
        <f t="shared" si="4"/>
        <v>0</v>
      </c>
    </row>
    <row r="69" ht="15.75" customHeight="1">
      <c r="A69" s="108" t="s">
        <v>52</v>
      </c>
      <c r="B69" s="231" t="s">
        <v>44</v>
      </c>
      <c r="C69" s="110"/>
      <c r="D69" s="111" t="s">
        <v>174</v>
      </c>
      <c r="E69" s="111" t="s">
        <v>172</v>
      </c>
      <c r="F69" s="85">
        <v>0.0</v>
      </c>
      <c r="G69" s="232">
        <v>1000000.0</v>
      </c>
      <c r="H69" s="114">
        <f t="shared" si="3"/>
        <v>0</v>
      </c>
      <c r="I69" s="115">
        <f t="shared" si="4"/>
        <v>0</v>
      </c>
    </row>
    <row r="70" ht="15.75" customHeight="1">
      <c r="A70" s="45" t="s">
        <v>52</v>
      </c>
      <c r="B70" s="46" t="s">
        <v>44</v>
      </c>
      <c r="C70" s="47"/>
      <c r="D70" s="48" t="s">
        <v>175</v>
      </c>
      <c r="E70" s="183" t="s">
        <v>172</v>
      </c>
      <c r="F70" s="85">
        <v>0.0</v>
      </c>
      <c r="G70" s="221">
        <v>5000000.0</v>
      </c>
      <c r="H70" s="52">
        <f t="shared" si="3"/>
        <v>0</v>
      </c>
      <c r="I70" s="53">
        <f t="shared" si="4"/>
        <v>0</v>
      </c>
    </row>
    <row r="71" ht="15.75" customHeight="1">
      <c r="A71" s="108" t="s">
        <v>52</v>
      </c>
      <c r="B71" s="231" t="s">
        <v>44</v>
      </c>
      <c r="C71" s="110"/>
      <c r="D71" s="116" t="s">
        <v>176</v>
      </c>
      <c r="E71" s="111" t="s">
        <v>172</v>
      </c>
      <c r="F71" s="85">
        <v>0.0</v>
      </c>
      <c r="G71" s="232">
        <v>1.0E7</v>
      </c>
      <c r="H71" s="114">
        <f t="shared" si="3"/>
        <v>0</v>
      </c>
      <c r="I71" s="115">
        <f t="shared" si="4"/>
        <v>0</v>
      </c>
    </row>
    <row r="72" ht="15.75" customHeight="1">
      <c r="A72" s="45" t="s">
        <v>52</v>
      </c>
      <c r="B72" s="46" t="s">
        <v>44</v>
      </c>
      <c r="C72" s="47"/>
      <c r="D72" s="48" t="s">
        <v>177</v>
      </c>
      <c r="E72" s="183" t="s">
        <v>172</v>
      </c>
      <c r="F72" s="85">
        <v>0.0</v>
      </c>
      <c r="G72" s="221">
        <v>5.0E7</v>
      </c>
      <c r="H72" s="52">
        <f t="shared" si="3"/>
        <v>0</v>
      </c>
      <c r="I72" s="53">
        <f t="shared" si="4"/>
        <v>0</v>
      </c>
    </row>
    <row r="73" ht="15.75" customHeight="1">
      <c r="A73" s="108" t="s">
        <v>52</v>
      </c>
      <c r="B73" s="231" t="s">
        <v>44</v>
      </c>
      <c r="C73" s="110"/>
      <c r="D73" s="116" t="s">
        <v>178</v>
      </c>
      <c r="E73" s="111" t="s">
        <v>172</v>
      </c>
      <c r="F73" s="85">
        <v>0.0</v>
      </c>
      <c r="G73" s="232">
        <v>1.0E8</v>
      </c>
      <c r="H73" s="114">
        <f t="shared" si="3"/>
        <v>0</v>
      </c>
      <c r="I73" s="115">
        <f t="shared" si="4"/>
        <v>0</v>
      </c>
    </row>
    <row r="74" ht="15.75" customHeight="1">
      <c r="A74" s="63" t="s">
        <v>52</v>
      </c>
      <c r="B74" s="64" t="s">
        <v>44</v>
      </c>
      <c r="C74" s="65"/>
      <c r="D74" s="66" t="s">
        <v>179</v>
      </c>
      <c r="E74" s="215" t="s">
        <v>172</v>
      </c>
      <c r="F74" s="86">
        <v>0.0</v>
      </c>
      <c r="G74" s="225">
        <v>5.0E8</v>
      </c>
      <c r="H74" s="70">
        <f t="shared" si="3"/>
        <v>0</v>
      </c>
      <c r="I74" s="71">
        <f t="shared" si="4"/>
        <v>0</v>
      </c>
    </row>
    <row r="75" ht="15.75" customHeight="1">
      <c r="A75" s="99" t="s">
        <v>54</v>
      </c>
      <c r="B75" s="227">
        <v>3.0</v>
      </c>
      <c r="C75" s="228" t="s">
        <v>203</v>
      </c>
      <c r="D75" s="229" t="s">
        <v>171</v>
      </c>
      <c r="E75" s="102" t="s">
        <v>172</v>
      </c>
      <c r="F75" s="84">
        <v>0.0</v>
      </c>
      <c r="G75" s="230">
        <v>100000.0</v>
      </c>
      <c r="H75" s="105">
        <f t="shared" si="3"/>
        <v>0</v>
      </c>
      <c r="I75" s="106">
        <f t="shared" si="4"/>
        <v>0</v>
      </c>
    </row>
    <row r="76" ht="15.75" customHeight="1">
      <c r="A76" s="45" t="s">
        <v>54</v>
      </c>
      <c r="B76" s="46">
        <v>3.0</v>
      </c>
      <c r="C76" s="47"/>
      <c r="D76" s="48" t="s">
        <v>173</v>
      </c>
      <c r="E76" s="183" t="s">
        <v>172</v>
      </c>
      <c r="F76" s="85">
        <v>0.0</v>
      </c>
      <c r="G76" s="221">
        <v>500000.0</v>
      </c>
      <c r="H76" s="52">
        <f t="shared" si="3"/>
        <v>0</v>
      </c>
      <c r="I76" s="53">
        <f t="shared" si="4"/>
        <v>0</v>
      </c>
    </row>
    <row r="77" ht="15.75" customHeight="1">
      <c r="A77" s="108" t="s">
        <v>54</v>
      </c>
      <c r="B77" s="231">
        <v>3.0</v>
      </c>
      <c r="C77" s="110"/>
      <c r="D77" s="111" t="s">
        <v>174</v>
      </c>
      <c r="E77" s="111" t="s">
        <v>172</v>
      </c>
      <c r="F77" s="85">
        <v>0.0</v>
      </c>
      <c r="G77" s="232">
        <v>1000000.0</v>
      </c>
      <c r="H77" s="114">
        <f t="shared" si="3"/>
        <v>0</v>
      </c>
      <c r="I77" s="115">
        <f t="shared" si="4"/>
        <v>0</v>
      </c>
    </row>
    <row r="78" ht="15.75" customHeight="1">
      <c r="A78" s="45" t="s">
        <v>54</v>
      </c>
      <c r="B78" s="46">
        <v>3.0</v>
      </c>
      <c r="C78" s="47"/>
      <c r="D78" s="48" t="s">
        <v>175</v>
      </c>
      <c r="E78" s="183" t="s">
        <v>172</v>
      </c>
      <c r="F78" s="85">
        <v>0.0</v>
      </c>
      <c r="G78" s="221">
        <v>5000000.0</v>
      </c>
      <c r="H78" s="52">
        <f t="shared" si="3"/>
        <v>0</v>
      </c>
      <c r="I78" s="53">
        <f t="shared" si="4"/>
        <v>0</v>
      </c>
    </row>
    <row r="79" ht="15.75" customHeight="1">
      <c r="A79" s="108" t="s">
        <v>54</v>
      </c>
      <c r="B79" s="231">
        <v>3.0</v>
      </c>
      <c r="C79" s="110"/>
      <c r="D79" s="116" t="s">
        <v>176</v>
      </c>
      <c r="E79" s="111" t="s">
        <v>172</v>
      </c>
      <c r="F79" s="85">
        <v>0.0</v>
      </c>
      <c r="G79" s="232">
        <v>1.0E7</v>
      </c>
      <c r="H79" s="114">
        <f t="shared" si="3"/>
        <v>0</v>
      </c>
      <c r="I79" s="115">
        <f t="shared" si="4"/>
        <v>0</v>
      </c>
    </row>
    <row r="80" ht="15.75" customHeight="1">
      <c r="A80" s="45" t="s">
        <v>54</v>
      </c>
      <c r="B80" s="46">
        <v>3.0</v>
      </c>
      <c r="C80" s="47"/>
      <c r="D80" s="48" t="s">
        <v>177</v>
      </c>
      <c r="E80" s="183" t="s">
        <v>172</v>
      </c>
      <c r="F80" s="85">
        <v>0.0</v>
      </c>
      <c r="G80" s="221">
        <v>5.0E7</v>
      </c>
      <c r="H80" s="52">
        <f t="shared" si="3"/>
        <v>0</v>
      </c>
      <c r="I80" s="53">
        <f t="shared" si="4"/>
        <v>0</v>
      </c>
    </row>
    <row r="81" ht="15.75" customHeight="1">
      <c r="A81" s="108" t="s">
        <v>54</v>
      </c>
      <c r="B81" s="231">
        <v>3.0</v>
      </c>
      <c r="C81" s="110"/>
      <c r="D81" s="116" t="s">
        <v>178</v>
      </c>
      <c r="E81" s="111" t="s">
        <v>172</v>
      </c>
      <c r="F81" s="85">
        <v>0.0</v>
      </c>
      <c r="G81" s="232">
        <v>1.0E8</v>
      </c>
      <c r="H81" s="114">
        <f t="shared" si="3"/>
        <v>0</v>
      </c>
      <c r="I81" s="115">
        <f t="shared" si="4"/>
        <v>0</v>
      </c>
    </row>
    <row r="82" ht="15.75" customHeight="1">
      <c r="A82" s="63" t="s">
        <v>54</v>
      </c>
      <c r="B82" s="64">
        <v>3.0</v>
      </c>
      <c r="C82" s="65"/>
      <c r="D82" s="66" t="s">
        <v>179</v>
      </c>
      <c r="E82" s="215" t="s">
        <v>172</v>
      </c>
      <c r="F82" s="86">
        <v>0.0</v>
      </c>
      <c r="G82" s="225">
        <v>5.0E8</v>
      </c>
      <c r="H82" s="70">
        <f t="shared" si="3"/>
        <v>0</v>
      </c>
      <c r="I82" s="71">
        <f t="shared" si="4"/>
        <v>0</v>
      </c>
    </row>
    <row r="83" ht="15.75" customHeight="1">
      <c r="A83" s="99" t="s">
        <v>56</v>
      </c>
      <c r="B83" s="227" t="s">
        <v>47</v>
      </c>
      <c r="C83" s="228" t="s">
        <v>204</v>
      </c>
      <c r="D83" s="229" t="s">
        <v>171</v>
      </c>
      <c r="E83" s="102" t="s">
        <v>172</v>
      </c>
      <c r="F83" s="84">
        <v>0.0</v>
      </c>
      <c r="G83" s="230">
        <v>100000.0</v>
      </c>
      <c r="H83" s="105">
        <f t="shared" si="3"/>
        <v>0</v>
      </c>
      <c r="I83" s="106">
        <f t="shared" si="4"/>
        <v>0</v>
      </c>
    </row>
    <row r="84" ht="15.75" customHeight="1">
      <c r="A84" s="45" t="s">
        <v>56</v>
      </c>
      <c r="B84" s="46" t="s">
        <v>47</v>
      </c>
      <c r="C84" s="47"/>
      <c r="D84" s="48" t="s">
        <v>173</v>
      </c>
      <c r="E84" s="183" t="s">
        <v>172</v>
      </c>
      <c r="F84" s="85">
        <v>0.0</v>
      </c>
      <c r="G84" s="221">
        <v>500000.0</v>
      </c>
      <c r="H84" s="52">
        <f t="shared" si="3"/>
        <v>0</v>
      </c>
      <c r="I84" s="53">
        <f t="shared" si="4"/>
        <v>0</v>
      </c>
    </row>
    <row r="85" ht="15.75" customHeight="1">
      <c r="A85" s="108" t="s">
        <v>56</v>
      </c>
      <c r="B85" s="231" t="s">
        <v>47</v>
      </c>
      <c r="C85" s="110"/>
      <c r="D85" s="111" t="s">
        <v>174</v>
      </c>
      <c r="E85" s="111" t="s">
        <v>172</v>
      </c>
      <c r="F85" s="85">
        <v>0.0</v>
      </c>
      <c r="G85" s="232">
        <v>1000000.0</v>
      </c>
      <c r="H85" s="114">
        <f t="shared" si="3"/>
        <v>0</v>
      </c>
      <c r="I85" s="115">
        <f t="shared" si="4"/>
        <v>0</v>
      </c>
    </row>
    <row r="86" ht="15.75" customHeight="1">
      <c r="A86" s="45" t="s">
        <v>56</v>
      </c>
      <c r="B86" s="46" t="s">
        <v>47</v>
      </c>
      <c r="C86" s="47"/>
      <c r="D86" s="48" t="s">
        <v>175</v>
      </c>
      <c r="E86" s="183" t="s">
        <v>172</v>
      </c>
      <c r="F86" s="85">
        <v>0.0</v>
      </c>
      <c r="G86" s="221">
        <v>5000000.0</v>
      </c>
      <c r="H86" s="52">
        <f t="shared" si="3"/>
        <v>0</v>
      </c>
      <c r="I86" s="53">
        <f t="shared" si="4"/>
        <v>0</v>
      </c>
    </row>
    <row r="87" ht="15.75" customHeight="1">
      <c r="A87" s="108" t="s">
        <v>56</v>
      </c>
      <c r="B87" s="231" t="s">
        <v>47</v>
      </c>
      <c r="C87" s="110"/>
      <c r="D87" s="116" t="s">
        <v>176</v>
      </c>
      <c r="E87" s="111" t="s">
        <v>172</v>
      </c>
      <c r="F87" s="85">
        <v>0.0</v>
      </c>
      <c r="G87" s="232">
        <v>1.0E7</v>
      </c>
      <c r="H87" s="114">
        <f t="shared" si="3"/>
        <v>0</v>
      </c>
      <c r="I87" s="115">
        <f t="shared" si="4"/>
        <v>0</v>
      </c>
    </row>
    <row r="88" ht="15.75" customHeight="1">
      <c r="A88" s="45" t="s">
        <v>56</v>
      </c>
      <c r="B88" s="46" t="s">
        <v>47</v>
      </c>
      <c r="C88" s="47"/>
      <c r="D88" s="48" t="s">
        <v>177</v>
      </c>
      <c r="E88" s="183" t="s">
        <v>172</v>
      </c>
      <c r="F88" s="85">
        <v>0.0</v>
      </c>
      <c r="G88" s="221">
        <v>5.0E7</v>
      </c>
      <c r="H88" s="52">
        <f t="shared" si="3"/>
        <v>0</v>
      </c>
      <c r="I88" s="53">
        <f t="shared" si="4"/>
        <v>0</v>
      </c>
    </row>
    <row r="89" ht="15.75" customHeight="1">
      <c r="A89" s="108" t="s">
        <v>56</v>
      </c>
      <c r="B89" s="231" t="s">
        <v>47</v>
      </c>
      <c r="C89" s="110"/>
      <c r="D89" s="116" t="s">
        <v>178</v>
      </c>
      <c r="E89" s="111" t="s">
        <v>172</v>
      </c>
      <c r="F89" s="85">
        <v>0.0</v>
      </c>
      <c r="G89" s="232">
        <v>1.0E8</v>
      </c>
      <c r="H89" s="114">
        <f t="shared" si="3"/>
        <v>0</v>
      </c>
      <c r="I89" s="115">
        <f t="shared" si="4"/>
        <v>0</v>
      </c>
    </row>
    <row r="90" ht="15.75" customHeight="1">
      <c r="A90" s="63" t="s">
        <v>56</v>
      </c>
      <c r="B90" s="64" t="s">
        <v>47</v>
      </c>
      <c r="C90" s="65"/>
      <c r="D90" s="66" t="s">
        <v>179</v>
      </c>
      <c r="E90" s="215" t="s">
        <v>172</v>
      </c>
      <c r="F90" s="86">
        <v>0.0</v>
      </c>
      <c r="G90" s="225">
        <v>5.0E8</v>
      </c>
      <c r="H90" s="70">
        <f t="shared" si="3"/>
        <v>0</v>
      </c>
      <c r="I90" s="71">
        <f t="shared" si="4"/>
        <v>0</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49:F49"/>
    <mergeCell ref="G49:I49"/>
    <mergeCell ref="C51:C58"/>
    <mergeCell ref="C59:C66"/>
    <mergeCell ref="C67:C74"/>
    <mergeCell ref="C75:C82"/>
    <mergeCell ref="C83:C90"/>
    <mergeCell ref="A4:F4"/>
    <mergeCell ref="G4:I4"/>
    <mergeCell ref="C6:C13"/>
    <mergeCell ref="C14:C21"/>
    <mergeCell ref="C22:C29"/>
    <mergeCell ref="C30:C37"/>
    <mergeCell ref="C38:C45"/>
  </mergeCells>
  <printOptions/>
  <pageMargins bottom="0.75" footer="0.0" header="0.0" left="0.7" right="0.7" top="0.75"/>
  <pageSetup orientation="landscape"/>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5"/>
    <col customWidth="1" min="3" max="3" width="27.88"/>
    <col customWidth="1" min="4" max="4" width="14.38"/>
    <col customWidth="1" min="5" max="6" width="8.63"/>
    <col customWidth="1" min="7" max="7" width="15.0"/>
    <col customWidth="1" min="8" max="8" width="21.75"/>
    <col customWidth="1" min="9" max="10" width="8.63"/>
    <col customWidth="1" min="11" max="11" width="33.38"/>
    <col customWidth="1" min="12" max="22" width="8.63"/>
  </cols>
  <sheetData>
    <row r="1">
      <c r="A1" s="19" t="s">
        <v>205</v>
      </c>
      <c r="B1" s="164"/>
      <c r="C1" s="164"/>
    </row>
    <row r="2">
      <c r="A2" s="20" t="s">
        <v>24</v>
      </c>
      <c r="B2" s="164"/>
      <c r="C2" s="164"/>
    </row>
    <row r="3" ht="26.25" customHeight="1">
      <c r="A3" s="19"/>
      <c r="B3" s="164"/>
      <c r="C3" s="164"/>
    </row>
    <row r="4" ht="18.0" customHeight="1">
      <c r="A4" s="21" t="s">
        <v>26</v>
      </c>
      <c r="B4" s="22"/>
      <c r="C4" s="22"/>
      <c r="D4" s="22"/>
      <c r="E4" s="22"/>
      <c r="F4" s="23"/>
      <c r="G4" s="248" t="s">
        <v>206</v>
      </c>
      <c r="H4" s="25"/>
    </row>
    <row r="5">
      <c r="A5" s="170" t="s">
        <v>207</v>
      </c>
      <c r="B5" s="94" t="s">
        <v>29</v>
      </c>
      <c r="C5" s="95" t="s">
        <v>30</v>
      </c>
      <c r="D5" s="172" t="s">
        <v>151</v>
      </c>
      <c r="E5" s="67" t="s">
        <v>32</v>
      </c>
      <c r="F5" s="95" t="s">
        <v>33</v>
      </c>
      <c r="G5" s="94" t="s">
        <v>35</v>
      </c>
      <c r="H5" s="174" t="s">
        <v>36</v>
      </c>
      <c r="J5" s="33" t="s">
        <v>37</v>
      </c>
      <c r="K5" s="33" t="s">
        <v>208</v>
      </c>
    </row>
    <row r="6" ht="15.75" customHeight="1">
      <c r="A6" s="34" t="s">
        <v>39</v>
      </c>
      <c r="B6" s="249">
        <v>1.0</v>
      </c>
      <c r="C6" s="36" t="s">
        <v>209</v>
      </c>
      <c r="D6" s="250">
        <v>1.0</v>
      </c>
      <c r="E6" s="38" t="s">
        <v>41</v>
      </c>
      <c r="F6" s="84">
        <v>0.0</v>
      </c>
      <c r="G6" s="251">
        <f t="shared" ref="G6:G30" si="1">D6*F6</f>
        <v>0</v>
      </c>
      <c r="H6" s="42">
        <f t="shared" ref="H6:H30" si="2">G6*365</f>
        <v>0</v>
      </c>
      <c r="J6" s="43">
        <v>1.0</v>
      </c>
      <c r="K6" s="44">
        <f>SUM(H6:H10)</f>
        <v>0</v>
      </c>
    </row>
    <row r="7">
      <c r="A7" s="45" t="s">
        <v>39</v>
      </c>
      <c r="B7" s="107">
        <v>1.0</v>
      </c>
      <c r="C7" s="47"/>
      <c r="D7" s="205">
        <v>2.0</v>
      </c>
      <c r="E7" s="49" t="s">
        <v>41</v>
      </c>
      <c r="F7" s="85">
        <v>0.0</v>
      </c>
      <c r="G7" s="252">
        <f t="shared" si="1"/>
        <v>0</v>
      </c>
      <c r="H7" s="53">
        <f t="shared" si="2"/>
        <v>0</v>
      </c>
      <c r="J7" s="43">
        <v>2.0</v>
      </c>
      <c r="K7" s="44">
        <f>SUM(H11:H15)</f>
        <v>0</v>
      </c>
    </row>
    <row r="8">
      <c r="A8" s="54" t="s">
        <v>39</v>
      </c>
      <c r="B8" s="253">
        <v>1.0</v>
      </c>
      <c r="C8" s="56"/>
      <c r="D8" s="254">
        <v>3.0</v>
      </c>
      <c r="E8" s="58" t="s">
        <v>41</v>
      </c>
      <c r="F8" s="85">
        <v>0.0</v>
      </c>
      <c r="G8" s="255">
        <f t="shared" si="1"/>
        <v>0</v>
      </c>
      <c r="H8" s="61">
        <f t="shared" si="2"/>
        <v>0</v>
      </c>
      <c r="J8" s="43" t="s">
        <v>44</v>
      </c>
      <c r="K8" s="44">
        <f>SUM(H16:H20)</f>
        <v>0</v>
      </c>
    </row>
    <row r="9">
      <c r="A9" s="45" t="s">
        <v>39</v>
      </c>
      <c r="B9" s="107">
        <v>1.0</v>
      </c>
      <c r="C9" s="47"/>
      <c r="D9" s="205">
        <v>4.0</v>
      </c>
      <c r="E9" s="49" t="s">
        <v>41</v>
      </c>
      <c r="F9" s="85">
        <v>0.0</v>
      </c>
      <c r="G9" s="252">
        <f t="shared" si="1"/>
        <v>0</v>
      </c>
      <c r="H9" s="53">
        <f t="shared" si="2"/>
        <v>0</v>
      </c>
      <c r="J9" s="43">
        <v>3.0</v>
      </c>
      <c r="K9" s="44">
        <f>SUM(H21:H25)</f>
        <v>0</v>
      </c>
    </row>
    <row r="10">
      <c r="A10" s="256" t="s">
        <v>39</v>
      </c>
      <c r="B10" s="257">
        <v>1.0</v>
      </c>
      <c r="C10" s="258"/>
      <c r="D10" s="259">
        <v>5.0</v>
      </c>
      <c r="E10" s="260" t="s">
        <v>41</v>
      </c>
      <c r="F10" s="86">
        <v>0.0</v>
      </c>
      <c r="G10" s="261">
        <f t="shared" si="1"/>
        <v>0</v>
      </c>
      <c r="H10" s="262">
        <f t="shared" si="2"/>
        <v>0</v>
      </c>
      <c r="J10" s="43" t="s">
        <v>47</v>
      </c>
      <c r="K10" s="44">
        <f>SUM(H26:H30)</f>
        <v>0</v>
      </c>
    </row>
    <row r="11">
      <c r="A11" s="263" t="s">
        <v>50</v>
      </c>
      <c r="B11" s="264">
        <v>2.0</v>
      </c>
      <c r="C11" s="265" t="s">
        <v>210</v>
      </c>
      <c r="D11" s="266">
        <v>1.0</v>
      </c>
      <c r="E11" s="267" t="s">
        <v>41</v>
      </c>
      <c r="F11" s="84">
        <v>0.0</v>
      </c>
      <c r="G11" s="268">
        <f t="shared" si="1"/>
        <v>0</v>
      </c>
      <c r="H11" s="269">
        <f t="shared" si="2"/>
        <v>0</v>
      </c>
      <c r="J11" s="72" t="s">
        <v>137</v>
      </c>
      <c r="K11" s="73">
        <f>SUM(K6:K10)</f>
        <v>0</v>
      </c>
    </row>
    <row r="12" ht="15.75" customHeight="1">
      <c r="A12" s="54" t="s">
        <v>50</v>
      </c>
      <c r="B12" s="253">
        <v>2.0</v>
      </c>
      <c r="C12" s="56"/>
      <c r="D12" s="254">
        <v>2.0</v>
      </c>
      <c r="E12" s="58" t="s">
        <v>41</v>
      </c>
      <c r="F12" s="85">
        <v>0.0</v>
      </c>
      <c r="G12" s="255">
        <f t="shared" si="1"/>
        <v>0</v>
      </c>
      <c r="H12" s="61">
        <f t="shared" si="2"/>
        <v>0</v>
      </c>
    </row>
    <row r="13">
      <c r="A13" s="45" t="s">
        <v>50</v>
      </c>
      <c r="B13" s="107">
        <v>2.0</v>
      </c>
      <c r="C13" s="47"/>
      <c r="D13" s="205">
        <v>3.0</v>
      </c>
      <c r="E13" s="49" t="s">
        <v>41</v>
      </c>
      <c r="F13" s="85">
        <v>0.0</v>
      </c>
      <c r="G13" s="252">
        <f t="shared" si="1"/>
        <v>0</v>
      </c>
      <c r="H13" s="53">
        <f t="shared" si="2"/>
        <v>0</v>
      </c>
    </row>
    <row r="14">
      <c r="A14" s="54" t="s">
        <v>50</v>
      </c>
      <c r="B14" s="253">
        <v>2.0</v>
      </c>
      <c r="C14" s="56"/>
      <c r="D14" s="254">
        <v>4.0</v>
      </c>
      <c r="E14" s="58" t="s">
        <v>41</v>
      </c>
      <c r="F14" s="85">
        <v>0.0</v>
      </c>
      <c r="G14" s="255">
        <f t="shared" si="1"/>
        <v>0</v>
      </c>
      <c r="H14" s="61">
        <f t="shared" si="2"/>
        <v>0</v>
      </c>
    </row>
    <row r="15" ht="15.75" customHeight="1">
      <c r="A15" s="63" t="s">
        <v>50</v>
      </c>
      <c r="B15" s="117">
        <v>2.0</v>
      </c>
      <c r="C15" s="65"/>
      <c r="D15" s="213">
        <v>5.0</v>
      </c>
      <c r="E15" s="67" t="s">
        <v>41</v>
      </c>
      <c r="F15" s="86">
        <v>0.0</v>
      </c>
      <c r="G15" s="270">
        <f t="shared" si="1"/>
        <v>0</v>
      </c>
      <c r="H15" s="71">
        <f t="shared" si="2"/>
        <v>0</v>
      </c>
    </row>
    <row r="16" ht="15.75" customHeight="1">
      <c r="A16" s="34" t="s">
        <v>52</v>
      </c>
      <c r="B16" s="249" t="s">
        <v>44</v>
      </c>
      <c r="C16" s="36" t="s">
        <v>211</v>
      </c>
      <c r="D16" s="250">
        <v>1.0</v>
      </c>
      <c r="E16" s="38" t="s">
        <v>41</v>
      </c>
      <c r="F16" s="84">
        <v>0.0</v>
      </c>
      <c r="G16" s="251">
        <f t="shared" si="1"/>
        <v>0</v>
      </c>
      <c r="H16" s="42">
        <f t="shared" si="2"/>
        <v>0</v>
      </c>
    </row>
    <row r="17" ht="15.75" customHeight="1">
      <c r="A17" s="45" t="s">
        <v>52</v>
      </c>
      <c r="B17" s="107" t="s">
        <v>44</v>
      </c>
      <c r="C17" s="47"/>
      <c r="D17" s="205">
        <v>2.0</v>
      </c>
      <c r="E17" s="49" t="s">
        <v>41</v>
      </c>
      <c r="F17" s="85">
        <v>0.0</v>
      </c>
      <c r="G17" s="252">
        <f t="shared" si="1"/>
        <v>0</v>
      </c>
      <c r="H17" s="53">
        <f t="shared" si="2"/>
        <v>0</v>
      </c>
    </row>
    <row r="18" ht="15.75" customHeight="1">
      <c r="A18" s="54" t="s">
        <v>52</v>
      </c>
      <c r="B18" s="253" t="s">
        <v>44</v>
      </c>
      <c r="C18" s="56"/>
      <c r="D18" s="254">
        <v>3.0</v>
      </c>
      <c r="E18" s="58" t="s">
        <v>41</v>
      </c>
      <c r="F18" s="85">
        <v>0.0</v>
      </c>
      <c r="G18" s="255">
        <f t="shared" si="1"/>
        <v>0</v>
      </c>
      <c r="H18" s="61">
        <f t="shared" si="2"/>
        <v>0</v>
      </c>
    </row>
    <row r="19" ht="15.75" customHeight="1">
      <c r="A19" s="45" t="s">
        <v>52</v>
      </c>
      <c r="B19" s="107" t="s">
        <v>44</v>
      </c>
      <c r="C19" s="47"/>
      <c r="D19" s="205">
        <v>4.0</v>
      </c>
      <c r="E19" s="49" t="s">
        <v>41</v>
      </c>
      <c r="F19" s="85">
        <v>0.0</v>
      </c>
      <c r="G19" s="252">
        <f t="shared" si="1"/>
        <v>0</v>
      </c>
      <c r="H19" s="53">
        <f t="shared" si="2"/>
        <v>0</v>
      </c>
    </row>
    <row r="20" ht="15.75" customHeight="1">
      <c r="A20" s="256" t="s">
        <v>52</v>
      </c>
      <c r="B20" s="257" t="s">
        <v>44</v>
      </c>
      <c r="C20" s="258"/>
      <c r="D20" s="259">
        <v>5.0</v>
      </c>
      <c r="E20" s="260" t="s">
        <v>41</v>
      </c>
      <c r="F20" s="86">
        <v>0.0</v>
      </c>
      <c r="G20" s="261">
        <f t="shared" si="1"/>
        <v>0</v>
      </c>
      <c r="H20" s="262">
        <f t="shared" si="2"/>
        <v>0</v>
      </c>
    </row>
    <row r="21" ht="15.75" customHeight="1">
      <c r="A21" s="263" t="s">
        <v>54</v>
      </c>
      <c r="B21" s="271">
        <v>3.0</v>
      </c>
      <c r="C21" s="265" t="s">
        <v>212</v>
      </c>
      <c r="D21" s="266">
        <v>1.0</v>
      </c>
      <c r="E21" s="267" t="s">
        <v>41</v>
      </c>
      <c r="F21" s="84">
        <v>0.0</v>
      </c>
      <c r="G21" s="268">
        <f t="shared" si="1"/>
        <v>0</v>
      </c>
      <c r="H21" s="269">
        <f t="shared" si="2"/>
        <v>0</v>
      </c>
    </row>
    <row r="22" ht="15.75" customHeight="1">
      <c r="A22" s="54" t="s">
        <v>54</v>
      </c>
      <c r="B22" s="272">
        <v>3.0</v>
      </c>
      <c r="C22" s="56"/>
      <c r="D22" s="254">
        <v>2.0</v>
      </c>
      <c r="E22" s="58" t="s">
        <v>41</v>
      </c>
      <c r="F22" s="85">
        <v>0.0</v>
      </c>
      <c r="G22" s="255">
        <f t="shared" si="1"/>
        <v>0</v>
      </c>
      <c r="H22" s="61">
        <f t="shared" si="2"/>
        <v>0</v>
      </c>
    </row>
    <row r="23" ht="15.75" customHeight="1">
      <c r="A23" s="45" t="s">
        <v>54</v>
      </c>
      <c r="B23" s="273">
        <v>3.0</v>
      </c>
      <c r="C23" s="47"/>
      <c r="D23" s="205">
        <v>3.0</v>
      </c>
      <c r="E23" s="49" t="s">
        <v>41</v>
      </c>
      <c r="F23" s="85">
        <v>0.0</v>
      </c>
      <c r="G23" s="252">
        <f t="shared" si="1"/>
        <v>0</v>
      </c>
      <c r="H23" s="53">
        <f t="shared" si="2"/>
        <v>0</v>
      </c>
    </row>
    <row r="24" ht="15.75" customHeight="1">
      <c r="A24" s="54" t="s">
        <v>54</v>
      </c>
      <c r="B24" s="272">
        <v>3.0</v>
      </c>
      <c r="C24" s="56"/>
      <c r="D24" s="254">
        <v>4.0</v>
      </c>
      <c r="E24" s="58" t="s">
        <v>41</v>
      </c>
      <c r="F24" s="85">
        <v>0.0</v>
      </c>
      <c r="G24" s="255">
        <f t="shared" si="1"/>
        <v>0</v>
      </c>
      <c r="H24" s="61">
        <f t="shared" si="2"/>
        <v>0</v>
      </c>
    </row>
    <row r="25" ht="15.75" customHeight="1">
      <c r="A25" s="63" t="s">
        <v>54</v>
      </c>
      <c r="B25" s="274">
        <v>3.0</v>
      </c>
      <c r="C25" s="65"/>
      <c r="D25" s="213">
        <v>5.0</v>
      </c>
      <c r="E25" s="67" t="s">
        <v>41</v>
      </c>
      <c r="F25" s="86">
        <v>0.0</v>
      </c>
      <c r="G25" s="270">
        <f t="shared" si="1"/>
        <v>0</v>
      </c>
      <c r="H25" s="71">
        <f t="shared" si="2"/>
        <v>0</v>
      </c>
    </row>
    <row r="26" ht="15.75" customHeight="1">
      <c r="A26" s="34" t="s">
        <v>56</v>
      </c>
      <c r="B26" s="275" t="s">
        <v>47</v>
      </c>
      <c r="C26" s="36" t="s">
        <v>213</v>
      </c>
      <c r="D26" s="250">
        <v>1.0</v>
      </c>
      <c r="E26" s="38" t="s">
        <v>41</v>
      </c>
      <c r="F26" s="84">
        <v>0.0</v>
      </c>
      <c r="G26" s="251">
        <f t="shared" si="1"/>
        <v>0</v>
      </c>
      <c r="H26" s="42">
        <f t="shared" si="2"/>
        <v>0</v>
      </c>
    </row>
    <row r="27" ht="15.75" customHeight="1">
      <c r="A27" s="45" t="s">
        <v>56</v>
      </c>
      <c r="B27" s="273" t="s">
        <v>47</v>
      </c>
      <c r="C27" s="47"/>
      <c r="D27" s="205">
        <v>2.0</v>
      </c>
      <c r="E27" s="49" t="s">
        <v>41</v>
      </c>
      <c r="F27" s="85">
        <v>0.0</v>
      </c>
      <c r="G27" s="252">
        <f t="shared" si="1"/>
        <v>0</v>
      </c>
      <c r="H27" s="53">
        <f t="shared" si="2"/>
        <v>0</v>
      </c>
    </row>
    <row r="28" ht="15.75" customHeight="1">
      <c r="A28" s="54" t="s">
        <v>56</v>
      </c>
      <c r="B28" s="272" t="s">
        <v>47</v>
      </c>
      <c r="C28" s="56"/>
      <c r="D28" s="254">
        <v>3.0</v>
      </c>
      <c r="E28" s="58" t="s">
        <v>41</v>
      </c>
      <c r="F28" s="85">
        <v>0.0</v>
      </c>
      <c r="G28" s="255">
        <f t="shared" si="1"/>
        <v>0</v>
      </c>
      <c r="H28" s="61">
        <f t="shared" si="2"/>
        <v>0</v>
      </c>
    </row>
    <row r="29" ht="15.75" customHeight="1">
      <c r="A29" s="45" t="s">
        <v>56</v>
      </c>
      <c r="B29" s="273" t="s">
        <v>47</v>
      </c>
      <c r="C29" s="47"/>
      <c r="D29" s="205">
        <v>4.0</v>
      </c>
      <c r="E29" s="49" t="s">
        <v>41</v>
      </c>
      <c r="F29" s="85">
        <v>0.0</v>
      </c>
      <c r="G29" s="252">
        <f t="shared" si="1"/>
        <v>0</v>
      </c>
      <c r="H29" s="53">
        <f t="shared" si="2"/>
        <v>0</v>
      </c>
    </row>
    <row r="30" ht="15.75" customHeight="1">
      <c r="A30" s="256" t="s">
        <v>56</v>
      </c>
      <c r="B30" s="276" t="s">
        <v>47</v>
      </c>
      <c r="C30" s="258"/>
      <c r="D30" s="259">
        <v>5.0</v>
      </c>
      <c r="E30" s="260" t="s">
        <v>41</v>
      </c>
      <c r="F30" s="86">
        <v>0.0</v>
      </c>
      <c r="G30" s="261">
        <f t="shared" si="1"/>
        <v>0</v>
      </c>
      <c r="H30" s="262">
        <f t="shared" si="2"/>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mergeCells count="7">
    <mergeCell ref="A4:F4"/>
    <mergeCell ref="G4:H4"/>
    <mergeCell ref="C6:C10"/>
    <mergeCell ref="C11:C15"/>
    <mergeCell ref="C16:C20"/>
    <mergeCell ref="C21:C25"/>
    <mergeCell ref="C26:C30"/>
  </mergeCell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5"/>
    <col customWidth="1" min="3" max="3" width="27.88"/>
    <col customWidth="1" min="4" max="4" width="14.38"/>
    <col customWidth="1" min="5" max="6" width="8.63"/>
    <col customWidth="1" min="7" max="7" width="15.0"/>
    <col customWidth="1" min="8" max="8" width="21.75"/>
    <col customWidth="1" min="9" max="10" width="8.63"/>
    <col customWidth="1" min="11" max="11" width="35.63"/>
    <col customWidth="1" min="12" max="13" width="22.75"/>
    <col customWidth="1" min="14" max="27" width="8.63"/>
  </cols>
  <sheetData>
    <row r="1">
      <c r="A1" s="19" t="s">
        <v>205</v>
      </c>
      <c r="B1" s="164"/>
      <c r="C1" s="164"/>
    </row>
    <row r="2">
      <c r="A2" s="20" t="s">
        <v>102</v>
      </c>
      <c r="B2" s="164"/>
      <c r="C2" s="164"/>
    </row>
    <row r="3" ht="33.75" customHeight="1">
      <c r="A3" s="19"/>
      <c r="B3" s="164"/>
      <c r="C3" s="164"/>
      <c r="L3" s="277"/>
      <c r="M3" s="277"/>
    </row>
    <row r="4">
      <c r="A4" s="21" t="s">
        <v>26</v>
      </c>
      <c r="B4" s="22"/>
      <c r="C4" s="22"/>
      <c r="D4" s="22"/>
      <c r="E4" s="22"/>
      <c r="F4" s="23"/>
      <c r="G4" s="248" t="s">
        <v>206</v>
      </c>
      <c r="H4" s="25"/>
      <c r="L4" s="278"/>
      <c r="M4" s="278"/>
    </row>
    <row r="5">
      <c r="A5" s="170" t="s">
        <v>207</v>
      </c>
      <c r="B5" s="94" t="s">
        <v>29</v>
      </c>
      <c r="C5" s="95" t="s">
        <v>30</v>
      </c>
      <c r="D5" s="172" t="s">
        <v>151</v>
      </c>
      <c r="E5" s="67" t="s">
        <v>32</v>
      </c>
      <c r="F5" s="95" t="s">
        <v>33</v>
      </c>
      <c r="G5" s="94" t="s">
        <v>35</v>
      </c>
      <c r="H5" s="174" t="s">
        <v>36</v>
      </c>
      <c r="J5" s="33" t="s">
        <v>37</v>
      </c>
      <c r="K5" s="33" t="s">
        <v>214</v>
      </c>
      <c r="L5" s="279"/>
      <c r="M5" s="279"/>
      <c r="N5" s="280"/>
      <c r="O5" s="280"/>
      <c r="P5" s="280"/>
      <c r="Q5" s="280"/>
      <c r="R5" s="280"/>
      <c r="S5" s="280"/>
      <c r="T5" s="280"/>
      <c r="U5" s="280"/>
      <c r="V5" s="280"/>
      <c r="W5" s="280"/>
      <c r="X5" s="280"/>
      <c r="Y5" s="280"/>
      <c r="Z5" s="280"/>
      <c r="AA5" s="280"/>
    </row>
    <row r="6">
      <c r="A6" s="34" t="s">
        <v>39</v>
      </c>
      <c r="B6" s="249">
        <v>1.0</v>
      </c>
      <c r="C6" s="36" t="s">
        <v>215</v>
      </c>
      <c r="D6" s="250">
        <v>1.0</v>
      </c>
      <c r="E6" s="38" t="s">
        <v>41</v>
      </c>
      <c r="F6" s="84">
        <v>0.0</v>
      </c>
      <c r="G6" s="251">
        <f t="shared" ref="G6:G30" si="1">D6*F6</f>
        <v>0</v>
      </c>
      <c r="H6" s="42">
        <f t="shared" ref="H6:H30" si="2">G6*365</f>
        <v>0</v>
      </c>
      <c r="J6" s="43">
        <v>1.0</v>
      </c>
      <c r="K6" s="44">
        <f>SUM(H6:H10)</f>
        <v>0</v>
      </c>
      <c r="L6" s="281"/>
      <c r="M6" s="281"/>
    </row>
    <row r="7">
      <c r="A7" s="45" t="s">
        <v>39</v>
      </c>
      <c r="B7" s="107">
        <v>1.0</v>
      </c>
      <c r="C7" s="47"/>
      <c r="D7" s="205">
        <v>2.0</v>
      </c>
      <c r="E7" s="49" t="s">
        <v>41</v>
      </c>
      <c r="F7" s="85">
        <v>0.0</v>
      </c>
      <c r="G7" s="252">
        <f t="shared" si="1"/>
        <v>0</v>
      </c>
      <c r="H7" s="53">
        <f t="shared" si="2"/>
        <v>0</v>
      </c>
      <c r="J7" s="43">
        <v>2.0</v>
      </c>
      <c r="K7" s="44">
        <f>SUM(H11:H15)</f>
        <v>0</v>
      </c>
      <c r="L7" s="281"/>
      <c r="M7" s="281"/>
    </row>
    <row r="8">
      <c r="A8" s="54" t="s">
        <v>39</v>
      </c>
      <c r="B8" s="253">
        <v>1.0</v>
      </c>
      <c r="C8" s="56"/>
      <c r="D8" s="254">
        <v>3.0</v>
      </c>
      <c r="E8" s="58" t="s">
        <v>41</v>
      </c>
      <c r="F8" s="85">
        <v>0.0</v>
      </c>
      <c r="G8" s="255">
        <f t="shared" si="1"/>
        <v>0</v>
      </c>
      <c r="H8" s="61">
        <f t="shared" si="2"/>
        <v>0</v>
      </c>
      <c r="J8" s="43" t="s">
        <v>44</v>
      </c>
      <c r="K8" s="44">
        <f>SUM(H16:H20)</f>
        <v>0</v>
      </c>
      <c r="L8" s="281"/>
      <c r="M8" s="281"/>
    </row>
    <row r="9">
      <c r="A9" s="45" t="s">
        <v>39</v>
      </c>
      <c r="B9" s="107">
        <v>1.0</v>
      </c>
      <c r="C9" s="47"/>
      <c r="D9" s="205">
        <v>4.0</v>
      </c>
      <c r="E9" s="49" t="s">
        <v>41</v>
      </c>
      <c r="F9" s="85">
        <v>0.0</v>
      </c>
      <c r="G9" s="252">
        <f t="shared" si="1"/>
        <v>0</v>
      </c>
      <c r="H9" s="53">
        <f t="shared" si="2"/>
        <v>0</v>
      </c>
      <c r="J9" s="43">
        <v>3.0</v>
      </c>
      <c r="K9" s="44">
        <f>SUM(H21:H25)</f>
        <v>0</v>
      </c>
      <c r="L9" s="281"/>
      <c r="M9" s="281"/>
    </row>
    <row r="10">
      <c r="A10" s="256" t="s">
        <v>39</v>
      </c>
      <c r="B10" s="257">
        <v>1.0</v>
      </c>
      <c r="C10" s="258"/>
      <c r="D10" s="259">
        <v>5.0</v>
      </c>
      <c r="E10" s="260" t="s">
        <v>41</v>
      </c>
      <c r="F10" s="86">
        <v>0.0</v>
      </c>
      <c r="G10" s="261">
        <f t="shared" si="1"/>
        <v>0</v>
      </c>
      <c r="H10" s="262">
        <f t="shared" si="2"/>
        <v>0</v>
      </c>
      <c r="J10" s="43" t="s">
        <v>47</v>
      </c>
      <c r="K10" s="44">
        <f>SUM(H26:H30)</f>
        <v>0</v>
      </c>
      <c r="L10" s="281"/>
      <c r="M10" s="281"/>
    </row>
    <row r="11" ht="15.75" customHeight="1">
      <c r="A11" s="263" t="s">
        <v>50</v>
      </c>
      <c r="B11" s="264">
        <v>2.0</v>
      </c>
      <c r="C11" s="265" t="s">
        <v>216</v>
      </c>
      <c r="D11" s="266">
        <v>1.0</v>
      </c>
      <c r="E11" s="267" t="s">
        <v>41</v>
      </c>
      <c r="F11" s="84">
        <v>0.0</v>
      </c>
      <c r="G11" s="268">
        <f t="shared" si="1"/>
        <v>0</v>
      </c>
      <c r="H11" s="269">
        <f t="shared" si="2"/>
        <v>0</v>
      </c>
      <c r="J11" s="72" t="s">
        <v>137</v>
      </c>
      <c r="K11" s="73">
        <f>SUM(K6:K10)</f>
        <v>0</v>
      </c>
      <c r="L11" s="281"/>
      <c r="M11" s="281"/>
    </row>
    <row r="12">
      <c r="A12" s="54" t="s">
        <v>50</v>
      </c>
      <c r="B12" s="253">
        <v>2.0</v>
      </c>
      <c r="C12" s="56"/>
      <c r="D12" s="254">
        <v>2.0</v>
      </c>
      <c r="E12" s="58" t="s">
        <v>41</v>
      </c>
      <c r="F12" s="85">
        <v>0.0</v>
      </c>
      <c r="G12" s="255">
        <f t="shared" si="1"/>
        <v>0</v>
      </c>
      <c r="H12" s="61">
        <f t="shared" si="2"/>
        <v>0</v>
      </c>
      <c r="L12" s="281"/>
      <c r="M12" s="281"/>
    </row>
    <row r="13">
      <c r="A13" s="45" t="s">
        <v>50</v>
      </c>
      <c r="B13" s="107">
        <v>2.0</v>
      </c>
      <c r="C13" s="47"/>
      <c r="D13" s="205">
        <v>3.0</v>
      </c>
      <c r="E13" s="49" t="s">
        <v>41</v>
      </c>
      <c r="F13" s="85">
        <v>0.0</v>
      </c>
      <c r="G13" s="252">
        <f t="shared" si="1"/>
        <v>0</v>
      </c>
      <c r="H13" s="53">
        <f t="shared" si="2"/>
        <v>0</v>
      </c>
      <c r="L13" s="281"/>
      <c r="M13" s="281"/>
    </row>
    <row r="14" ht="15.75" customHeight="1">
      <c r="A14" s="54" t="s">
        <v>50</v>
      </c>
      <c r="B14" s="253">
        <v>2.0</v>
      </c>
      <c r="C14" s="56"/>
      <c r="D14" s="254">
        <v>4.0</v>
      </c>
      <c r="E14" s="58" t="s">
        <v>41</v>
      </c>
      <c r="F14" s="85">
        <v>0.0</v>
      </c>
      <c r="G14" s="255">
        <f t="shared" si="1"/>
        <v>0</v>
      </c>
      <c r="H14" s="61">
        <f t="shared" si="2"/>
        <v>0</v>
      </c>
      <c r="L14" s="281"/>
      <c r="M14" s="281"/>
    </row>
    <row r="15" ht="15.75" customHeight="1">
      <c r="A15" s="63" t="s">
        <v>50</v>
      </c>
      <c r="B15" s="117">
        <v>2.0</v>
      </c>
      <c r="C15" s="65"/>
      <c r="D15" s="213">
        <v>5.0</v>
      </c>
      <c r="E15" s="67" t="s">
        <v>41</v>
      </c>
      <c r="F15" s="86">
        <v>0.0</v>
      </c>
      <c r="G15" s="270">
        <f t="shared" si="1"/>
        <v>0</v>
      </c>
      <c r="H15" s="71">
        <f t="shared" si="2"/>
        <v>0</v>
      </c>
      <c r="L15" s="281"/>
      <c r="M15" s="281"/>
    </row>
    <row r="16" ht="15.75" customHeight="1">
      <c r="A16" s="34" t="s">
        <v>52</v>
      </c>
      <c r="B16" s="249" t="s">
        <v>44</v>
      </c>
      <c r="C16" s="36" t="s">
        <v>217</v>
      </c>
      <c r="D16" s="250">
        <v>1.0</v>
      </c>
      <c r="E16" s="38" t="s">
        <v>41</v>
      </c>
      <c r="F16" s="84">
        <v>0.0</v>
      </c>
      <c r="G16" s="251">
        <f t="shared" si="1"/>
        <v>0</v>
      </c>
      <c r="H16" s="42">
        <f t="shared" si="2"/>
        <v>0</v>
      </c>
      <c r="L16" s="281"/>
      <c r="M16" s="281"/>
    </row>
    <row r="17" ht="15.75" customHeight="1">
      <c r="A17" s="45" t="s">
        <v>52</v>
      </c>
      <c r="B17" s="107" t="s">
        <v>44</v>
      </c>
      <c r="C17" s="47"/>
      <c r="D17" s="205">
        <v>2.0</v>
      </c>
      <c r="E17" s="49" t="s">
        <v>41</v>
      </c>
      <c r="F17" s="85">
        <v>0.0</v>
      </c>
      <c r="G17" s="252">
        <f t="shared" si="1"/>
        <v>0</v>
      </c>
      <c r="H17" s="53">
        <f t="shared" si="2"/>
        <v>0</v>
      </c>
    </row>
    <row r="18" ht="15.75" customHeight="1">
      <c r="A18" s="54" t="s">
        <v>52</v>
      </c>
      <c r="B18" s="253" t="s">
        <v>44</v>
      </c>
      <c r="C18" s="56"/>
      <c r="D18" s="254">
        <v>3.0</v>
      </c>
      <c r="E18" s="58" t="s">
        <v>41</v>
      </c>
      <c r="F18" s="85">
        <v>0.0</v>
      </c>
      <c r="G18" s="255">
        <f t="shared" si="1"/>
        <v>0</v>
      </c>
      <c r="H18" s="61">
        <f t="shared" si="2"/>
        <v>0</v>
      </c>
    </row>
    <row r="19" ht="15.75" customHeight="1">
      <c r="A19" s="45" t="s">
        <v>52</v>
      </c>
      <c r="B19" s="107" t="s">
        <v>44</v>
      </c>
      <c r="C19" s="47"/>
      <c r="D19" s="205">
        <v>4.0</v>
      </c>
      <c r="E19" s="49" t="s">
        <v>41</v>
      </c>
      <c r="F19" s="85">
        <v>0.0</v>
      </c>
      <c r="G19" s="252">
        <f t="shared" si="1"/>
        <v>0</v>
      </c>
      <c r="H19" s="53">
        <f t="shared" si="2"/>
        <v>0</v>
      </c>
    </row>
    <row r="20" ht="15.75" customHeight="1">
      <c r="A20" s="256" t="s">
        <v>52</v>
      </c>
      <c r="B20" s="257" t="s">
        <v>44</v>
      </c>
      <c r="C20" s="258"/>
      <c r="D20" s="259">
        <v>5.0</v>
      </c>
      <c r="E20" s="260" t="s">
        <v>41</v>
      </c>
      <c r="F20" s="86">
        <v>0.0</v>
      </c>
      <c r="G20" s="261">
        <f t="shared" si="1"/>
        <v>0</v>
      </c>
      <c r="H20" s="262">
        <f t="shared" si="2"/>
        <v>0</v>
      </c>
    </row>
    <row r="21" ht="15.75" customHeight="1">
      <c r="A21" s="263" t="s">
        <v>54</v>
      </c>
      <c r="B21" s="271">
        <v>3.0</v>
      </c>
      <c r="C21" s="265" t="s">
        <v>218</v>
      </c>
      <c r="D21" s="266">
        <v>1.0</v>
      </c>
      <c r="E21" s="267" t="s">
        <v>41</v>
      </c>
      <c r="F21" s="84">
        <v>0.0</v>
      </c>
      <c r="G21" s="268">
        <f t="shared" si="1"/>
        <v>0</v>
      </c>
      <c r="H21" s="269">
        <f t="shared" si="2"/>
        <v>0</v>
      </c>
    </row>
    <row r="22" ht="15.75" customHeight="1">
      <c r="A22" s="54" t="s">
        <v>54</v>
      </c>
      <c r="B22" s="272">
        <v>3.0</v>
      </c>
      <c r="C22" s="56"/>
      <c r="D22" s="254">
        <v>2.0</v>
      </c>
      <c r="E22" s="58" t="s">
        <v>41</v>
      </c>
      <c r="F22" s="85">
        <v>0.0</v>
      </c>
      <c r="G22" s="255">
        <f t="shared" si="1"/>
        <v>0</v>
      </c>
      <c r="H22" s="61">
        <f t="shared" si="2"/>
        <v>0</v>
      </c>
    </row>
    <row r="23" ht="15.75" customHeight="1">
      <c r="A23" s="45" t="s">
        <v>54</v>
      </c>
      <c r="B23" s="273">
        <v>3.0</v>
      </c>
      <c r="C23" s="47"/>
      <c r="D23" s="205">
        <v>3.0</v>
      </c>
      <c r="E23" s="49" t="s">
        <v>41</v>
      </c>
      <c r="F23" s="85">
        <v>0.0</v>
      </c>
      <c r="G23" s="252">
        <f t="shared" si="1"/>
        <v>0</v>
      </c>
      <c r="H23" s="53">
        <f t="shared" si="2"/>
        <v>0</v>
      </c>
    </row>
    <row r="24" ht="15.75" customHeight="1">
      <c r="A24" s="54" t="s">
        <v>54</v>
      </c>
      <c r="B24" s="272">
        <v>3.0</v>
      </c>
      <c r="C24" s="56"/>
      <c r="D24" s="254">
        <v>4.0</v>
      </c>
      <c r="E24" s="58" t="s">
        <v>41</v>
      </c>
      <c r="F24" s="85">
        <v>0.0</v>
      </c>
      <c r="G24" s="255">
        <f t="shared" si="1"/>
        <v>0</v>
      </c>
      <c r="H24" s="61">
        <f t="shared" si="2"/>
        <v>0</v>
      </c>
    </row>
    <row r="25" ht="15.75" customHeight="1">
      <c r="A25" s="63" t="s">
        <v>54</v>
      </c>
      <c r="B25" s="274">
        <v>3.0</v>
      </c>
      <c r="C25" s="65"/>
      <c r="D25" s="213">
        <v>5.0</v>
      </c>
      <c r="E25" s="67" t="s">
        <v>41</v>
      </c>
      <c r="F25" s="86">
        <v>0.0</v>
      </c>
      <c r="G25" s="270">
        <f t="shared" si="1"/>
        <v>0</v>
      </c>
      <c r="H25" s="71">
        <f t="shared" si="2"/>
        <v>0</v>
      </c>
    </row>
    <row r="26" ht="15.75" customHeight="1">
      <c r="A26" s="34" t="s">
        <v>56</v>
      </c>
      <c r="B26" s="275" t="s">
        <v>47</v>
      </c>
      <c r="C26" s="36" t="s">
        <v>219</v>
      </c>
      <c r="D26" s="250">
        <v>1.0</v>
      </c>
      <c r="E26" s="38" t="s">
        <v>41</v>
      </c>
      <c r="F26" s="84">
        <v>0.0</v>
      </c>
      <c r="G26" s="251">
        <f t="shared" si="1"/>
        <v>0</v>
      </c>
      <c r="H26" s="42">
        <f t="shared" si="2"/>
        <v>0</v>
      </c>
    </row>
    <row r="27" ht="15.75" customHeight="1">
      <c r="A27" s="45" t="s">
        <v>56</v>
      </c>
      <c r="B27" s="273" t="s">
        <v>47</v>
      </c>
      <c r="C27" s="47"/>
      <c r="D27" s="205">
        <v>2.0</v>
      </c>
      <c r="E27" s="49" t="s">
        <v>41</v>
      </c>
      <c r="F27" s="85">
        <v>0.0</v>
      </c>
      <c r="G27" s="252">
        <f t="shared" si="1"/>
        <v>0</v>
      </c>
      <c r="H27" s="53">
        <f t="shared" si="2"/>
        <v>0</v>
      </c>
    </row>
    <row r="28" ht="15.75" customHeight="1">
      <c r="A28" s="54" t="s">
        <v>56</v>
      </c>
      <c r="B28" s="272" t="s">
        <v>47</v>
      </c>
      <c r="C28" s="56"/>
      <c r="D28" s="254">
        <v>3.0</v>
      </c>
      <c r="E28" s="58" t="s">
        <v>41</v>
      </c>
      <c r="F28" s="85">
        <v>0.0</v>
      </c>
      <c r="G28" s="255">
        <f t="shared" si="1"/>
        <v>0</v>
      </c>
      <c r="H28" s="61">
        <f t="shared" si="2"/>
        <v>0</v>
      </c>
    </row>
    <row r="29" ht="15.75" customHeight="1">
      <c r="A29" s="45" t="s">
        <v>56</v>
      </c>
      <c r="B29" s="273" t="s">
        <v>47</v>
      </c>
      <c r="C29" s="47"/>
      <c r="D29" s="205">
        <v>4.0</v>
      </c>
      <c r="E29" s="49" t="s">
        <v>41</v>
      </c>
      <c r="F29" s="85">
        <v>0.0</v>
      </c>
      <c r="G29" s="252">
        <f t="shared" si="1"/>
        <v>0</v>
      </c>
      <c r="H29" s="53">
        <f t="shared" si="2"/>
        <v>0</v>
      </c>
    </row>
    <row r="30" ht="15.75" customHeight="1">
      <c r="A30" s="256" t="s">
        <v>56</v>
      </c>
      <c r="B30" s="276" t="s">
        <v>47</v>
      </c>
      <c r="C30" s="258"/>
      <c r="D30" s="259">
        <v>5.0</v>
      </c>
      <c r="E30" s="260" t="s">
        <v>41</v>
      </c>
      <c r="F30" s="86">
        <v>0.0</v>
      </c>
      <c r="G30" s="261">
        <f t="shared" si="1"/>
        <v>0</v>
      </c>
      <c r="H30" s="262">
        <f t="shared" si="2"/>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mergeCells count="7">
    <mergeCell ref="A4:F4"/>
    <mergeCell ref="G4:H4"/>
    <mergeCell ref="C6:C10"/>
    <mergeCell ref="C11:C15"/>
    <mergeCell ref="C16:C20"/>
    <mergeCell ref="C21:C25"/>
    <mergeCell ref="C26:C30"/>
  </mergeCell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0"/>
    <col customWidth="1" min="3" max="3" width="31.75"/>
    <col customWidth="1" min="4" max="4" width="14.38"/>
    <col customWidth="1" min="5" max="6" width="8.63"/>
    <col customWidth="1" min="7" max="7" width="11.5"/>
    <col customWidth="1" min="8" max="8" width="14.63"/>
    <col customWidth="1" min="9" max="9" width="18.0"/>
    <col customWidth="1" min="10" max="11" width="8.63"/>
    <col customWidth="1" min="12" max="12" width="35.5"/>
    <col customWidth="1" min="13" max="22" width="8.63"/>
  </cols>
  <sheetData>
    <row r="1">
      <c r="A1" s="19" t="s">
        <v>220</v>
      </c>
      <c r="B1" s="164"/>
      <c r="C1" s="164"/>
    </row>
    <row r="2">
      <c r="A2" s="20" t="s">
        <v>24</v>
      </c>
      <c r="B2" s="164"/>
      <c r="C2" s="164"/>
    </row>
    <row r="3" ht="22.5" customHeight="1">
      <c r="A3" s="19"/>
      <c r="B3" s="164"/>
      <c r="C3" s="164"/>
    </row>
    <row r="4" ht="19.5" customHeight="1">
      <c r="A4" s="282" t="s">
        <v>26</v>
      </c>
      <c r="B4" s="283"/>
      <c r="C4" s="283"/>
      <c r="D4" s="283"/>
      <c r="E4" s="283"/>
      <c r="F4" s="284"/>
      <c r="G4" s="285" t="s">
        <v>221</v>
      </c>
      <c r="H4" s="283"/>
      <c r="I4" s="286"/>
    </row>
    <row r="5">
      <c r="A5" s="170" t="s">
        <v>222</v>
      </c>
      <c r="B5" s="94" t="s">
        <v>29</v>
      </c>
      <c r="C5" s="95" t="s">
        <v>30</v>
      </c>
      <c r="D5" s="67" t="s">
        <v>31</v>
      </c>
      <c r="E5" s="67" t="s">
        <v>32</v>
      </c>
      <c r="F5" s="95" t="s">
        <v>33</v>
      </c>
      <c r="G5" s="94" t="s">
        <v>34</v>
      </c>
      <c r="H5" s="173" t="s">
        <v>35</v>
      </c>
      <c r="I5" s="174" t="s">
        <v>36</v>
      </c>
      <c r="K5" s="33" t="s">
        <v>37</v>
      </c>
      <c r="L5" s="33" t="s">
        <v>223</v>
      </c>
    </row>
    <row r="6" ht="15.75" customHeight="1">
      <c r="A6" s="287" t="s">
        <v>39</v>
      </c>
      <c r="B6" s="288">
        <v>1.0</v>
      </c>
      <c r="C6" s="289" t="s">
        <v>224</v>
      </c>
      <c r="D6" s="290">
        <v>500.0</v>
      </c>
      <c r="E6" s="291" t="s">
        <v>41</v>
      </c>
      <c r="F6" s="84">
        <v>0.0</v>
      </c>
      <c r="G6" s="292">
        <v>500.0</v>
      </c>
      <c r="H6" s="293">
        <f t="shared" ref="H6:H40" si="1">F6*G6</f>
        <v>0</v>
      </c>
      <c r="I6" s="294">
        <f t="shared" ref="I6:I40" si="2">H6*365</f>
        <v>0</v>
      </c>
      <c r="K6" s="43">
        <v>1.0</v>
      </c>
      <c r="L6" s="44">
        <f>sum(I6:I12)</f>
        <v>0</v>
      </c>
    </row>
    <row r="7">
      <c r="A7" s="45" t="s">
        <v>39</v>
      </c>
      <c r="B7" s="107">
        <v>1.0</v>
      </c>
      <c r="C7" s="47"/>
      <c r="D7" s="48" t="s">
        <v>42</v>
      </c>
      <c r="E7" s="49" t="s">
        <v>41</v>
      </c>
      <c r="F7" s="85">
        <v>0.0</v>
      </c>
      <c r="G7" s="295">
        <v>1000.0</v>
      </c>
      <c r="H7" s="52">
        <f t="shared" si="1"/>
        <v>0</v>
      </c>
      <c r="I7" s="53">
        <f t="shared" si="2"/>
        <v>0</v>
      </c>
      <c r="K7" s="43">
        <v>2.0</v>
      </c>
      <c r="L7" s="44">
        <f>sum(I13:I19)</f>
        <v>0</v>
      </c>
    </row>
    <row r="8">
      <c r="A8" s="296" t="s">
        <v>39</v>
      </c>
      <c r="B8" s="297">
        <v>1.0</v>
      </c>
      <c r="C8" s="298"/>
      <c r="D8" s="299" t="s">
        <v>43</v>
      </c>
      <c r="E8" s="300" t="s">
        <v>41</v>
      </c>
      <c r="F8" s="85">
        <v>0.0</v>
      </c>
      <c r="G8" s="301">
        <v>5000.0</v>
      </c>
      <c r="H8" s="302">
        <f t="shared" si="1"/>
        <v>0</v>
      </c>
      <c r="I8" s="303">
        <f t="shared" si="2"/>
        <v>0</v>
      </c>
      <c r="K8" s="43" t="s">
        <v>44</v>
      </c>
      <c r="L8" s="44">
        <f>sum(I20:I26)</f>
        <v>0</v>
      </c>
    </row>
    <row r="9">
      <c r="A9" s="45" t="s">
        <v>39</v>
      </c>
      <c r="B9" s="46">
        <v>1.0</v>
      </c>
      <c r="C9" s="47"/>
      <c r="D9" s="304" t="s">
        <v>45</v>
      </c>
      <c r="E9" s="49" t="s">
        <v>41</v>
      </c>
      <c r="F9" s="85">
        <v>0.0</v>
      </c>
      <c r="G9" s="295">
        <v>10000.0</v>
      </c>
      <c r="H9" s="52">
        <f t="shared" si="1"/>
        <v>0</v>
      </c>
      <c r="I9" s="53">
        <f t="shared" si="2"/>
        <v>0</v>
      </c>
      <c r="K9" s="43">
        <v>3.0</v>
      </c>
      <c r="L9" s="44">
        <f>sum(I27:I33)</f>
        <v>0</v>
      </c>
    </row>
    <row r="10">
      <c r="A10" s="305" t="s">
        <v>39</v>
      </c>
      <c r="B10" s="306">
        <v>1.0</v>
      </c>
      <c r="C10" s="298"/>
      <c r="D10" s="307" t="s">
        <v>46</v>
      </c>
      <c r="E10" s="308" t="s">
        <v>41</v>
      </c>
      <c r="F10" s="309">
        <v>0.0</v>
      </c>
      <c r="G10" s="310">
        <v>20000.0</v>
      </c>
      <c r="H10" s="311">
        <f t="shared" si="1"/>
        <v>0</v>
      </c>
      <c r="I10" s="312">
        <f t="shared" si="2"/>
        <v>0</v>
      </c>
      <c r="K10" s="43" t="s">
        <v>47</v>
      </c>
      <c r="L10" s="44">
        <f>sum(I34:I40)</f>
        <v>0</v>
      </c>
    </row>
    <row r="11" ht="15.75" customHeight="1">
      <c r="A11" s="313" t="s">
        <v>39</v>
      </c>
      <c r="B11" s="46">
        <v>1.0</v>
      </c>
      <c r="C11" s="47"/>
      <c r="D11" s="304" t="s">
        <v>48</v>
      </c>
      <c r="E11" s="49" t="s">
        <v>41</v>
      </c>
      <c r="F11" s="85">
        <v>0.0</v>
      </c>
      <c r="G11" s="51">
        <v>30000.0</v>
      </c>
      <c r="H11" s="52">
        <f t="shared" si="1"/>
        <v>0</v>
      </c>
      <c r="I11" s="53">
        <f t="shared" si="2"/>
        <v>0</v>
      </c>
      <c r="K11" s="72" t="s">
        <v>137</v>
      </c>
      <c r="L11" s="73">
        <f>sum(L6:L10)</f>
        <v>0</v>
      </c>
    </row>
    <row r="12" ht="15.75" customHeight="1">
      <c r="A12" s="314" t="s">
        <v>39</v>
      </c>
      <c r="B12" s="315">
        <v>1.0</v>
      </c>
      <c r="C12" s="316"/>
      <c r="D12" s="317" t="s">
        <v>225</v>
      </c>
      <c r="E12" s="318" t="s">
        <v>41</v>
      </c>
      <c r="F12" s="319">
        <v>0.0</v>
      </c>
      <c r="G12" s="320">
        <v>50000.0</v>
      </c>
      <c r="H12" s="321">
        <f t="shared" si="1"/>
        <v>0</v>
      </c>
      <c r="I12" s="322">
        <f t="shared" si="2"/>
        <v>0</v>
      </c>
      <c r="K12" s="72"/>
      <c r="L12" s="118"/>
    </row>
    <row r="13" ht="15.75" customHeight="1">
      <c r="A13" s="263" t="s">
        <v>50</v>
      </c>
      <c r="B13" s="264">
        <v>2.0</v>
      </c>
      <c r="C13" s="265" t="s">
        <v>226</v>
      </c>
      <c r="D13" s="323">
        <v>500.0</v>
      </c>
      <c r="E13" s="267" t="s">
        <v>41</v>
      </c>
      <c r="F13" s="84">
        <v>0.0</v>
      </c>
      <c r="G13" s="324">
        <v>500.0</v>
      </c>
      <c r="H13" s="325">
        <f t="shared" si="1"/>
        <v>0</v>
      </c>
      <c r="I13" s="269">
        <f t="shared" si="2"/>
        <v>0</v>
      </c>
    </row>
    <row r="14">
      <c r="A14" s="296" t="s">
        <v>50</v>
      </c>
      <c r="B14" s="297">
        <v>2.0</v>
      </c>
      <c r="C14" s="298"/>
      <c r="D14" s="326" t="s">
        <v>42</v>
      </c>
      <c r="E14" s="300" t="s">
        <v>41</v>
      </c>
      <c r="F14" s="85">
        <v>0.0</v>
      </c>
      <c r="G14" s="301">
        <v>1000.0</v>
      </c>
      <c r="H14" s="302">
        <f t="shared" si="1"/>
        <v>0</v>
      </c>
      <c r="I14" s="303">
        <f t="shared" si="2"/>
        <v>0</v>
      </c>
    </row>
    <row r="15">
      <c r="A15" s="45" t="s">
        <v>50</v>
      </c>
      <c r="B15" s="107">
        <v>2.0</v>
      </c>
      <c r="C15" s="47"/>
      <c r="D15" s="327" t="s">
        <v>43</v>
      </c>
      <c r="E15" s="49" t="s">
        <v>41</v>
      </c>
      <c r="F15" s="85">
        <v>0.0</v>
      </c>
      <c r="G15" s="295">
        <v>5000.0</v>
      </c>
      <c r="H15" s="52">
        <f t="shared" si="1"/>
        <v>0</v>
      </c>
      <c r="I15" s="53">
        <f t="shared" si="2"/>
        <v>0</v>
      </c>
    </row>
    <row r="16">
      <c r="A16" s="296" t="s">
        <v>50</v>
      </c>
      <c r="B16" s="297">
        <v>2.0</v>
      </c>
      <c r="C16" s="298"/>
      <c r="D16" s="328" t="s">
        <v>45</v>
      </c>
      <c r="E16" s="300" t="s">
        <v>41</v>
      </c>
      <c r="F16" s="85">
        <v>0.0</v>
      </c>
      <c r="G16" s="301">
        <v>10000.0</v>
      </c>
      <c r="H16" s="302">
        <f t="shared" si="1"/>
        <v>0</v>
      </c>
      <c r="I16" s="303">
        <f t="shared" si="2"/>
        <v>0</v>
      </c>
    </row>
    <row r="17">
      <c r="A17" s="45" t="s">
        <v>50</v>
      </c>
      <c r="B17" s="107">
        <v>2.0</v>
      </c>
      <c r="C17" s="47"/>
      <c r="D17" s="304" t="s">
        <v>46</v>
      </c>
      <c r="E17" s="49" t="s">
        <v>41</v>
      </c>
      <c r="F17" s="85">
        <v>0.0</v>
      </c>
      <c r="G17" s="295">
        <v>20000.0</v>
      </c>
      <c r="H17" s="52">
        <f t="shared" si="1"/>
        <v>0</v>
      </c>
      <c r="I17" s="53">
        <f t="shared" si="2"/>
        <v>0</v>
      </c>
    </row>
    <row r="18" ht="15.75" customHeight="1">
      <c r="A18" s="296" t="s">
        <v>50</v>
      </c>
      <c r="B18" s="329">
        <v>2.0</v>
      </c>
      <c r="C18" s="298"/>
      <c r="D18" s="328" t="s">
        <v>48</v>
      </c>
      <c r="E18" s="300" t="s">
        <v>41</v>
      </c>
      <c r="F18" s="85">
        <v>0.0</v>
      </c>
      <c r="G18" s="330">
        <v>30000.0</v>
      </c>
      <c r="H18" s="302">
        <f t="shared" si="1"/>
        <v>0</v>
      </c>
      <c r="I18" s="303">
        <f t="shared" si="2"/>
        <v>0</v>
      </c>
    </row>
    <row r="19" ht="15.75" customHeight="1">
      <c r="A19" s="45" t="s">
        <v>50</v>
      </c>
      <c r="B19" s="46">
        <v>2.0</v>
      </c>
      <c r="C19" s="224"/>
      <c r="D19" s="331" t="s">
        <v>225</v>
      </c>
      <c r="E19" s="49" t="s">
        <v>41</v>
      </c>
      <c r="F19" s="85">
        <v>0.0</v>
      </c>
      <c r="G19" s="69">
        <v>50000.0</v>
      </c>
      <c r="H19" s="52">
        <f t="shared" si="1"/>
        <v>0</v>
      </c>
      <c r="I19" s="53">
        <f t="shared" si="2"/>
        <v>0</v>
      </c>
    </row>
    <row r="20" ht="15.75" customHeight="1">
      <c r="A20" s="287" t="s">
        <v>52</v>
      </c>
      <c r="B20" s="288" t="s">
        <v>44</v>
      </c>
      <c r="C20" s="289" t="s">
        <v>227</v>
      </c>
      <c r="D20" s="290">
        <v>500.0</v>
      </c>
      <c r="E20" s="291" t="s">
        <v>41</v>
      </c>
      <c r="F20" s="84">
        <v>0.0</v>
      </c>
      <c r="G20" s="292">
        <v>500.0</v>
      </c>
      <c r="H20" s="293">
        <f t="shared" si="1"/>
        <v>0</v>
      </c>
      <c r="I20" s="294">
        <f t="shared" si="2"/>
        <v>0</v>
      </c>
    </row>
    <row r="21">
      <c r="A21" s="45" t="s">
        <v>52</v>
      </c>
      <c r="B21" s="107" t="s">
        <v>44</v>
      </c>
      <c r="C21" s="47"/>
      <c r="D21" s="48" t="s">
        <v>42</v>
      </c>
      <c r="E21" s="49" t="s">
        <v>41</v>
      </c>
      <c r="F21" s="85">
        <v>0.0</v>
      </c>
      <c r="G21" s="295">
        <v>1000.0</v>
      </c>
      <c r="H21" s="52">
        <f t="shared" si="1"/>
        <v>0</v>
      </c>
      <c r="I21" s="53">
        <f t="shared" si="2"/>
        <v>0</v>
      </c>
    </row>
    <row r="22">
      <c r="A22" s="296" t="s">
        <v>52</v>
      </c>
      <c r="B22" s="297" t="s">
        <v>44</v>
      </c>
      <c r="C22" s="298"/>
      <c r="D22" s="299" t="s">
        <v>43</v>
      </c>
      <c r="E22" s="300" t="s">
        <v>41</v>
      </c>
      <c r="F22" s="85">
        <v>0.0</v>
      </c>
      <c r="G22" s="301">
        <v>5000.0</v>
      </c>
      <c r="H22" s="302">
        <f t="shared" si="1"/>
        <v>0</v>
      </c>
      <c r="I22" s="303">
        <f t="shared" si="2"/>
        <v>0</v>
      </c>
    </row>
    <row r="23">
      <c r="A23" s="45" t="s">
        <v>52</v>
      </c>
      <c r="B23" s="107" t="s">
        <v>44</v>
      </c>
      <c r="C23" s="47"/>
      <c r="D23" s="304" t="s">
        <v>45</v>
      </c>
      <c r="E23" s="49" t="s">
        <v>41</v>
      </c>
      <c r="F23" s="85">
        <v>0.0</v>
      </c>
      <c r="G23" s="295">
        <v>10000.0</v>
      </c>
      <c r="H23" s="52">
        <f t="shared" si="1"/>
        <v>0</v>
      </c>
      <c r="I23" s="53">
        <f t="shared" si="2"/>
        <v>0</v>
      </c>
    </row>
    <row r="24">
      <c r="A24" s="296" t="s">
        <v>52</v>
      </c>
      <c r="B24" s="297" t="s">
        <v>44</v>
      </c>
      <c r="C24" s="298"/>
      <c r="D24" s="328" t="s">
        <v>46</v>
      </c>
      <c r="E24" s="300" t="s">
        <v>41</v>
      </c>
      <c r="F24" s="85">
        <v>0.0</v>
      </c>
      <c r="G24" s="301">
        <v>20000.0</v>
      </c>
      <c r="H24" s="302">
        <f t="shared" si="1"/>
        <v>0</v>
      </c>
      <c r="I24" s="303">
        <f t="shared" si="2"/>
        <v>0</v>
      </c>
    </row>
    <row r="25" ht="15.75" customHeight="1">
      <c r="A25" s="45" t="s">
        <v>52</v>
      </c>
      <c r="B25" s="46" t="s">
        <v>44</v>
      </c>
      <c r="C25" s="47"/>
      <c r="D25" s="304" t="s">
        <v>48</v>
      </c>
      <c r="E25" s="49" t="s">
        <v>41</v>
      </c>
      <c r="F25" s="85">
        <v>0.0</v>
      </c>
      <c r="G25" s="51">
        <v>30000.0</v>
      </c>
      <c r="H25" s="52">
        <f t="shared" si="1"/>
        <v>0</v>
      </c>
      <c r="I25" s="53">
        <f t="shared" si="2"/>
        <v>0</v>
      </c>
    </row>
    <row r="26" ht="15.75" customHeight="1">
      <c r="A26" s="332" t="s">
        <v>52</v>
      </c>
      <c r="B26" s="329" t="s">
        <v>44</v>
      </c>
      <c r="C26" s="316"/>
      <c r="D26" s="317" t="s">
        <v>225</v>
      </c>
      <c r="E26" s="300" t="s">
        <v>41</v>
      </c>
      <c r="F26" s="85">
        <v>0.0</v>
      </c>
      <c r="G26" s="333">
        <v>50000.0</v>
      </c>
      <c r="H26" s="302">
        <f t="shared" si="1"/>
        <v>0</v>
      </c>
      <c r="I26" s="303">
        <f t="shared" si="2"/>
        <v>0</v>
      </c>
    </row>
    <row r="27" ht="15.75" customHeight="1">
      <c r="A27" s="263" t="s">
        <v>54</v>
      </c>
      <c r="B27" s="264">
        <v>3.0</v>
      </c>
      <c r="C27" s="265" t="s">
        <v>228</v>
      </c>
      <c r="D27" s="323">
        <v>500.0</v>
      </c>
      <c r="E27" s="267" t="s">
        <v>41</v>
      </c>
      <c r="F27" s="84">
        <v>0.0</v>
      </c>
      <c r="G27" s="324">
        <v>500.0</v>
      </c>
      <c r="H27" s="325">
        <f t="shared" si="1"/>
        <v>0</v>
      </c>
      <c r="I27" s="269">
        <f t="shared" si="2"/>
        <v>0</v>
      </c>
    </row>
    <row r="28">
      <c r="A28" s="296" t="s">
        <v>54</v>
      </c>
      <c r="B28" s="297">
        <v>3.0</v>
      </c>
      <c r="C28" s="298"/>
      <c r="D28" s="326" t="s">
        <v>42</v>
      </c>
      <c r="E28" s="300" t="s">
        <v>41</v>
      </c>
      <c r="F28" s="85">
        <v>0.0</v>
      </c>
      <c r="G28" s="301">
        <v>1000.0</v>
      </c>
      <c r="H28" s="302">
        <f t="shared" si="1"/>
        <v>0</v>
      </c>
      <c r="I28" s="303">
        <f t="shared" si="2"/>
        <v>0</v>
      </c>
    </row>
    <row r="29">
      <c r="A29" s="45" t="s">
        <v>54</v>
      </c>
      <c r="B29" s="107">
        <v>3.0</v>
      </c>
      <c r="C29" s="47"/>
      <c r="D29" s="327" t="s">
        <v>43</v>
      </c>
      <c r="E29" s="49" t="s">
        <v>41</v>
      </c>
      <c r="F29" s="85">
        <v>0.0</v>
      </c>
      <c r="G29" s="295">
        <v>5000.0</v>
      </c>
      <c r="H29" s="52">
        <f t="shared" si="1"/>
        <v>0</v>
      </c>
      <c r="I29" s="53">
        <f t="shared" si="2"/>
        <v>0</v>
      </c>
    </row>
    <row r="30">
      <c r="A30" s="296" t="s">
        <v>54</v>
      </c>
      <c r="B30" s="297">
        <v>3.0</v>
      </c>
      <c r="C30" s="298"/>
      <c r="D30" s="328" t="s">
        <v>45</v>
      </c>
      <c r="E30" s="300" t="s">
        <v>41</v>
      </c>
      <c r="F30" s="85">
        <v>0.0</v>
      </c>
      <c r="G30" s="301">
        <v>10000.0</v>
      </c>
      <c r="H30" s="302">
        <f t="shared" si="1"/>
        <v>0</v>
      </c>
      <c r="I30" s="303">
        <f t="shared" si="2"/>
        <v>0</v>
      </c>
    </row>
    <row r="31">
      <c r="A31" s="45" t="s">
        <v>54</v>
      </c>
      <c r="B31" s="107">
        <v>3.0</v>
      </c>
      <c r="C31" s="47"/>
      <c r="D31" s="304" t="s">
        <v>46</v>
      </c>
      <c r="E31" s="49" t="s">
        <v>41</v>
      </c>
      <c r="F31" s="85">
        <v>0.0</v>
      </c>
      <c r="G31" s="295">
        <v>20000.0</v>
      </c>
      <c r="H31" s="52">
        <f t="shared" si="1"/>
        <v>0</v>
      </c>
      <c r="I31" s="53">
        <f t="shared" si="2"/>
        <v>0</v>
      </c>
    </row>
    <row r="32" ht="15.75" customHeight="1">
      <c r="A32" s="296" t="s">
        <v>54</v>
      </c>
      <c r="B32" s="329">
        <v>3.0</v>
      </c>
      <c r="C32" s="298"/>
      <c r="D32" s="328" t="s">
        <v>48</v>
      </c>
      <c r="E32" s="300" t="s">
        <v>41</v>
      </c>
      <c r="F32" s="85">
        <v>0.0</v>
      </c>
      <c r="G32" s="330">
        <v>30000.0</v>
      </c>
      <c r="H32" s="302">
        <f t="shared" si="1"/>
        <v>0</v>
      </c>
      <c r="I32" s="303">
        <f t="shared" si="2"/>
        <v>0</v>
      </c>
    </row>
    <row r="33" ht="15.75" customHeight="1">
      <c r="A33" s="45" t="s">
        <v>54</v>
      </c>
      <c r="B33" s="46">
        <v>3.0</v>
      </c>
      <c r="C33" s="65"/>
      <c r="D33" s="331" t="s">
        <v>225</v>
      </c>
      <c r="E33" s="49" t="s">
        <v>41</v>
      </c>
      <c r="F33" s="85">
        <v>0.0</v>
      </c>
      <c r="G33" s="69">
        <v>50000.0</v>
      </c>
      <c r="H33" s="52">
        <f t="shared" si="1"/>
        <v>0</v>
      </c>
      <c r="I33" s="53">
        <f t="shared" si="2"/>
        <v>0</v>
      </c>
    </row>
    <row r="34" ht="15.75" customHeight="1">
      <c r="A34" s="287" t="s">
        <v>56</v>
      </c>
      <c r="B34" s="288" t="s">
        <v>47</v>
      </c>
      <c r="C34" s="289" t="s">
        <v>229</v>
      </c>
      <c r="D34" s="290">
        <v>500.0</v>
      </c>
      <c r="E34" s="291" t="s">
        <v>41</v>
      </c>
      <c r="F34" s="84">
        <v>0.0</v>
      </c>
      <c r="G34" s="292">
        <v>500.0</v>
      </c>
      <c r="H34" s="293">
        <f t="shared" si="1"/>
        <v>0</v>
      </c>
      <c r="I34" s="294">
        <f t="shared" si="2"/>
        <v>0</v>
      </c>
    </row>
    <row r="35">
      <c r="A35" s="45" t="s">
        <v>56</v>
      </c>
      <c r="B35" s="107" t="s">
        <v>47</v>
      </c>
      <c r="C35" s="47"/>
      <c r="D35" s="48" t="s">
        <v>42</v>
      </c>
      <c r="E35" s="49" t="s">
        <v>41</v>
      </c>
      <c r="F35" s="85">
        <v>0.0</v>
      </c>
      <c r="G35" s="295">
        <v>1000.0</v>
      </c>
      <c r="H35" s="52">
        <f t="shared" si="1"/>
        <v>0</v>
      </c>
      <c r="I35" s="53">
        <f t="shared" si="2"/>
        <v>0</v>
      </c>
    </row>
    <row r="36">
      <c r="A36" s="296" t="s">
        <v>56</v>
      </c>
      <c r="B36" s="297" t="s">
        <v>47</v>
      </c>
      <c r="C36" s="298"/>
      <c r="D36" s="299" t="s">
        <v>43</v>
      </c>
      <c r="E36" s="300" t="s">
        <v>41</v>
      </c>
      <c r="F36" s="85">
        <v>0.0</v>
      </c>
      <c r="G36" s="301">
        <v>5000.0</v>
      </c>
      <c r="H36" s="302">
        <f t="shared" si="1"/>
        <v>0</v>
      </c>
      <c r="I36" s="303">
        <f t="shared" si="2"/>
        <v>0</v>
      </c>
    </row>
    <row r="37">
      <c r="A37" s="45" t="s">
        <v>56</v>
      </c>
      <c r="B37" s="107" t="s">
        <v>47</v>
      </c>
      <c r="C37" s="47"/>
      <c r="D37" s="304" t="s">
        <v>45</v>
      </c>
      <c r="E37" s="49" t="s">
        <v>41</v>
      </c>
      <c r="F37" s="85">
        <v>0.0</v>
      </c>
      <c r="G37" s="295">
        <v>10000.0</v>
      </c>
      <c r="H37" s="52">
        <f t="shared" si="1"/>
        <v>0</v>
      </c>
      <c r="I37" s="53">
        <f t="shared" si="2"/>
        <v>0</v>
      </c>
    </row>
    <row r="38">
      <c r="A38" s="296" t="s">
        <v>56</v>
      </c>
      <c r="B38" s="297" t="s">
        <v>47</v>
      </c>
      <c r="C38" s="298"/>
      <c r="D38" s="328" t="s">
        <v>46</v>
      </c>
      <c r="E38" s="300" t="s">
        <v>41</v>
      </c>
      <c r="F38" s="85">
        <v>0.0</v>
      </c>
      <c r="G38" s="301">
        <v>20000.0</v>
      </c>
      <c r="H38" s="302">
        <f t="shared" si="1"/>
        <v>0</v>
      </c>
      <c r="I38" s="303">
        <f t="shared" si="2"/>
        <v>0</v>
      </c>
    </row>
    <row r="39" ht="15.75" customHeight="1">
      <c r="A39" s="45" t="s">
        <v>56</v>
      </c>
      <c r="B39" s="46" t="s">
        <v>47</v>
      </c>
      <c r="C39" s="47"/>
      <c r="D39" s="304" t="s">
        <v>48</v>
      </c>
      <c r="E39" s="49" t="s">
        <v>41</v>
      </c>
      <c r="F39" s="85">
        <v>0.0</v>
      </c>
      <c r="G39" s="51">
        <v>30000.0</v>
      </c>
      <c r="H39" s="52">
        <f t="shared" si="1"/>
        <v>0</v>
      </c>
      <c r="I39" s="53">
        <f t="shared" si="2"/>
        <v>0</v>
      </c>
    </row>
    <row r="40" ht="15.75" customHeight="1">
      <c r="A40" s="332" t="s">
        <v>56</v>
      </c>
      <c r="B40" s="334" t="s">
        <v>47</v>
      </c>
      <c r="C40" s="316"/>
      <c r="D40" s="317" t="s">
        <v>225</v>
      </c>
      <c r="E40" s="335" t="s">
        <v>41</v>
      </c>
      <c r="F40" s="86">
        <v>0.0</v>
      </c>
      <c r="G40" s="333">
        <v>50000.0</v>
      </c>
      <c r="H40" s="336">
        <f t="shared" si="1"/>
        <v>0</v>
      </c>
      <c r="I40" s="337">
        <f t="shared" si="2"/>
        <v>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F4"/>
    <mergeCell ref="G4:I4"/>
    <mergeCell ref="C6:C12"/>
    <mergeCell ref="C13:C19"/>
    <mergeCell ref="C20:C26"/>
    <mergeCell ref="C27:C33"/>
    <mergeCell ref="C34:C40"/>
  </mergeCell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0"/>
    <col customWidth="1" min="3" max="3" width="31.75"/>
    <col customWidth="1" min="4" max="4" width="14.38"/>
    <col customWidth="1" min="5" max="6" width="8.63"/>
    <col customWidth="1" min="7" max="7" width="11.5"/>
    <col customWidth="1" min="8" max="8" width="14.63"/>
    <col customWidth="1" min="9" max="9" width="18.0"/>
    <col customWidth="1" min="10" max="11" width="8.63"/>
    <col customWidth="1" min="12" max="12" width="35.5"/>
    <col customWidth="1" min="13" max="21" width="8.63"/>
  </cols>
  <sheetData>
    <row r="1">
      <c r="A1" s="19" t="s">
        <v>220</v>
      </c>
      <c r="B1" s="164"/>
      <c r="C1" s="164"/>
    </row>
    <row r="2">
      <c r="A2" s="20" t="s">
        <v>102</v>
      </c>
      <c r="B2" s="164"/>
      <c r="C2" s="164"/>
    </row>
    <row r="3">
      <c r="A3" s="19"/>
      <c r="B3" s="164"/>
      <c r="C3" s="164"/>
    </row>
    <row r="4">
      <c r="A4" s="282" t="s">
        <v>26</v>
      </c>
      <c r="B4" s="283"/>
      <c r="C4" s="283"/>
      <c r="D4" s="283"/>
      <c r="E4" s="283"/>
      <c r="F4" s="284"/>
      <c r="G4" s="285" t="s">
        <v>221</v>
      </c>
      <c r="H4" s="283"/>
      <c r="I4" s="286"/>
    </row>
    <row r="5">
      <c r="A5" s="170" t="s">
        <v>222</v>
      </c>
      <c r="B5" s="94" t="s">
        <v>29</v>
      </c>
      <c r="C5" s="95" t="s">
        <v>30</v>
      </c>
      <c r="D5" s="67" t="s">
        <v>31</v>
      </c>
      <c r="E5" s="67" t="s">
        <v>32</v>
      </c>
      <c r="F5" s="95" t="s">
        <v>33</v>
      </c>
      <c r="G5" s="94" t="s">
        <v>34</v>
      </c>
      <c r="H5" s="173" t="s">
        <v>35</v>
      </c>
      <c r="I5" s="174" t="s">
        <v>36</v>
      </c>
      <c r="K5" s="33" t="s">
        <v>37</v>
      </c>
      <c r="L5" s="33" t="s">
        <v>230</v>
      </c>
    </row>
    <row r="6" ht="15.75" customHeight="1">
      <c r="A6" s="287" t="s">
        <v>39</v>
      </c>
      <c r="B6" s="288">
        <v>1.0</v>
      </c>
      <c r="C6" s="289" t="s">
        <v>231</v>
      </c>
      <c r="D6" s="290">
        <v>500.0</v>
      </c>
      <c r="E6" s="291" t="s">
        <v>41</v>
      </c>
      <c r="F6" s="84">
        <v>0.0</v>
      </c>
      <c r="G6" s="292">
        <v>500.0</v>
      </c>
      <c r="H6" s="293">
        <f t="shared" ref="H6:H40" si="1">F6*G6</f>
        <v>0</v>
      </c>
      <c r="I6" s="294">
        <f t="shared" ref="I6:I40" si="2">H6*365</f>
        <v>0</v>
      </c>
      <c r="K6" s="43">
        <v>1.0</v>
      </c>
      <c r="L6" s="44">
        <f>sum(I6:I12)</f>
        <v>0</v>
      </c>
    </row>
    <row r="7">
      <c r="A7" s="45" t="s">
        <v>39</v>
      </c>
      <c r="B7" s="107">
        <v>1.0</v>
      </c>
      <c r="C7" s="47"/>
      <c r="D7" s="48" t="s">
        <v>42</v>
      </c>
      <c r="E7" s="49" t="s">
        <v>41</v>
      </c>
      <c r="F7" s="85">
        <v>0.0</v>
      </c>
      <c r="G7" s="295">
        <v>1000.0</v>
      </c>
      <c r="H7" s="52">
        <f t="shared" si="1"/>
        <v>0</v>
      </c>
      <c r="I7" s="53">
        <f t="shared" si="2"/>
        <v>0</v>
      </c>
      <c r="K7" s="43">
        <v>2.0</v>
      </c>
      <c r="L7" s="44">
        <f>sum(I13:I19)</f>
        <v>0</v>
      </c>
    </row>
    <row r="8">
      <c r="A8" s="296" t="s">
        <v>39</v>
      </c>
      <c r="B8" s="297">
        <v>1.0</v>
      </c>
      <c r="C8" s="298"/>
      <c r="D8" s="299" t="s">
        <v>43</v>
      </c>
      <c r="E8" s="300" t="s">
        <v>41</v>
      </c>
      <c r="F8" s="85">
        <v>0.0</v>
      </c>
      <c r="G8" s="301">
        <v>5000.0</v>
      </c>
      <c r="H8" s="302">
        <f t="shared" si="1"/>
        <v>0</v>
      </c>
      <c r="I8" s="303">
        <f t="shared" si="2"/>
        <v>0</v>
      </c>
      <c r="K8" s="43" t="s">
        <v>44</v>
      </c>
      <c r="L8" s="44">
        <f>sum(I20:I26)</f>
        <v>0</v>
      </c>
    </row>
    <row r="9">
      <c r="A9" s="45" t="s">
        <v>39</v>
      </c>
      <c r="B9" s="46">
        <v>1.0</v>
      </c>
      <c r="C9" s="47"/>
      <c r="D9" s="304" t="s">
        <v>45</v>
      </c>
      <c r="E9" s="49" t="s">
        <v>41</v>
      </c>
      <c r="F9" s="85">
        <v>0.0</v>
      </c>
      <c r="G9" s="295">
        <v>10000.0</v>
      </c>
      <c r="H9" s="52">
        <f t="shared" si="1"/>
        <v>0</v>
      </c>
      <c r="I9" s="53">
        <f t="shared" si="2"/>
        <v>0</v>
      </c>
      <c r="K9" s="43">
        <v>3.0</v>
      </c>
      <c r="L9" s="44">
        <f>sum(I27:I33)</f>
        <v>0</v>
      </c>
    </row>
    <row r="10">
      <c r="A10" s="305" t="s">
        <v>39</v>
      </c>
      <c r="B10" s="306">
        <v>1.0</v>
      </c>
      <c r="C10" s="298"/>
      <c r="D10" s="307" t="s">
        <v>46</v>
      </c>
      <c r="E10" s="308" t="s">
        <v>41</v>
      </c>
      <c r="F10" s="309">
        <v>0.0</v>
      </c>
      <c r="G10" s="310">
        <v>20000.0</v>
      </c>
      <c r="H10" s="311">
        <f t="shared" si="1"/>
        <v>0</v>
      </c>
      <c r="I10" s="312">
        <f t="shared" si="2"/>
        <v>0</v>
      </c>
      <c r="K10" s="43" t="s">
        <v>47</v>
      </c>
      <c r="L10" s="44">
        <f>sum(I34:I40)</f>
        <v>0</v>
      </c>
    </row>
    <row r="11">
      <c r="A11" s="313" t="s">
        <v>39</v>
      </c>
      <c r="B11" s="46">
        <v>1.0</v>
      </c>
      <c r="C11" s="47"/>
      <c r="D11" s="304" t="s">
        <v>48</v>
      </c>
      <c r="E11" s="49" t="s">
        <v>41</v>
      </c>
      <c r="F11" s="85">
        <v>0.0</v>
      </c>
      <c r="G11" s="51">
        <v>30000.0</v>
      </c>
      <c r="H11" s="52">
        <f t="shared" si="1"/>
        <v>0</v>
      </c>
      <c r="I11" s="53">
        <f t="shared" si="2"/>
        <v>0</v>
      </c>
      <c r="K11" s="72" t="s">
        <v>137</v>
      </c>
      <c r="L11" s="73">
        <f>sum(L6:L10)</f>
        <v>0</v>
      </c>
    </row>
    <row r="12" ht="15.75" customHeight="1">
      <c r="A12" s="314" t="s">
        <v>39</v>
      </c>
      <c r="B12" s="315">
        <v>1.0</v>
      </c>
      <c r="C12" s="316"/>
      <c r="D12" s="317" t="s">
        <v>225</v>
      </c>
      <c r="E12" s="318" t="s">
        <v>41</v>
      </c>
      <c r="F12" s="319">
        <v>0.0</v>
      </c>
      <c r="G12" s="320">
        <v>50000.0</v>
      </c>
      <c r="H12" s="321">
        <f t="shared" si="1"/>
        <v>0</v>
      </c>
      <c r="I12" s="322">
        <f t="shared" si="2"/>
        <v>0</v>
      </c>
      <c r="K12" s="72"/>
      <c r="L12" s="118"/>
    </row>
    <row r="13">
      <c r="A13" s="263" t="s">
        <v>50</v>
      </c>
      <c r="B13" s="264">
        <v>2.0</v>
      </c>
      <c r="C13" s="265" t="s">
        <v>232</v>
      </c>
      <c r="D13" s="323">
        <v>500.0</v>
      </c>
      <c r="E13" s="267" t="s">
        <v>41</v>
      </c>
      <c r="F13" s="84">
        <v>0.0</v>
      </c>
      <c r="G13" s="324">
        <v>500.0</v>
      </c>
      <c r="H13" s="325">
        <f t="shared" si="1"/>
        <v>0</v>
      </c>
      <c r="I13" s="269">
        <f t="shared" si="2"/>
        <v>0</v>
      </c>
    </row>
    <row r="14">
      <c r="A14" s="296" t="s">
        <v>50</v>
      </c>
      <c r="B14" s="297">
        <v>2.0</v>
      </c>
      <c r="C14" s="298"/>
      <c r="D14" s="326" t="s">
        <v>42</v>
      </c>
      <c r="E14" s="300" t="s">
        <v>41</v>
      </c>
      <c r="F14" s="85">
        <v>0.0</v>
      </c>
      <c r="G14" s="301">
        <v>1000.0</v>
      </c>
      <c r="H14" s="302">
        <f t="shared" si="1"/>
        <v>0</v>
      </c>
      <c r="I14" s="303">
        <f t="shared" si="2"/>
        <v>0</v>
      </c>
    </row>
    <row r="15">
      <c r="A15" s="45" t="s">
        <v>50</v>
      </c>
      <c r="B15" s="107">
        <v>2.0</v>
      </c>
      <c r="C15" s="47"/>
      <c r="D15" s="327" t="s">
        <v>43</v>
      </c>
      <c r="E15" s="49" t="s">
        <v>41</v>
      </c>
      <c r="F15" s="85">
        <v>0.0</v>
      </c>
      <c r="G15" s="295">
        <v>5000.0</v>
      </c>
      <c r="H15" s="52">
        <f t="shared" si="1"/>
        <v>0</v>
      </c>
      <c r="I15" s="53">
        <f t="shared" si="2"/>
        <v>0</v>
      </c>
    </row>
    <row r="16">
      <c r="A16" s="296" t="s">
        <v>50</v>
      </c>
      <c r="B16" s="297">
        <v>2.0</v>
      </c>
      <c r="C16" s="298"/>
      <c r="D16" s="328" t="s">
        <v>45</v>
      </c>
      <c r="E16" s="300" t="s">
        <v>41</v>
      </c>
      <c r="F16" s="85">
        <v>0.0</v>
      </c>
      <c r="G16" s="301">
        <v>10000.0</v>
      </c>
      <c r="H16" s="302">
        <f t="shared" si="1"/>
        <v>0</v>
      </c>
      <c r="I16" s="303">
        <f t="shared" si="2"/>
        <v>0</v>
      </c>
    </row>
    <row r="17">
      <c r="A17" s="45" t="s">
        <v>50</v>
      </c>
      <c r="B17" s="107">
        <v>2.0</v>
      </c>
      <c r="C17" s="47"/>
      <c r="D17" s="304" t="s">
        <v>46</v>
      </c>
      <c r="E17" s="49" t="s">
        <v>41</v>
      </c>
      <c r="F17" s="85">
        <v>0.0</v>
      </c>
      <c r="G17" s="295">
        <v>20000.0</v>
      </c>
      <c r="H17" s="52">
        <f t="shared" si="1"/>
        <v>0</v>
      </c>
      <c r="I17" s="53">
        <f t="shared" si="2"/>
        <v>0</v>
      </c>
    </row>
    <row r="18" ht="15.75" customHeight="1">
      <c r="A18" s="296" t="s">
        <v>50</v>
      </c>
      <c r="B18" s="329">
        <v>2.0</v>
      </c>
      <c r="C18" s="298"/>
      <c r="D18" s="328" t="s">
        <v>48</v>
      </c>
      <c r="E18" s="300" t="s">
        <v>41</v>
      </c>
      <c r="F18" s="85">
        <v>0.0</v>
      </c>
      <c r="G18" s="330">
        <v>30000.0</v>
      </c>
      <c r="H18" s="302">
        <f t="shared" si="1"/>
        <v>0</v>
      </c>
      <c r="I18" s="303">
        <f t="shared" si="2"/>
        <v>0</v>
      </c>
    </row>
    <row r="19">
      <c r="A19" s="45" t="s">
        <v>50</v>
      </c>
      <c r="B19" s="46">
        <v>2.0</v>
      </c>
      <c r="C19" s="224"/>
      <c r="D19" s="331" t="s">
        <v>225</v>
      </c>
      <c r="E19" s="49" t="s">
        <v>41</v>
      </c>
      <c r="F19" s="85">
        <v>0.0</v>
      </c>
      <c r="G19" s="69">
        <v>50000.0</v>
      </c>
      <c r="H19" s="52">
        <f t="shared" si="1"/>
        <v>0</v>
      </c>
      <c r="I19" s="53">
        <f t="shared" si="2"/>
        <v>0</v>
      </c>
    </row>
    <row r="20">
      <c r="A20" s="287" t="s">
        <v>52</v>
      </c>
      <c r="B20" s="288" t="s">
        <v>44</v>
      </c>
      <c r="C20" s="289" t="s">
        <v>233</v>
      </c>
      <c r="D20" s="290">
        <v>500.0</v>
      </c>
      <c r="E20" s="291" t="s">
        <v>41</v>
      </c>
      <c r="F20" s="84">
        <v>0.0</v>
      </c>
      <c r="G20" s="292">
        <v>500.0</v>
      </c>
      <c r="H20" s="293">
        <f t="shared" si="1"/>
        <v>0</v>
      </c>
      <c r="I20" s="294">
        <f t="shared" si="2"/>
        <v>0</v>
      </c>
    </row>
    <row r="21" ht="15.75" customHeight="1">
      <c r="A21" s="45" t="s">
        <v>52</v>
      </c>
      <c r="B21" s="107" t="s">
        <v>44</v>
      </c>
      <c r="C21" s="47"/>
      <c r="D21" s="48" t="s">
        <v>42</v>
      </c>
      <c r="E21" s="49" t="s">
        <v>41</v>
      </c>
      <c r="F21" s="85">
        <v>0.0</v>
      </c>
      <c r="G21" s="295">
        <v>1000.0</v>
      </c>
      <c r="H21" s="52">
        <f t="shared" si="1"/>
        <v>0</v>
      </c>
      <c r="I21" s="53">
        <f t="shared" si="2"/>
        <v>0</v>
      </c>
    </row>
    <row r="22" ht="15.75" customHeight="1">
      <c r="A22" s="296" t="s">
        <v>52</v>
      </c>
      <c r="B22" s="297" t="s">
        <v>44</v>
      </c>
      <c r="C22" s="298"/>
      <c r="D22" s="299" t="s">
        <v>43</v>
      </c>
      <c r="E22" s="300" t="s">
        <v>41</v>
      </c>
      <c r="F22" s="85">
        <v>0.0</v>
      </c>
      <c r="G22" s="301">
        <v>5000.0</v>
      </c>
      <c r="H22" s="302">
        <f t="shared" si="1"/>
        <v>0</v>
      </c>
      <c r="I22" s="303">
        <f t="shared" si="2"/>
        <v>0</v>
      </c>
    </row>
    <row r="23" ht="15.75" customHeight="1">
      <c r="A23" s="45" t="s">
        <v>52</v>
      </c>
      <c r="B23" s="107" t="s">
        <v>44</v>
      </c>
      <c r="C23" s="47"/>
      <c r="D23" s="304" t="s">
        <v>45</v>
      </c>
      <c r="E23" s="49" t="s">
        <v>41</v>
      </c>
      <c r="F23" s="85">
        <v>0.0</v>
      </c>
      <c r="G23" s="295">
        <v>10000.0</v>
      </c>
      <c r="H23" s="52">
        <f t="shared" si="1"/>
        <v>0</v>
      </c>
      <c r="I23" s="53">
        <f t="shared" si="2"/>
        <v>0</v>
      </c>
    </row>
    <row r="24" ht="15.75" customHeight="1">
      <c r="A24" s="296" t="s">
        <v>52</v>
      </c>
      <c r="B24" s="297" t="s">
        <v>44</v>
      </c>
      <c r="C24" s="298"/>
      <c r="D24" s="328" t="s">
        <v>46</v>
      </c>
      <c r="E24" s="300" t="s">
        <v>41</v>
      </c>
      <c r="F24" s="85">
        <v>0.0</v>
      </c>
      <c r="G24" s="301">
        <v>20000.0</v>
      </c>
      <c r="H24" s="302">
        <f t="shared" si="1"/>
        <v>0</v>
      </c>
      <c r="I24" s="303">
        <f t="shared" si="2"/>
        <v>0</v>
      </c>
    </row>
    <row r="25" ht="15.75" customHeight="1">
      <c r="A25" s="45" t="s">
        <v>52</v>
      </c>
      <c r="B25" s="46" t="s">
        <v>44</v>
      </c>
      <c r="C25" s="47"/>
      <c r="D25" s="304" t="s">
        <v>48</v>
      </c>
      <c r="E25" s="49" t="s">
        <v>41</v>
      </c>
      <c r="F25" s="85">
        <v>0.0</v>
      </c>
      <c r="G25" s="51">
        <v>30000.0</v>
      </c>
      <c r="H25" s="52">
        <f t="shared" si="1"/>
        <v>0</v>
      </c>
      <c r="I25" s="53">
        <f t="shared" si="2"/>
        <v>0</v>
      </c>
    </row>
    <row r="26" ht="15.75" customHeight="1">
      <c r="A26" s="332" t="s">
        <v>52</v>
      </c>
      <c r="B26" s="329" t="s">
        <v>44</v>
      </c>
      <c r="C26" s="316"/>
      <c r="D26" s="317" t="s">
        <v>225</v>
      </c>
      <c r="E26" s="300" t="s">
        <v>41</v>
      </c>
      <c r="F26" s="85">
        <v>0.0</v>
      </c>
      <c r="G26" s="333">
        <v>50000.0</v>
      </c>
      <c r="H26" s="302">
        <f t="shared" si="1"/>
        <v>0</v>
      </c>
      <c r="I26" s="303">
        <f t="shared" si="2"/>
        <v>0</v>
      </c>
    </row>
    <row r="27" ht="15.75" customHeight="1">
      <c r="A27" s="263" t="s">
        <v>54</v>
      </c>
      <c r="B27" s="264">
        <v>3.0</v>
      </c>
      <c r="C27" s="265" t="s">
        <v>234</v>
      </c>
      <c r="D27" s="323">
        <v>500.0</v>
      </c>
      <c r="E27" s="267" t="s">
        <v>41</v>
      </c>
      <c r="F27" s="84">
        <v>0.0</v>
      </c>
      <c r="G27" s="324">
        <v>500.0</v>
      </c>
      <c r="H27" s="325">
        <f t="shared" si="1"/>
        <v>0</v>
      </c>
      <c r="I27" s="269">
        <f t="shared" si="2"/>
        <v>0</v>
      </c>
    </row>
    <row r="28" ht="15.75" customHeight="1">
      <c r="A28" s="296" t="s">
        <v>54</v>
      </c>
      <c r="B28" s="297">
        <v>3.0</v>
      </c>
      <c r="C28" s="298"/>
      <c r="D28" s="326" t="s">
        <v>42</v>
      </c>
      <c r="E28" s="300" t="s">
        <v>41</v>
      </c>
      <c r="F28" s="85">
        <v>0.0</v>
      </c>
      <c r="G28" s="301">
        <v>1000.0</v>
      </c>
      <c r="H28" s="302">
        <f t="shared" si="1"/>
        <v>0</v>
      </c>
      <c r="I28" s="303">
        <f t="shared" si="2"/>
        <v>0</v>
      </c>
    </row>
    <row r="29" ht="15.75" customHeight="1">
      <c r="A29" s="45" t="s">
        <v>54</v>
      </c>
      <c r="B29" s="107">
        <v>3.0</v>
      </c>
      <c r="C29" s="47"/>
      <c r="D29" s="327" t="s">
        <v>43</v>
      </c>
      <c r="E29" s="49" t="s">
        <v>41</v>
      </c>
      <c r="F29" s="85">
        <v>0.0</v>
      </c>
      <c r="G29" s="295">
        <v>5000.0</v>
      </c>
      <c r="H29" s="52">
        <f t="shared" si="1"/>
        <v>0</v>
      </c>
      <c r="I29" s="53">
        <f t="shared" si="2"/>
        <v>0</v>
      </c>
    </row>
    <row r="30" ht="15.75" customHeight="1">
      <c r="A30" s="296" t="s">
        <v>54</v>
      </c>
      <c r="B30" s="297">
        <v>3.0</v>
      </c>
      <c r="C30" s="298"/>
      <c r="D30" s="328" t="s">
        <v>45</v>
      </c>
      <c r="E30" s="300" t="s">
        <v>41</v>
      </c>
      <c r="F30" s="85">
        <v>0.0</v>
      </c>
      <c r="G30" s="301">
        <v>10000.0</v>
      </c>
      <c r="H30" s="302">
        <f t="shared" si="1"/>
        <v>0</v>
      </c>
      <c r="I30" s="303">
        <f t="shared" si="2"/>
        <v>0</v>
      </c>
    </row>
    <row r="31" ht="15.75" customHeight="1">
      <c r="A31" s="45" t="s">
        <v>54</v>
      </c>
      <c r="B31" s="107">
        <v>3.0</v>
      </c>
      <c r="C31" s="47"/>
      <c r="D31" s="304" t="s">
        <v>46</v>
      </c>
      <c r="E31" s="49" t="s">
        <v>41</v>
      </c>
      <c r="F31" s="85">
        <v>0.0</v>
      </c>
      <c r="G31" s="295">
        <v>20000.0</v>
      </c>
      <c r="H31" s="52">
        <f t="shared" si="1"/>
        <v>0</v>
      </c>
      <c r="I31" s="53">
        <f t="shared" si="2"/>
        <v>0</v>
      </c>
    </row>
    <row r="32" ht="15.75" customHeight="1">
      <c r="A32" s="296" t="s">
        <v>54</v>
      </c>
      <c r="B32" s="329">
        <v>3.0</v>
      </c>
      <c r="C32" s="298"/>
      <c r="D32" s="328" t="s">
        <v>48</v>
      </c>
      <c r="E32" s="300" t="s">
        <v>41</v>
      </c>
      <c r="F32" s="85">
        <v>0.0</v>
      </c>
      <c r="G32" s="330">
        <v>30000.0</v>
      </c>
      <c r="H32" s="302">
        <f t="shared" si="1"/>
        <v>0</v>
      </c>
      <c r="I32" s="303">
        <f t="shared" si="2"/>
        <v>0</v>
      </c>
    </row>
    <row r="33" ht="15.75" customHeight="1">
      <c r="A33" s="45" t="s">
        <v>54</v>
      </c>
      <c r="B33" s="46">
        <v>3.0</v>
      </c>
      <c r="C33" s="65"/>
      <c r="D33" s="331" t="s">
        <v>225</v>
      </c>
      <c r="E33" s="49" t="s">
        <v>41</v>
      </c>
      <c r="F33" s="85">
        <v>0.0</v>
      </c>
      <c r="G33" s="69">
        <v>50000.0</v>
      </c>
      <c r="H33" s="52">
        <f t="shared" si="1"/>
        <v>0</v>
      </c>
      <c r="I33" s="53">
        <f t="shared" si="2"/>
        <v>0</v>
      </c>
    </row>
    <row r="34" ht="15.75" customHeight="1">
      <c r="A34" s="287" t="s">
        <v>56</v>
      </c>
      <c r="B34" s="288" t="s">
        <v>47</v>
      </c>
      <c r="C34" s="289" t="s">
        <v>235</v>
      </c>
      <c r="D34" s="290">
        <v>500.0</v>
      </c>
      <c r="E34" s="291" t="s">
        <v>41</v>
      </c>
      <c r="F34" s="84">
        <v>0.0</v>
      </c>
      <c r="G34" s="292">
        <v>500.0</v>
      </c>
      <c r="H34" s="293">
        <f t="shared" si="1"/>
        <v>0</v>
      </c>
      <c r="I34" s="294">
        <f t="shared" si="2"/>
        <v>0</v>
      </c>
    </row>
    <row r="35" ht="15.75" customHeight="1">
      <c r="A35" s="45" t="s">
        <v>56</v>
      </c>
      <c r="B35" s="107" t="s">
        <v>47</v>
      </c>
      <c r="C35" s="47"/>
      <c r="D35" s="48" t="s">
        <v>42</v>
      </c>
      <c r="E35" s="49" t="s">
        <v>41</v>
      </c>
      <c r="F35" s="85">
        <v>0.0</v>
      </c>
      <c r="G35" s="295">
        <v>1000.0</v>
      </c>
      <c r="H35" s="52">
        <f t="shared" si="1"/>
        <v>0</v>
      </c>
      <c r="I35" s="53">
        <f t="shared" si="2"/>
        <v>0</v>
      </c>
    </row>
    <row r="36" ht="15.75" customHeight="1">
      <c r="A36" s="233" t="s">
        <v>56</v>
      </c>
      <c r="B36" s="338" t="s">
        <v>47</v>
      </c>
      <c r="C36" s="235"/>
      <c r="D36" s="339" t="s">
        <v>43</v>
      </c>
      <c r="E36" s="340" t="s">
        <v>41</v>
      </c>
      <c r="F36" s="85">
        <v>0.0</v>
      </c>
      <c r="G36" s="341">
        <v>5000.0</v>
      </c>
      <c r="H36" s="44">
        <f t="shared" si="1"/>
        <v>0</v>
      </c>
      <c r="I36" s="239">
        <f t="shared" si="2"/>
        <v>0</v>
      </c>
    </row>
    <row r="37" ht="15.75" customHeight="1">
      <c r="A37" s="233" t="s">
        <v>56</v>
      </c>
      <c r="B37" s="338" t="s">
        <v>47</v>
      </c>
      <c r="C37" s="235"/>
      <c r="D37" s="342" t="s">
        <v>45</v>
      </c>
      <c r="E37" s="340" t="s">
        <v>41</v>
      </c>
      <c r="F37" s="85">
        <v>0.0</v>
      </c>
      <c r="G37" s="341">
        <v>10000.0</v>
      </c>
      <c r="H37" s="44">
        <f t="shared" si="1"/>
        <v>0</v>
      </c>
      <c r="I37" s="239">
        <f t="shared" si="2"/>
        <v>0</v>
      </c>
    </row>
    <row r="38" ht="15.75" customHeight="1">
      <c r="A38" s="233" t="s">
        <v>56</v>
      </c>
      <c r="B38" s="338" t="s">
        <v>47</v>
      </c>
      <c r="C38" s="235"/>
      <c r="D38" s="342" t="s">
        <v>46</v>
      </c>
      <c r="E38" s="340" t="s">
        <v>41</v>
      </c>
      <c r="F38" s="85">
        <v>0.0</v>
      </c>
      <c r="G38" s="341">
        <v>20000.0</v>
      </c>
      <c r="H38" s="44">
        <f t="shared" si="1"/>
        <v>0</v>
      </c>
      <c r="I38" s="239">
        <f t="shared" si="2"/>
        <v>0</v>
      </c>
    </row>
    <row r="39" ht="15.75" customHeight="1">
      <c r="A39" s="233" t="s">
        <v>56</v>
      </c>
      <c r="B39" s="234" t="s">
        <v>47</v>
      </c>
      <c r="C39" s="235"/>
      <c r="D39" s="342" t="s">
        <v>48</v>
      </c>
      <c r="E39" s="340" t="s">
        <v>41</v>
      </c>
      <c r="F39" s="85">
        <v>0.0</v>
      </c>
      <c r="G39" s="343">
        <v>30000.0</v>
      </c>
      <c r="H39" s="44">
        <f t="shared" si="1"/>
        <v>0</v>
      </c>
      <c r="I39" s="239">
        <f t="shared" si="2"/>
        <v>0</v>
      </c>
    </row>
    <row r="40" ht="15.75" customHeight="1">
      <c r="A40" s="240" t="s">
        <v>56</v>
      </c>
      <c r="B40" s="241" t="s">
        <v>47</v>
      </c>
      <c r="C40" s="242"/>
      <c r="D40" s="344" t="s">
        <v>225</v>
      </c>
      <c r="E40" s="345" t="s">
        <v>41</v>
      </c>
      <c r="F40" s="86">
        <v>0.0</v>
      </c>
      <c r="G40" s="346">
        <v>50000.0</v>
      </c>
      <c r="H40" s="246">
        <f t="shared" si="1"/>
        <v>0</v>
      </c>
      <c r="I40" s="247">
        <f t="shared" si="2"/>
        <v>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F4"/>
    <mergeCell ref="G4:I4"/>
    <mergeCell ref="C6:C12"/>
    <mergeCell ref="C13:C19"/>
    <mergeCell ref="C20:C26"/>
    <mergeCell ref="C27:C33"/>
    <mergeCell ref="C34:C40"/>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13"/>
    <col customWidth="1" min="3" max="3" width="24.5"/>
    <col customWidth="1" min="4" max="4" width="16.75"/>
    <col customWidth="1" min="5" max="6" width="8.63"/>
    <col customWidth="1" min="7" max="7" width="13.0"/>
    <col customWidth="1" min="8" max="8" width="18.75"/>
    <col customWidth="1" min="9" max="9" width="17.25"/>
    <col customWidth="1" min="10" max="10" width="10.25"/>
    <col customWidth="1" min="11" max="11" width="42.88"/>
    <col customWidth="1" min="12" max="12" width="12.38"/>
    <col customWidth="1" min="13" max="13" width="10.63"/>
    <col customWidth="1" min="14" max="14" width="12.13"/>
    <col customWidth="1" min="15" max="15" width="24.5"/>
    <col customWidth="1" min="16" max="16" width="16.75"/>
    <col customWidth="1" min="17" max="18" width="8.63"/>
    <col customWidth="1" min="19" max="19" width="13.0"/>
    <col customWidth="1" min="20" max="20" width="17.13"/>
    <col customWidth="1" min="21" max="21" width="17.25"/>
    <col customWidth="1" min="22" max="22" width="10.25"/>
    <col customWidth="1" min="23" max="23" width="37.5"/>
    <col customWidth="1" min="24" max="24" width="9.5"/>
    <col customWidth="1" min="25" max="25" width="10.63"/>
    <col customWidth="1" min="26" max="26" width="12.13"/>
    <col customWidth="1" min="27" max="27" width="24.5"/>
    <col customWidth="1" min="28" max="28" width="16.75"/>
    <col customWidth="1" min="29" max="30" width="8.63"/>
    <col customWidth="1" min="31" max="31" width="13.0"/>
    <col customWidth="1" min="32" max="32" width="17.13"/>
    <col customWidth="1" min="33" max="33" width="17.25"/>
    <col customWidth="1" min="34" max="34" width="10.25"/>
    <col customWidth="1" min="35" max="35" width="37.5"/>
    <col customWidth="1" min="36" max="36" width="11.5"/>
    <col customWidth="1" min="37" max="37" width="10.63"/>
    <col customWidth="1" min="38" max="38" width="12.13"/>
    <col customWidth="1" min="39" max="39" width="24.5"/>
    <col customWidth="1" min="40" max="40" width="16.75"/>
    <col customWidth="1" min="41" max="42" width="8.63"/>
    <col customWidth="1" min="43" max="43" width="13.0"/>
    <col customWidth="1" min="44" max="44" width="17.13"/>
    <col customWidth="1" min="45" max="45" width="17.25"/>
    <col customWidth="1" min="46" max="46" width="10.25"/>
    <col customWidth="1" min="47" max="47" width="37.5"/>
    <col customWidth="1" min="48" max="48" width="11.75"/>
  </cols>
  <sheetData>
    <row r="1">
      <c r="A1" s="19" t="s">
        <v>236</v>
      </c>
      <c r="B1" s="164"/>
      <c r="C1" s="164"/>
      <c r="N1" s="164"/>
      <c r="O1" s="164"/>
      <c r="Z1" s="164"/>
      <c r="AA1" s="164"/>
      <c r="AL1" s="164"/>
      <c r="AM1" s="164"/>
    </row>
    <row r="2">
      <c r="A2" s="20" t="s">
        <v>24</v>
      </c>
      <c r="B2" s="164"/>
      <c r="C2" s="164"/>
      <c r="N2" s="164"/>
      <c r="O2" s="164"/>
      <c r="Z2" s="164"/>
      <c r="AA2" s="164"/>
      <c r="AL2" s="164"/>
      <c r="AM2" s="164"/>
    </row>
    <row r="3">
      <c r="A3" s="20" t="s">
        <v>237</v>
      </c>
      <c r="B3" s="164"/>
      <c r="C3" s="164"/>
      <c r="M3" s="19"/>
      <c r="N3" s="164"/>
      <c r="O3" s="164"/>
      <c r="Y3" s="19"/>
      <c r="Z3" s="164"/>
      <c r="AA3" s="164"/>
      <c r="AK3" s="19"/>
      <c r="AL3" s="164"/>
      <c r="AM3" s="164"/>
    </row>
    <row r="4" ht="19.5" customHeight="1">
      <c r="A4" s="347" t="s">
        <v>238</v>
      </c>
      <c r="B4" s="89"/>
      <c r="C4" s="89"/>
      <c r="D4" s="89"/>
      <c r="E4" s="89"/>
      <c r="F4" s="90"/>
      <c r="G4" s="226" t="s">
        <v>239</v>
      </c>
      <c r="H4" s="89"/>
      <c r="I4" s="92"/>
      <c r="J4" s="348"/>
      <c r="K4" s="348"/>
      <c r="L4" s="277"/>
      <c r="M4" s="349" t="s">
        <v>240</v>
      </c>
      <c r="N4" s="350"/>
      <c r="O4" s="350"/>
      <c r="P4" s="350"/>
      <c r="Q4" s="350"/>
      <c r="R4" s="351"/>
      <c r="S4" s="352" t="s">
        <v>239</v>
      </c>
      <c r="T4" s="350"/>
      <c r="U4" s="353"/>
      <c r="V4" s="348"/>
      <c r="W4" s="348"/>
      <c r="X4" s="348"/>
      <c r="Y4" s="354" t="s">
        <v>241</v>
      </c>
      <c r="Z4" s="166"/>
      <c r="AA4" s="166"/>
      <c r="AB4" s="166"/>
      <c r="AC4" s="166"/>
      <c r="AD4" s="167"/>
      <c r="AE4" s="355" t="s">
        <v>239</v>
      </c>
      <c r="AF4" s="166"/>
      <c r="AG4" s="169"/>
      <c r="AH4" s="348"/>
      <c r="AI4" s="348"/>
      <c r="AJ4" s="348"/>
      <c r="AK4" s="356" t="s">
        <v>242</v>
      </c>
      <c r="AL4" s="22"/>
      <c r="AM4" s="22"/>
      <c r="AN4" s="22"/>
      <c r="AO4" s="22"/>
      <c r="AP4" s="23"/>
      <c r="AQ4" s="248" t="s">
        <v>239</v>
      </c>
      <c r="AR4" s="22"/>
      <c r="AS4" s="25"/>
      <c r="AT4" s="348"/>
      <c r="AU4" s="348"/>
      <c r="AV4" s="348"/>
    </row>
    <row r="5">
      <c r="A5" s="170" t="s">
        <v>243</v>
      </c>
      <c r="B5" s="94" t="s">
        <v>29</v>
      </c>
      <c r="C5" s="95" t="s">
        <v>30</v>
      </c>
      <c r="D5" s="215" t="s">
        <v>168</v>
      </c>
      <c r="E5" s="67" t="s">
        <v>32</v>
      </c>
      <c r="F5" s="95" t="s">
        <v>33</v>
      </c>
      <c r="G5" s="94" t="s">
        <v>34</v>
      </c>
      <c r="H5" s="94" t="s">
        <v>35</v>
      </c>
      <c r="I5" s="357" t="s">
        <v>36</v>
      </c>
      <c r="J5" s="358" t="s">
        <v>37</v>
      </c>
      <c r="K5" s="43" t="s">
        <v>244</v>
      </c>
      <c r="L5" s="359"/>
      <c r="M5" s="170" t="s">
        <v>243</v>
      </c>
      <c r="N5" s="94" t="s">
        <v>29</v>
      </c>
      <c r="O5" s="95" t="s">
        <v>30</v>
      </c>
      <c r="P5" s="215" t="s">
        <v>168</v>
      </c>
      <c r="Q5" s="67" t="s">
        <v>32</v>
      </c>
      <c r="R5" s="95" t="s">
        <v>33</v>
      </c>
      <c r="S5" s="94" t="s">
        <v>34</v>
      </c>
      <c r="T5" s="94" t="s">
        <v>35</v>
      </c>
      <c r="U5" s="357" t="s">
        <v>36</v>
      </c>
      <c r="V5" s="358" t="s">
        <v>37</v>
      </c>
      <c r="W5" s="43" t="s">
        <v>245</v>
      </c>
      <c r="X5" s="360"/>
      <c r="Y5" s="170" t="s">
        <v>243</v>
      </c>
      <c r="Z5" s="94" t="s">
        <v>29</v>
      </c>
      <c r="AA5" s="95" t="s">
        <v>30</v>
      </c>
      <c r="AB5" s="215" t="s">
        <v>168</v>
      </c>
      <c r="AC5" s="67" t="s">
        <v>32</v>
      </c>
      <c r="AD5" s="95" t="s">
        <v>33</v>
      </c>
      <c r="AE5" s="94" t="s">
        <v>34</v>
      </c>
      <c r="AF5" s="94" t="s">
        <v>35</v>
      </c>
      <c r="AG5" s="357" t="s">
        <v>36</v>
      </c>
      <c r="AH5" s="358" t="s">
        <v>37</v>
      </c>
      <c r="AI5" s="43" t="s">
        <v>246</v>
      </c>
      <c r="AJ5" s="360"/>
      <c r="AK5" s="170" t="s">
        <v>243</v>
      </c>
      <c r="AL5" s="94" t="s">
        <v>29</v>
      </c>
      <c r="AM5" s="95" t="s">
        <v>30</v>
      </c>
      <c r="AN5" s="215" t="s">
        <v>168</v>
      </c>
      <c r="AO5" s="67" t="s">
        <v>32</v>
      </c>
      <c r="AP5" s="95" t="s">
        <v>33</v>
      </c>
      <c r="AQ5" s="94" t="s">
        <v>34</v>
      </c>
      <c r="AR5" s="94" t="s">
        <v>35</v>
      </c>
      <c r="AS5" s="357" t="s">
        <v>36</v>
      </c>
      <c r="AT5" s="358" t="s">
        <v>37</v>
      </c>
      <c r="AU5" s="43" t="s">
        <v>247</v>
      </c>
      <c r="AV5" s="360"/>
    </row>
    <row r="6" ht="15.75" customHeight="1">
      <c r="A6" s="99" t="s">
        <v>39</v>
      </c>
      <c r="B6" s="227">
        <v>1.0</v>
      </c>
      <c r="C6" s="228" t="s">
        <v>248</v>
      </c>
      <c r="D6" s="229" t="s">
        <v>171</v>
      </c>
      <c r="E6" s="102" t="s">
        <v>172</v>
      </c>
      <c r="F6" s="361">
        <v>0.0</v>
      </c>
      <c r="G6" s="230">
        <v>10000.0</v>
      </c>
      <c r="H6" s="362">
        <f t="shared" ref="H6:H35" si="1">F6*G6</f>
        <v>0</v>
      </c>
      <c r="I6" s="363">
        <f t="shared" ref="I6:I35" si="2">H6*365</f>
        <v>0</v>
      </c>
      <c r="J6" s="358">
        <v>1.0</v>
      </c>
      <c r="K6" s="44">
        <f>sum(I6:I11)</f>
        <v>0</v>
      </c>
      <c r="L6" s="281"/>
      <c r="M6" s="364" t="s">
        <v>39</v>
      </c>
      <c r="N6" s="365">
        <v>1.0</v>
      </c>
      <c r="O6" s="366" t="s">
        <v>249</v>
      </c>
      <c r="P6" s="367" t="s">
        <v>171</v>
      </c>
      <c r="Q6" s="368" t="s">
        <v>172</v>
      </c>
      <c r="R6" s="369">
        <v>0.0</v>
      </c>
      <c r="S6" s="370">
        <v>10000.0</v>
      </c>
      <c r="T6" s="371">
        <f t="shared" ref="T6:T35" si="3">R6*S6</f>
        <v>0</v>
      </c>
      <c r="U6" s="372">
        <f t="shared" ref="U6:U35" si="4">T6*365</f>
        <v>0</v>
      </c>
      <c r="V6" s="358">
        <v>1.0</v>
      </c>
      <c r="W6" s="44">
        <f>sum(U6:U11)</f>
        <v>0</v>
      </c>
      <c r="X6" s="163"/>
      <c r="Y6" s="175" t="s">
        <v>39</v>
      </c>
      <c r="Z6" s="176">
        <v>1.0</v>
      </c>
      <c r="AA6" s="373" t="s">
        <v>250</v>
      </c>
      <c r="AB6" s="374" t="s">
        <v>171</v>
      </c>
      <c r="AC6" s="178" t="s">
        <v>172</v>
      </c>
      <c r="AD6" s="375">
        <v>0.0</v>
      </c>
      <c r="AE6" s="376">
        <v>10000.0</v>
      </c>
      <c r="AF6" s="377">
        <f t="shared" ref="AF6:AF35" si="5">AD6*AE6</f>
        <v>0</v>
      </c>
      <c r="AG6" s="378">
        <f t="shared" ref="AG6:AG35" si="6">AF6*365</f>
        <v>0</v>
      </c>
      <c r="AH6" s="358">
        <v>1.0</v>
      </c>
      <c r="AI6" s="44">
        <f>sum(AG6:AG11)</f>
        <v>0</v>
      </c>
      <c r="AJ6" s="163"/>
      <c r="AK6" s="34" t="s">
        <v>39</v>
      </c>
      <c r="AL6" s="35">
        <v>1.0</v>
      </c>
      <c r="AM6" s="379" t="s">
        <v>251</v>
      </c>
      <c r="AN6" s="380" t="s">
        <v>171</v>
      </c>
      <c r="AO6" s="37" t="s">
        <v>172</v>
      </c>
      <c r="AP6" s="381">
        <v>0.0</v>
      </c>
      <c r="AQ6" s="382">
        <v>10000.0</v>
      </c>
      <c r="AR6" s="383">
        <f t="shared" ref="AR6:AR35" si="7">AP6*AQ6</f>
        <v>0</v>
      </c>
      <c r="AS6" s="384">
        <f t="shared" ref="AS6:AS35" si="8">AR6*365</f>
        <v>0</v>
      </c>
      <c r="AT6" s="358">
        <v>1.0</v>
      </c>
      <c r="AU6" s="44">
        <f>sum(AS6:AS11)</f>
        <v>0</v>
      </c>
      <c r="AV6" s="163"/>
    </row>
    <row r="7">
      <c r="A7" s="45" t="s">
        <v>39</v>
      </c>
      <c r="B7" s="46">
        <v>1.0</v>
      </c>
      <c r="C7" s="47"/>
      <c r="D7" s="183" t="s">
        <v>252</v>
      </c>
      <c r="E7" s="183" t="s">
        <v>172</v>
      </c>
      <c r="F7" s="385">
        <v>0.0</v>
      </c>
      <c r="G7" s="221">
        <v>50000.0</v>
      </c>
      <c r="H7" s="386">
        <f t="shared" si="1"/>
        <v>0</v>
      </c>
      <c r="I7" s="387">
        <f t="shared" si="2"/>
        <v>0</v>
      </c>
      <c r="J7" s="358">
        <v>2.0</v>
      </c>
      <c r="K7" s="44">
        <f>sum(I12:I17)</f>
        <v>0</v>
      </c>
      <c r="L7" s="281"/>
      <c r="M7" s="45" t="s">
        <v>39</v>
      </c>
      <c r="N7" s="46">
        <v>1.0</v>
      </c>
      <c r="O7" s="47"/>
      <c r="P7" s="183" t="s">
        <v>252</v>
      </c>
      <c r="Q7" s="183" t="s">
        <v>172</v>
      </c>
      <c r="R7" s="385">
        <v>0.0</v>
      </c>
      <c r="S7" s="221">
        <v>50000.0</v>
      </c>
      <c r="T7" s="386">
        <f t="shared" si="3"/>
        <v>0</v>
      </c>
      <c r="U7" s="387">
        <f t="shared" si="4"/>
        <v>0</v>
      </c>
      <c r="V7" s="358">
        <v>2.0</v>
      </c>
      <c r="W7" s="44">
        <f>sum(U12:U17)</f>
        <v>0</v>
      </c>
      <c r="X7" s="163"/>
      <c r="Y7" s="45" t="s">
        <v>39</v>
      </c>
      <c r="Z7" s="46">
        <v>1.0</v>
      </c>
      <c r="AA7" s="47"/>
      <c r="AB7" s="183" t="s">
        <v>252</v>
      </c>
      <c r="AC7" s="183" t="s">
        <v>172</v>
      </c>
      <c r="AD7" s="385">
        <v>0.0</v>
      </c>
      <c r="AE7" s="221">
        <v>50000.0</v>
      </c>
      <c r="AF7" s="386">
        <f t="shared" si="5"/>
        <v>0</v>
      </c>
      <c r="AG7" s="387">
        <f t="shared" si="6"/>
        <v>0</v>
      </c>
      <c r="AH7" s="358">
        <v>2.0</v>
      </c>
      <c r="AI7" s="44">
        <f>sum(AG12:AG17)</f>
        <v>0</v>
      </c>
      <c r="AJ7" s="163"/>
      <c r="AK7" s="45" t="s">
        <v>39</v>
      </c>
      <c r="AL7" s="46">
        <v>1.0</v>
      </c>
      <c r="AM7" s="47"/>
      <c r="AN7" s="183" t="s">
        <v>252</v>
      </c>
      <c r="AO7" s="183" t="s">
        <v>172</v>
      </c>
      <c r="AP7" s="385">
        <v>0.0</v>
      </c>
      <c r="AQ7" s="221">
        <v>50000.0</v>
      </c>
      <c r="AR7" s="386">
        <f t="shared" si="7"/>
        <v>0</v>
      </c>
      <c r="AS7" s="387">
        <f t="shared" si="8"/>
        <v>0</v>
      </c>
      <c r="AT7" s="358">
        <v>2.0</v>
      </c>
      <c r="AU7" s="44">
        <f>sum(AS12:AS17)</f>
        <v>0</v>
      </c>
      <c r="AV7" s="163"/>
    </row>
    <row r="8">
      <c r="A8" s="108" t="s">
        <v>39</v>
      </c>
      <c r="B8" s="231">
        <v>1.0</v>
      </c>
      <c r="C8" s="110"/>
      <c r="D8" s="116" t="s">
        <v>253</v>
      </c>
      <c r="E8" s="111" t="s">
        <v>172</v>
      </c>
      <c r="F8" s="388">
        <v>0.0</v>
      </c>
      <c r="G8" s="232">
        <v>100000.0</v>
      </c>
      <c r="H8" s="389">
        <f t="shared" si="1"/>
        <v>0</v>
      </c>
      <c r="I8" s="390">
        <f t="shared" si="2"/>
        <v>0</v>
      </c>
      <c r="J8" s="358" t="s">
        <v>44</v>
      </c>
      <c r="K8" s="44">
        <f>sum(I18:I23)</f>
        <v>0</v>
      </c>
      <c r="L8" s="281"/>
      <c r="M8" s="391" t="s">
        <v>39</v>
      </c>
      <c r="N8" s="392">
        <v>1.0</v>
      </c>
      <c r="O8" s="393"/>
      <c r="P8" s="394" t="s">
        <v>253</v>
      </c>
      <c r="Q8" s="395" t="s">
        <v>172</v>
      </c>
      <c r="R8" s="396">
        <v>0.0</v>
      </c>
      <c r="S8" s="397">
        <v>100000.0</v>
      </c>
      <c r="T8" s="398">
        <f t="shared" si="3"/>
        <v>0</v>
      </c>
      <c r="U8" s="399">
        <f t="shared" si="4"/>
        <v>0</v>
      </c>
      <c r="V8" s="358" t="s">
        <v>44</v>
      </c>
      <c r="W8" s="44">
        <f>sum(U18:U23)</f>
        <v>0</v>
      </c>
      <c r="X8" s="163"/>
      <c r="Y8" s="184" t="s">
        <v>39</v>
      </c>
      <c r="Z8" s="185">
        <v>1.0</v>
      </c>
      <c r="AA8" s="186"/>
      <c r="AB8" s="187" t="s">
        <v>253</v>
      </c>
      <c r="AC8" s="400" t="s">
        <v>172</v>
      </c>
      <c r="AD8" s="401">
        <v>0.0</v>
      </c>
      <c r="AE8" s="402">
        <v>100000.0</v>
      </c>
      <c r="AF8" s="403">
        <f t="shared" si="5"/>
        <v>0</v>
      </c>
      <c r="AG8" s="404">
        <f t="shared" si="6"/>
        <v>0</v>
      </c>
      <c r="AH8" s="358" t="s">
        <v>44</v>
      </c>
      <c r="AI8" s="44">
        <f>sum(AG18:AG23)</f>
        <v>0</v>
      </c>
      <c r="AJ8" s="163"/>
      <c r="AK8" s="54" t="s">
        <v>39</v>
      </c>
      <c r="AL8" s="55">
        <v>1.0</v>
      </c>
      <c r="AM8" s="56"/>
      <c r="AN8" s="62" t="s">
        <v>253</v>
      </c>
      <c r="AO8" s="57" t="s">
        <v>172</v>
      </c>
      <c r="AP8" s="405">
        <v>0.0</v>
      </c>
      <c r="AQ8" s="406">
        <v>100000.0</v>
      </c>
      <c r="AR8" s="407">
        <f t="shared" si="7"/>
        <v>0</v>
      </c>
      <c r="AS8" s="408">
        <f t="shared" si="8"/>
        <v>0</v>
      </c>
      <c r="AT8" s="358" t="s">
        <v>44</v>
      </c>
      <c r="AU8" s="44">
        <f>sum(AS18:AS23)</f>
        <v>0</v>
      </c>
      <c r="AV8" s="163"/>
    </row>
    <row r="9">
      <c r="A9" s="45" t="s">
        <v>39</v>
      </c>
      <c r="B9" s="46">
        <v>1.0</v>
      </c>
      <c r="C9" s="47"/>
      <c r="D9" s="48" t="s">
        <v>173</v>
      </c>
      <c r="E9" s="183" t="s">
        <v>172</v>
      </c>
      <c r="F9" s="385">
        <v>0.0</v>
      </c>
      <c r="G9" s="221">
        <v>500000.0</v>
      </c>
      <c r="H9" s="386">
        <f t="shared" si="1"/>
        <v>0</v>
      </c>
      <c r="I9" s="387">
        <f t="shared" si="2"/>
        <v>0</v>
      </c>
      <c r="J9" s="358">
        <v>3.0</v>
      </c>
      <c r="K9" s="44">
        <f>sum(I24:I29)</f>
        <v>0</v>
      </c>
      <c r="L9" s="281"/>
      <c r="M9" s="45" t="s">
        <v>39</v>
      </c>
      <c r="N9" s="46">
        <v>1.0</v>
      </c>
      <c r="O9" s="47"/>
      <c r="P9" s="48" t="s">
        <v>173</v>
      </c>
      <c r="Q9" s="183" t="s">
        <v>172</v>
      </c>
      <c r="R9" s="385">
        <v>0.0</v>
      </c>
      <c r="S9" s="221">
        <v>500000.0</v>
      </c>
      <c r="T9" s="386">
        <f t="shared" si="3"/>
        <v>0</v>
      </c>
      <c r="U9" s="387">
        <f t="shared" si="4"/>
        <v>0</v>
      </c>
      <c r="V9" s="358">
        <v>3.0</v>
      </c>
      <c r="W9" s="44">
        <f>sum(U24:U29)</f>
        <v>0</v>
      </c>
      <c r="X9" s="163"/>
      <c r="Y9" s="45" t="s">
        <v>39</v>
      </c>
      <c r="Z9" s="46">
        <v>1.0</v>
      </c>
      <c r="AA9" s="47"/>
      <c r="AB9" s="48" t="s">
        <v>173</v>
      </c>
      <c r="AC9" s="183" t="s">
        <v>172</v>
      </c>
      <c r="AD9" s="385">
        <v>0.0</v>
      </c>
      <c r="AE9" s="221">
        <v>500000.0</v>
      </c>
      <c r="AF9" s="386">
        <f t="shared" si="5"/>
        <v>0</v>
      </c>
      <c r="AG9" s="387">
        <f t="shared" si="6"/>
        <v>0</v>
      </c>
      <c r="AH9" s="358">
        <v>3.0</v>
      </c>
      <c r="AI9" s="44">
        <f>sum(AG24:AG29)</f>
        <v>0</v>
      </c>
      <c r="AJ9" s="163"/>
      <c r="AK9" s="45" t="s">
        <v>39</v>
      </c>
      <c r="AL9" s="46">
        <v>1.0</v>
      </c>
      <c r="AM9" s="47"/>
      <c r="AN9" s="48" t="s">
        <v>173</v>
      </c>
      <c r="AO9" s="183" t="s">
        <v>172</v>
      </c>
      <c r="AP9" s="385">
        <v>0.0</v>
      </c>
      <c r="AQ9" s="221">
        <v>500000.0</v>
      </c>
      <c r="AR9" s="386">
        <f t="shared" si="7"/>
        <v>0</v>
      </c>
      <c r="AS9" s="387">
        <f t="shared" si="8"/>
        <v>0</v>
      </c>
      <c r="AT9" s="358">
        <v>3.0</v>
      </c>
      <c r="AU9" s="44">
        <f>sum(AS24:AS29)</f>
        <v>0</v>
      </c>
      <c r="AV9" s="163"/>
    </row>
    <row r="10">
      <c r="A10" s="108" t="s">
        <v>39</v>
      </c>
      <c r="B10" s="231">
        <v>1.0</v>
      </c>
      <c r="C10" s="110"/>
      <c r="D10" s="116" t="s">
        <v>174</v>
      </c>
      <c r="E10" s="111" t="s">
        <v>172</v>
      </c>
      <c r="F10" s="388">
        <v>0.0</v>
      </c>
      <c r="G10" s="232">
        <v>1000000.0</v>
      </c>
      <c r="H10" s="389">
        <f t="shared" si="1"/>
        <v>0</v>
      </c>
      <c r="I10" s="390">
        <f t="shared" si="2"/>
        <v>0</v>
      </c>
      <c r="J10" s="358" t="s">
        <v>47</v>
      </c>
      <c r="K10" s="44">
        <f>sum(I30:I35)</f>
        <v>0</v>
      </c>
      <c r="L10" s="281"/>
      <c r="M10" s="391" t="s">
        <v>39</v>
      </c>
      <c r="N10" s="392">
        <v>1.0</v>
      </c>
      <c r="O10" s="393"/>
      <c r="P10" s="394" t="s">
        <v>174</v>
      </c>
      <c r="Q10" s="395" t="s">
        <v>172</v>
      </c>
      <c r="R10" s="396">
        <v>0.0</v>
      </c>
      <c r="S10" s="397">
        <v>1000000.0</v>
      </c>
      <c r="T10" s="398">
        <f t="shared" si="3"/>
        <v>0</v>
      </c>
      <c r="U10" s="399">
        <f t="shared" si="4"/>
        <v>0</v>
      </c>
      <c r="V10" s="358" t="s">
        <v>47</v>
      </c>
      <c r="W10" s="44">
        <f>sum(U30:U35)</f>
        <v>0</v>
      </c>
      <c r="X10" s="163"/>
      <c r="Y10" s="184" t="s">
        <v>39</v>
      </c>
      <c r="Z10" s="185">
        <v>1.0</v>
      </c>
      <c r="AA10" s="186"/>
      <c r="AB10" s="187" t="s">
        <v>174</v>
      </c>
      <c r="AC10" s="400" t="s">
        <v>172</v>
      </c>
      <c r="AD10" s="401">
        <v>0.0</v>
      </c>
      <c r="AE10" s="402">
        <v>1000000.0</v>
      </c>
      <c r="AF10" s="403">
        <f t="shared" si="5"/>
        <v>0</v>
      </c>
      <c r="AG10" s="404">
        <f t="shared" si="6"/>
        <v>0</v>
      </c>
      <c r="AH10" s="358" t="s">
        <v>47</v>
      </c>
      <c r="AI10" s="44">
        <f>sum(AG30:AG35)</f>
        <v>0</v>
      </c>
      <c r="AJ10" s="163"/>
      <c r="AK10" s="54" t="s">
        <v>39</v>
      </c>
      <c r="AL10" s="55">
        <v>1.0</v>
      </c>
      <c r="AM10" s="56"/>
      <c r="AN10" s="62" t="s">
        <v>174</v>
      </c>
      <c r="AO10" s="57" t="s">
        <v>172</v>
      </c>
      <c r="AP10" s="405">
        <v>0.0</v>
      </c>
      <c r="AQ10" s="406">
        <v>1000000.0</v>
      </c>
      <c r="AR10" s="407">
        <f t="shared" si="7"/>
        <v>0</v>
      </c>
      <c r="AS10" s="408">
        <f t="shared" si="8"/>
        <v>0</v>
      </c>
      <c r="AT10" s="358" t="s">
        <v>47</v>
      </c>
      <c r="AU10" s="44">
        <f>sum(AS30:AS35)</f>
        <v>0</v>
      </c>
      <c r="AV10" s="163"/>
    </row>
    <row r="11">
      <c r="A11" s="63" t="s">
        <v>39</v>
      </c>
      <c r="B11" s="64">
        <v>1.0</v>
      </c>
      <c r="C11" s="65"/>
      <c r="D11" s="66" t="s">
        <v>175</v>
      </c>
      <c r="E11" s="215" t="s">
        <v>172</v>
      </c>
      <c r="F11" s="409">
        <v>0.0</v>
      </c>
      <c r="G11" s="225">
        <v>5000000.0</v>
      </c>
      <c r="H11" s="410">
        <f t="shared" si="1"/>
        <v>0</v>
      </c>
      <c r="I11" s="411">
        <f t="shared" si="2"/>
        <v>0</v>
      </c>
      <c r="J11" s="412" t="s">
        <v>254</v>
      </c>
      <c r="K11" s="413">
        <f>sum(K6:K10)</f>
        <v>0</v>
      </c>
      <c r="L11" s="281"/>
      <c r="M11" s="63" t="s">
        <v>39</v>
      </c>
      <c r="N11" s="64">
        <v>1.0</v>
      </c>
      <c r="O11" s="65"/>
      <c r="P11" s="66" t="s">
        <v>175</v>
      </c>
      <c r="Q11" s="215" t="s">
        <v>172</v>
      </c>
      <c r="R11" s="409">
        <v>0.0</v>
      </c>
      <c r="S11" s="225">
        <v>5000000.0</v>
      </c>
      <c r="T11" s="410">
        <f t="shared" si="3"/>
        <v>0</v>
      </c>
      <c r="U11" s="411">
        <f t="shared" si="4"/>
        <v>0</v>
      </c>
      <c r="V11" s="412" t="s">
        <v>254</v>
      </c>
      <c r="W11" s="413">
        <f>sum(W6:W10)</f>
        <v>0</v>
      </c>
      <c r="X11" s="414"/>
      <c r="Y11" s="63" t="s">
        <v>39</v>
      </c>
      <c r="Z11" s="64">
        <v>1.0</v>
      </c>
      <c r="AA11" s="65"/>
      <c r="AB11" s="66" t="s">
        <v>175</v>
      </c>
      <c r="AC11" s="215" t="s">
        <v>172</v>
      </c>
      <c r="AD11" s="409">
        <v>0.0</v>
      </c>
      <c r="AE11" s="225">
        <v>5000000.0</v>
      </c>
      <c r="AF11" s="410">
        <f t="shared" si="5"/>
        <v>0</v>
      </c>
      <c r="AG11" s="411">
        <f t="shared" si="6"/>
        <v>0</v>
      </c>
      <c r="AH11" s="412" t="s">
        <v>254</v>
      </c>
      <c r="AI11" s="413">
        <f>sum(AI6:AI10)</f>
        <v>0</v>
      </c>
      <c r="AJ11" s="414"/>
      <c r="AK11" s="63" t="s">
        <v>39</v>
      </c>
      <c r="AL11" s="64">
        <v>1.0</v>
      </c>
      <c r="AM11" s="65"/>
      <c r="AN11" s="66" t="s">
        <v>175</v>
      </c>
      <c r="AO11" s="215" t="s">
        <v>172</v>
      </c>
      <c r="AP11" s="409">
        <v>0.0</v>
      </c>
      <c r="AQ11" s="225">
        <v>5000000.0</v>
      </c>
      <c r="AR11" s="410">
        <f t="shared" si="7"/>
        <v>0</v>
      </c>
      <c r="AS11" s="411">
        <f t="shared" si="8"/>
        <v>0</v>
      </c>
      <c r="AT11" s="412" t="s">
        <v>254</v>
      </c>
      <c r="AU11" s="413">
        <f>sum(AU6:AU10)</f>
        <v>0</v>
      </c>
      <c r="AV11" s="414"/>
    </row>
    <row r="12" ht="15.75" customHeight="1">
      <c r="A12" s="99" t="s">
        <v>50</v>
      </c>
      <c r="B12" s="227">
        <v>2.0</v>
      </c>
      <c r="C12" s="228" t="s">
        <v>255</v>
      </c>
      <c r="D12" s="229" t="s">
        <v>171</v>
      </c>
      <c r="E12" s="102" t="s">
        <v>172</v>
      </c>
      <c r="F12" s="361">
        <v>0.0</v>
      </c>
      <c r="G12" s="230">
        <v>10000.0</v>
      </c>
      <c r="H12" s="362">
        <f t="shared" si="1"/>
        <v>0</v>
      </c>
      <c r="I12" s="363">
        <f t="shared" si="2"/>
        <v>0</v>
      </c>
      <c r="J12" s="415"/>
      <c r="K12" s="415"/>
      <c r="L12" s="281"/>
      <c r="M12" s="364" t="s">
        <v>50</v>
      </c>
      <c r="N12" s="365">
        <v>2.0</v>
      </c>
      <c r="O12" s="366" t="s">
        <v>256</v>
      </c>
      <c r="P12" s="367" t="s">
        <v>171</v>
      </c>
      <c r="Q12" s="368" t="s">
        <v>172</v>
      </c>
      <c r="R12" s="369">
        <v>0.0</v>
      </c>
      <c r="S12" s="370">
        <v>10000.0</v>
      </c>
      <c r="T12" s="371">
        <f t="shared" si="3"/>
        <v>0</v>
      </c>
      <c r="U12" s="372">
        <f t="shared" si="4"/>
        <v>0</v>
      </c>
      <c r="V12" s="415"/>
      <c r="W12" s="415"/>
      <c r="X12" s="415"/>
      <c r="Y12" s="175" t="s">
        <v>50</v>
      </c>
      <c r="Z12" s="176">
        <v>2.0</v>
      </c>
      <c r="AA12" s="373" t="s">
        <v>257</v>
      </c>
      <c r="AB12" s="374" t="s">
        <v>171</v>
      </c>
      <c r="AC12" s="178" t="s">
        <v>172</v>
      </c>
      <c r="AD12" s="375">
        <v>0.0</v>
      </c>
      <c r="AE12" s="376">
        <v>10000.0</v>
      </c>
      <c r="AF12" s="377">
        <f t="shared" si="5"/>
        <v>0</v>
      </c>
      <c r="AG12" s="378">
        <f t="shared" si="6"/>
        <v>0</v>
      </c>
      <c r="AH12" s="415"/>
      <c r="AI12" s="415"/>
      <c r="AJ12" s="415"/>
      <c r="AK12" s="34" t="s">
        <v>50</v>
      </c>
      <c r="AL12" s="35">
        <v>2.0</v>
      </c>
      <c r="AM12" s="379" t="s">
        <v>258</v>
      </c>
      <c r="AN12" s="380" t="s">
        <v>171</v>
      </c>
      <c r="AO12" s="37" t="s">
        <v>172</v>
      </c>
      <c r="AP12" s="381">
        <v>0.0</v>
      </c>
      <c r="AQ12" s="382">
        <v>10000.0</v>
      </c>
      <c r="AR12" s="383">
        <f t="shared" si="7"/>
        <v>0</v>
      </c>
      <c r="AS12" s="384">
        <f t="shared" si="8"/>
        <v>0</v>
      </c>
      <c r="AT12" s="415"/>
      <c r="AU12" s="415"/>
      <c r="AV12" s="415"/>
    </row>
    <row r="13">
      <c r="A13" s="45" t="s">
        <v>50</v>
      </c>
      <c r="B13" s="46">
        <v>2.0</v>
      </c>
      <c r="C13" s="47"/>
      <c r="D13" s="183" t="s">
        <v>252</v>
      </c>
      <c r="E13" s="183" t="s">
        <v>172</v>
      </c>
      <c r="F13" s="385">
        <v>0.0</v>
      </c>
      <c r="G13" s="221">
        <v>50000.0</v>
      </c>
      <c r="H13" s="386">
        <f t="shared" si="1"/>
        <v>0</v>
      </c>
      <c r="I13" s="387">
        <f t="shared" si="2"/>
        <v>0</v>
      </c>
      <c r="J13" s="415"/>
      <c r="K13" s="415"/>
      <c r="L13" s="281"/>
      <c r="M13" s="45" t="s">
        <v>50</v>
      </c>
      <c r="N13" s="46">
        <v>2.0</v>
      </c>
      <c r="O13" s="47"/>
      <c r="P13" s="183" t="s">
        <v>252</v>
      </c>
      <c r="Q13" s="183" t="s">
        <v>172</v>
      </c>
      <c r="R13" s="385">
        <v>0.0</v>
      </c>
      <c r="S13" s="221">
        <v>50000.0</v>
      </c>
      <c r="T13" s="386">
        <f t="shared" si="3"/>
        <v>0</v>
      </c>
      <c r="U13" s="387">
        <f t="shared" si="4"/>
        <v>0</v>
      </c>
      <c r="V13" s="415"/>
      <c r="W13" s="415"/>
      <c r="X13" s="415"/>
      <c r="Y13" s="45" t="s">
        <v>50</v>
      </c>
      <c r="Z13" s="46">
        <v>2.0</v>
      </c>
      <c r="AA13" s="47"/>
      <c r="AB13" s="183" t="s">
        <v>252</v>
      </c>
      <c r="AC13" s="183" t="s">
        <v>172</v>
      </c>
      <c r="AD13" s="385">
        <v>0.0</v>
      </c>
      <c r="AE13" s="221">
        <v>50000.0</v>
      </c>
      <c r="AF13" s="386">
        <f t="shared" si="5"/>
        <v>0</v>
      </c>
      <c r="AG13" s="387">
        <f t="shared" si="6"/>
        <v>0</v>
      </c>
      <c r="AH13" s="415"/>
      <c r="AI13" s="415"/>
      <c r="AJ13" s="415"/>
      <c r="AK13" s="45" t="s">
        <v>50</v>
      </c>
      <c r="AL13" s="46">
        <v>2.0</v>
      </c>
      <c r="AM13" s="47"/>
      <c r="AN13" s="183" t="s">
        <v>252</v>
      </c>
      <c r="AO13" s="183" t="s">
        <v>172</v>
      </c>
      <c r="AP13" s="385">
        <v>0.0</v>
      </c>
      <c r="AQ13" s="221">
        <v>50000.0</v>
      </c>
      <c r="AR13" s="386">
        <f t="shared" si="7"/>
        <v>0</v>
      </c>
      <c r="AS13" s="387">
        <f t="shared" si="8"/>
        <v>0</v>
      </c>
      <c r="AT13" s="415"/>
      <c r="AU13" s="415"/>
      <c r="AV13" s="415"/>
    </row>
    <row r="14">
      <c r="A14" s="108" t="s">
        <v>50</v>
      </c>
      <c r="B14" s="231">
        <v>2.0</v>
      </c>
      <c r="C14" s="110"/>
      <c r="D14" s="116" t="s">
        <v>253</v>
      </c>
      <c r="E14" s="111" t="s">
        <v>172</v>
      </c>
      <c r="F14" s="388">
        <v>0.0</v>
      </c>
      <c r="G14" s="232">
        <v>100000.0</v>
      </c>
      <c r="H14" s="389">
        <f t="shared" si="1"/>
        <v>0</v>
      </c>
      <c r="I14" s="390">
        <f t="shared" si="2"/>
        <v>0</v>
      </c>
      <c r="J14" s="415"/>
      <c r="K14" s="415"/>
      <c r="L14" s="281"/>
      <c r="M14" s="391" t="s">
        <v>50</v>
      </c>
      <c r="N14" s="392">
        <v>2.0</v>
      </c>
      <c r="O14" s="393"/>
      <c r="P14" s="394" t="s">
        <v>253</v>
      </c>
      <c r="Q14" s="395" t="s">
        <v>172</v>
      </c>
      <c r="R14" s="396">
        <v>0.0</v>
      </c>
      <c r="S14" s="397">
        <v>100000.0</v>
      </c>
      <c r="T14" s="398">
        <f t="shared" si="3"/>
        <v>0</v>
      </c>
      <c r="U14" s="399">
        <f t="shared" si="4"/>
        <v>0</v>
      </c>
      <c r="V14" s="415"/>
      <c r="W14" s="415"/>
      <c r="X14" s="415"/>
      <c r="Y14" s="184" t="s">
        <v>50</v>
      </c>
      <c r="Z14" s="185">
        <v>2.0</v>
      </c>
      <c r="AA14" s="186"/>
      <c r="AB14" s="187" t="s">
        <v>253</v>
      </c>
      <c r="AC14" s="400" t="s">
        <v>172</v>
      </c>
      <c r="AD14" s="401">
        <v>0.0</v>
      </c>
      <c r="AE14" s="402">
        <v>100000.0</v>
      </c>
      <c r="AF14" s="403">
        <f t="shared" si="5"/>
        <v>0</v>
      </c>
      <c r="AG14" s="404">
        <f t="shared" si="6"/>
        <v>0</v>
      </c>
      <c r="AH14" s="415"/>
      <c r="AI14" s="415"/>
      <c r="AJ14" s="415"/>
      <c r="AK14" s="54" t="s">
        <v>50</v>
      </c>
      <c r="AL14" s="55">
        <v>2.0</v>
      </c>
      <c r="AM14" s="56"/>
      <c r="AN14" s="62" t="s">
        <v>253</v>
      </c>
      <c r="AO14" s="57" t="s">
        <v>172</v>
      </c>
      <c r="AP14" s="405">
        <v>0.0</v>
      </c>
      <c r="AQ14" s="406">
        <v>100000.0</v>
      </c>
      <c r="AR14" s="407">
        <f t="shared" si="7"/>
        <v>0</v>
      </c>
      <c r="AS14" s="408">
        <f t="shared" si="8"/>
        <v>0</v>
      </c>
      <c r="AT14" s="415"/>
      <c r="AU14" s="415"/>
      <c r="AV14" s="415"/>
    </row>
    <row r="15">
      <c r="A15" s="45" t="s">
        <v>50</v>
      </c>
      <c r="B15" s="46">
        <v>2.0</v>
      </c>
      <c r="C15" s="47"/>
      <c r="D15" s="48" t="s">
        <v>173</v>
      </c>
      <c r="E15" s="183" t="s">
        <v>172</v>
      </c>
      <c r="F15" s="386">
        <v>0.0</v>
      </c>
      <c r="G15" s="221">
        <v>500000.0</v>
      </c>
      <c r="H15" s="386">
        <f t="shared" si="1"/>
        <v>0</v>
      </c>
      <c r="I15" s="387">
        <f t="shared" si="2"/>
        <v>0</v>
      </c>
      <c r="J15" s="415"/>
      <c r="K15" s="415"/>
      <c r="L15" s="281"/>
      <c r="M15" s="45" t="s">
        <v>50</v>
      </c>
      <c r="N15" s="46">
        <v>2.0</v>
      </c>
      <c r="O15" s="47"/>
      <c r="P15" s="48" t="s">
        <v>173</v>
      </c>
      <c r="Q15" s="183" t="s">
        <v>172</v>
      </c>
      <c r="R15" s="386">
        <v>0.0</v>
      </c>
      <c r="S15" s="221">
        <v>500000.0</v>
      </c>
      <c r="T15" s="386">
        <f t="shared" si="3"/>
        <v>0</v>
      </c>
      <c r="U15" s="387">
        <f t="shared" si="4"/>
        <v>0</v>
      </c>
      <c r="V15" s="415"/>
      <c r="W15" s="415"/>
      <c r="X15" s="415"/>
      <c r="Y15" s="45" t="s">
        <v>50</v>
      </c>
      <c r="Z15" s="46">
        <v>2.0</v>
      </c>
      <c r="AA15" s="47"/>
      <c r="AB15" s="48" t="s">
        <v>173</v>
      </c>
      <c r="AC15" s="183" t="s">
        <v>172</v>
      </c>
      <c r="AD15" s="386">
        <v>0.0</v>
      </c>
      <c r="AE15" s="221">
        <v>500000.0</v>
      </c>
      <c r="AF15" s="386">
        <f t="shared" si="5"/>
        <v>0</v>
      </c>
      <c r="AG15" s="387">
        <f t="shared" si="6"/>
        <v>0</v>
      </c>
      <c r="AH15" s="415"/>
      <c r="AI15" s="415"/>
      <c r="AJ15" s="415"/>
      <c r="AK15" s="45" t="s">
        <v>50</v>
      </c>
      <c r="AL15" s="46">
        <v>2.0</v>
      </c>
      <c r="AM15" s="47"/>
      <c r="AN15" s="48" t="s">
        <v>173</v>
      </c>
      <c r="AO15" s="183" t="s">
        <v>172</v>
      </c>
      <c r="AP15" s="386">
        <v>0.0</v>
      </c>
      <c r="AQ15" s="221">
        <v>500000.0</v>
      </c>
      <c r="AR15" s="386">
        <f t="shared" si="7"/>
        <v>0</v>
      </c>
      <c r="AS15" s="387">
        <f t="shared" si="8"/>
        <v>0</v>
      </c>
      <c r="AT15" s="415"/>
      <c r="AU15" s="415"/>
      <c r="AV15" s="415"/>
    </row>
    <row r="16">
      <c r="A16" s="108" t="s">
        <v>50</v>
      </c>
      <c r="B16" s="231">
        <v>2.0</v>
      </c>
      <c r="C16" s="110"/>
      <c r="D16" s="116" t="s">
        <v>174</v>
      </c>
      <c r="E16" s="111" t="s">
        <v>172</v>
      </c>
      <c r="F16" s="389">
        <v>0.0</v>
      </c>
      <c r="G16" s="232">
        <v>1000000.0</v>
      </c>
      <c r="H16" s="389">
        <f t="shared" si="1"/>
        <v>0</v>
      </c>
      <c r="I16" s="390">
        <f t="shared" si="2"/>
        <v>0</v>
      </c>
      <c r="J16" s="415"/>
      <c r="K16" s="415"/>
      <c r="L16" s="281"/>
      <c r="M16" s="391" t="s">
        <v>50</v>
      </c>
      <c r="N16" s="392">
        <v>2.0</v>
      </c>
      <c r="O16" s="393"/>
      <c r="P16" s="394" t="s">
        <v>174</v>
      </c>
      <c r="Q16" s="395" t="s">
        <v>172</v>
      </c>
      <c r="R16" s="398">
        <v>0.0</v>
      </c>
      <c r="S16" s="397">
        <v>1000000.0</v>
      </c>
      <c r="T16" s="398">
        <f t="shared" si="3"/>
        <v>0</v>
      </c>
      <c r="U16" s="399">
        <f t="shared" si="4"/>
        <v>0</v>
      </c>
      <c r="V16" s="415"/>
      <c r="W16" s="415"/>
      <c r="X16" s="415"/>
      <c r="Y16" s="184" t="s">
        <v>50</v>
      </c>
      <c r="Z16" s="185">
        <v>2.0</v>
      </c>
      <c r="AA16" s="186"/>
      <c r="AB16" s="187" t="s">
        <v>174</v>
      </c>
      <c r="AC16" s="400" t="s">
        <v>172</v>
      </c>
      <c r="AD16" s="403">
        <v>0.0</v>
      </c>
      <c r="AE16" s="402">
        <v>1000000.0</v>
      </c>
      <c r="AF16" s="403">
        <f t="shared" si="5"/>
        <v>0</v>
      </c>
      <c r="AG16" s="404">
        <f t="shared" si="6"/>
        <v>0</v>
      </c>
      <c r="AH16" s="415"/>
      <c r="AI16" s="415"/>
      <c r="AJ16" s="415"/>
      <c r="AK16" s="54" t="s">
        <v>50</v>
      </c>
      <c r="AL16" s="55">
        <v>2.0</v>
      </c>
      <c r="AM16" s="56"/>
      <c r="AN16" s="62" t="s">
        <v>174</v>
      </c>
      <c r="AO16" s="57" t="s">
        <v>172</v>
      </c>
      <c r="AP16" s="407">
        <v>0.0</v>
      </c>
      <c r="AQ16" s="406">
        <v>1000000.0</v>
      </c>
      <c r="AR16" s="407">
        <f t="shared" si="7"/>
        <v>0</v>
      </c>
      <c r="AS16" s="408">
        <f t="shared" si="8"/>
        <v>0</v>
      </c>
      <c r="AT16" s="415"/>
      <c r="AU16" s="415"/>
      <c r="AV16" s="415"/>
    </row>
    <row r="17">
      <c r="A17" s="63" t="s">
        <v>50</v>
      </c>
      <c r="B17" s="64">
        <v>2.0</v>
      </c>
      <c r="C17" s="65"/>
      <c r="D17" s="66" t="s">
        <v>175</v>
      </c>
      <c r="E17" s="215" t="s">
        <v>172</v>
      </c>
      <c r="F17" s="410">
        <v>0.0</v>
      </c>
      <c r="G17" s="225">
        <v>5000000.0</v>
      </c>
      <c r="H17" s="410">
        <f t="shared" si="1"/>
        <v>0</v>
      </c>
      <c r="I17" s="411">
        <f t="shared" si="2"/>
        <v>0</v>
      </c>
      <c r="J17" s="414"/>
      <c r="K17" s="414"/>
      <c r="L17" s="281"/>
      <c r="M17" s="63" t="s">
        <v>50</v>
      </c>
      <c r="N17" s="64">
        <v>2.0</v>
      </c>
      <c r="O17" s="65"/>
      <c r="P17" s="66" t="s">
        <v>175</v>
      </c>
      <c r="Q17" s="215" t="s">
        <v>172</v>
      </c>
      <c r="R17" s="410">
        <v>0.0</v>
      </c>
      <c r="S17" s="225">
        <v>5000000.0</v>
      </c>
      <c r="T17" s="410">
        <f t="shared" si="3"/>
        <v>0</v>
      </c>
      <c r="U17" s="411">
        <f t="shared" si="4"/>
        <v>0</v>
      </c>
      <c r="V17" s="414"/>
      <c r="W17" s="414"/>
      <c r="X17" s="414"/>
      <c r="Y17" s="63" t="s">
        <v>50</v>
      </c>
      <c r="Z17" s="64">
        <v>2.0</v>
      </c>
      <c r="AA17" s="65"/>
      <c r="AB17" s="66" t="s">
        <v>175</v>
      </c>
      <c r="AC17" s="215" t="s">
        <v>172</v>
      </c>
      <c r="AD17" s="410">
        <v>0.0</v>
      </c>
      <c r="AE17" s="225">
        <v>5000000.0</v>
      </c>
      <c r="AF17" s="410">
        <f t="shared" si="5"/>
        <v>0</v>
      </c>
      <c r="AG17" s="411">
        <f t="shared" si="6"/>
        <v>0</v>
      </c>
      <c r="AH17" s="414"/>
      <c r="AI17" s="414"/>
      <c r="AJ17" s="414"/>
      <c r="AK17" s="63" t="s">
        <v>50</v>
      </c>
      <c r="AL17" s="64">
        <v>2.0</v>
      </c>
      <c r="AM17" s="65"/>
      <c r="AN17" s="66" t="s">
        <v>175</v>
      </c>
      <c r="AO17" s="215" t="s">
        <v>172</v>
      </c>
      <c r="AP17" s="410">
        <v>0.0</v>
      </c>
      <c r="AQ17" s="225">
        <v>5000000.0</v>
      </c>
      <c r="AR17" s="410">
        <f t="shared" si="7"/>
        <v>0</v>
      </c>
      <c r="AS17" s="411">
        <f t="shared" si="8"/>
        <v>0</v>
      </c>
      <c r="AT17" s="414"/>
      <c r="AU17" s="414"/>
      <c r="AV17" s="414"/>
    </row>
    <row r="18" ht="15.75" customHeight="1">
      <c r="A18" s="99" t="s">
        <v>52</v>
      </c>
      <c r="B18" s="227" t="s">
        <v>44</v>
      </c>
      <c r="C18" s="228" t="s">
        <v>259</v>
      </c>
      <c r="D18" s="229" t="s">
        <v>171</v>
      </c>
      <c r="E18" s="102" t="s">
        <v>172</v>
      </c>
      <c r="F18" s="362">
        <v>0.0</v>
      </c>
      <c r="G18" s="230">
        <v>10000.0</v>
      </c>
      <c r="H18" s="362">
        <f t="shared" si="1"/>
        <v>0</v>
      </c>
      <c r="I18" s="363">
        <f t="shared" si="2"/>
        <v>0</v>
      </c>
      <c r="J18" s="415"/>
      <c r="K18" s="415"/>
      <c r="L18" s="281"/>
      <c r="M18" s="364" t="s">
        <v>52</v>
      </c>
      <c r="N18" s="365" t="s">
        <v>44</v>
      </c>
      <c r="O18" s="366" t="s">
        <v>260</v>
      </c>
      <c r="P18" s="367" t="s">
        <v>171</v>
      </c>
      <c r="Q18" s="368" t="s">
        <v>172</v>
      </c>
      <c r="R18" s="371">
        <v>0.0</v>
      </c>
      <c r="S18" s="370">
        <v>10000.0</v>
      </c>
      <c r="T18" s="371">
        <f t="shared" si="3"/>
        <v>0</v>
      </c>
      <c r="U18" s="372">
        <f t="shared" si="4"/>
        <v>0</v>
      </c>
      <c r="V18" s="415"/>
      <c r="W18" s="415"/>
      <c r="X18" s="415"/>
      <c r="Y18" s="175" t="s">
        <v>52</v>
      </c>
      <c r="Z18" s="176" t="s">
        <v>44</v>
      </c>
      <c r="AA18" s="373" t="s">
        <v>261</v>
      </c>
      <c r="AB18" s="374" t="s">
        <v>171</v>
      </c>
      <c r="AC18" s="178" t="s">
        <v>172</v>
      </c>
      <c r="AD18" s="377">
        <v>0.0</v>
      </c>
      <c r="AE18" s="376">
        <v>10000.0</v>
      </c>
      <c r="AF18" s="377">
        <f t="shared" si="5"/>
        <v>0</v>
      </c>
      <c r="AG18" s="378">
        <f t="shared" si="6"/>
        <v>0</v>
      </c>
      <c r="AH18" s="415"/>
      <c r="AI18" s="415"/>
      <c r="AJ18" s="415"/>
      <c r="AK18" s="34" t="s">
        <v>52</v>
      </c>
      <c r="AL18" s="35" t="s">
        <v>44</v>
      </c>
      <c r="AM18" s="379" t="s">
        <v>262</v>
      </c>
      <c r="AN18" s="380" t="s">
        <v>171</v>
      </c>
      <c r="AO18" s="37" t="s">
        <v>172</v>
      </c>
      <c r="AP18" s="383">
        <v>0.0</v>
      </c>
      <c r="AQ18" s="382">
        <v>10000.0</v>
      </c>
      <c r="AR18" s="383">
        <f t="shared" si="7"/>
        <v>0</v>
      </c>
      <c r="AS18" s="384">
        <f t="shared" si="8"/>
        <v>0</v>
      </c>
      <c r="AT18" s="415"/>
      <c r="AU18" s="415"/>
      <c r="AV18" s="415"/>
    </row>
    <row r="19">
      <c r="A19" s="45" t="s">
        <v>52</v>
      </c>
      <c r="B19" s="46" t="s">
        <v>44</v>
      </c>
      <c r="C19" s="47"/>
      <c r="D19" s="183" t="s">
        <v>252</v>
      </c>
      <c r="E19" s="183" t="s">
        <v>172</v>
      </c>
      <c r="F19" s="386">
        <v>0.0</v>
      </c>
      <c r="G19" s="221">
        <v>50000.0</v>
      </c>
      <c r="H19" s="386">
        <f t="shared" si="1"/>
        <v>0</v>
      </c>
      <c r="I19" s="387">
        <f t="shared" si="2"/>
        <v>0</v>
      </c>
      <c r="J19" s="415"/>
      <c r="K19" s="415"/>
      <c r="L19" s="281"/>
      <c r="M19" s="45" t="s">
        <v>52</v>
      </c>
      <c r="N19" s="46" t="s">
        <v>44</v>
      </c>
      <c r="O19" s="47"/>
      <c r="P19" s="183" t="s">
        <v>252</v>
      </c>
      <c r="Q19" s="183" t="s">
        <v>172</v>
      </c>
      <c r="R19" s="386">
        <v>0.0</v>
      </c>
      <c r="S19" s="221">
        <v>50000.0</v>
      </c>
      <c r="T19" s="386">
        <f t="shared" si="3"/>
        <v>0</v>
      </c>
      <c r="U19" s="387">
        <f t="shared" si="4"/>
        <v>0</v>
      </c>
      <c r="V19" s="415"/>
      <c r="W19" s="415"/>
      <c r="X19" s="415"/>
      <c r="Y19" s="45" t="s">
        <v>52</v>
      </c>
      <c r="Z19" s="46" t="s">
        <v>44</v>
      </c>
      <c r="AA19" s="47"/>
      <c r="AB19" s="183" t="s">
        <v>252</v>
      </c>
      <c r="AC19" s="183" t="s">
        <v>172</v>
      </c>
      <c r="AD19" s="386">
        <v>0.0</v>
      </c>
      <c r="AE19" s="221">
        <v>50000.0</v>
      </c>
      <c r="AF19" s="386">
        <f t="shared" si="5"/>
        <v>0</v>
      </c>
      <c r="AG19" s="387">
        <f t="shared" si="6"/>
        <v>0</v>
      </c>
      <c r="AH19" s="415"/>
      <c r="AI19" s="415"/>
      <c r="AJ19" s="415"/>
      <c r="AK19" s="45" t="s">
        <v>52</v>
      </c>
      <c r="AL19" s="46" t="s">
        <v>44</v>
      </c>
      <c r="AM19" s="47"/>
      <c r="AN19" s="183" t="s">
        <v>252</v>
      </c>
      <c r="AO19" s="183" t="s">
        <v>172</v>
      </c>
      <c r="AP19" s="386">
        <v>0.0</v>
      </c>
      <c r="AQ19" s="221">
        <v>50000.0</v>
      </c>
      <c r="AR19" s="386">
        <f t="shared" si="7"/>
        <v>0</v>
      </c>
      <c r="AS19" s="387">
        <f t="shared" si="8"/>
        <v>0</v>
      </c>
      <c r="AT19" s="415"/>
      <c r="AU19" s="415"/>
      <c r="AV19" s="415"/>
    </row>
    <row r="20">
      <c r="A20" s="108" t="s">
        <v>52</v>
      </c>
      <c r="B20" s="231" t="s">
        <v>44</v>
      </c>
      <c r="C20" s="110"/>
      <c r="D20" s="116" t="s">
        <v>253</v>
      </c>
      <c r="E20" s="111" t="s">
        <v>172</v>
      </c>
      <c r="F20" s="389">
        <v>0.0</v>
      </c>
      <c r="G20" s="232">
        <v>100000.0</v>
      </c>
      <c r="H20" s="389">
        <f t="shared" si="1"/>
        <v>0</v>
      </c>
      <c r="I20" s="390">
        <f t="shared" si="2"/>
        <v>0</v>
      </c>
      <c r="J20" s="415"/>
      <c r="K20" s="415"/>
      <c r="L20" s="281"/>
      <c r="M20" s="391" t="s">
        <v>52</v>
      </c>
      <c r="N20" s="392" t="s">
        <v>44</v>
      </c>
      <c r="O20" s="393"/>
      <c r="P20" s="394" t="s">
        <v>253</v>
      </c>
      <c r="Q20" s="395" t="s">
        <v>172</v>
      </c>
      <c r="R20" s="398">
        <v>0.0</v>
      </c>
      <c r="S20" s="397">
        <v>100000.0</v>
      </c>
      <c r="T20" s="398">
        <f t="shared" si="3"/>
        <v>0</v>
      </c>
      <c r="U20" s="399">
        <f t="shared" si="4"/>
        <v>0</v>
      </c>
      <c r="V20" s="415"/>
      <c r="W20" s="415"/>
      <c r="X20" s="415"/>
      <c r="Y20" s="184" t="s">
        <v>52</v>
      </c>
      <c r="Z20" s="185" t="s">
        <v>44</v>
      </c>
      <c r="AA20" s="186"/>
      <c r="AB20" s="187" t="s">
        <v>253</v>
      </c>
      <c r="AC20" s="400" t="s">
        <v>172</v>
      </c>
      <c r="AD20" s="403">
        <v>0.0</v>
      </c>
      <c r="AE20" s="402">
        <v>100000.0</v>
      </c>
      <c r="AF20" s="403">
        <f t="shared" si="5"/>
        <v>0</v>
      </c>
      <c r="AG20" s="404">
        <f t="shared" si="6"/>
        <v>0</v>
      </c>
      <c r="AH20" s="415"/>
      <c r="AI20" s="415"/>
      <c r="AJ20" s="415"/>
      <c r="AK20" s="54" t="s">
        <v>52</v>
      </c>
      <c r="AL20" s="55" t="s">
        <v>44</v>
      </c>
      <c r="AM20" s="56"/>
      <c r="AN20" s="62" t="s">
        <v>253</v>
      </c>
      <c r="AO20" s="57" t="s">
        <v>172</v>
      </c>
      <c r="AP20" s="407">
        <v>0.0</v>
      </c>
      <c r="AQ20" s="406">
        <v>100000.0</v>
      </c>
      <c r="AR20" s="407">
        <f t="shared" si="7"/>
        <v>0</v>
      </c>
      <c r="AS20" s="408">
        <f t="shared" si="8"/>
        <v>0</v>
      </c>
      <c r="AT20" s="415"/>
      <c r="AU20" s="415"/>
      <c r="AV20" s="415"/>
    </row>
    <row r="21" ht="15.75" customHeight="1">
      <c r="A21" s="45" t="s">
        <v>52</v>
      </c>
      <c r="B21" s="46" t="s">
        <v>44</v>
      </c>
      <c r="C21" s="47"/>
      <c r="D21" s="48" t="s">
        <v>173</v>
      </c>
      <c r="E21" s="183" t="s">
        <v>172</v>
      </c>
      <c r="F21" s="386">
        <v>0.0</v>
      </c>
      <c r="G21" s="221">
        <v>500000.0</v>
      </c>
      <c r="H21" s="386">
        <f t="shared" si="1"/>
        <v>0</v>
      </c>
      <c r="I21" s="387">
        <f t="shared" si="2"/>
        <v>0</v>
      </c>
      <c r="J21" s="415"/>
      <c r="K21" s="415"/>
      <c r="L21" s="281"/>
      <c r="M21" s="45" t="s">
        <v>52</v>
      </c>
      <c r="N21" s="46" t="s">
        <v>44</v>
      </c>
      <c r="O21" s="47"/>
      <c r="P21" s="48" t="s">
        <v>173</v>
      </c>
      <c r="Q21" s="183" t="s">
        <v>172</v>
      </c>
      <c r="R21" s="386">
        <v>0.0</v>
      </c>
      <c r="S21" s="221">
        <v>500000.0</v>
      </c>
      <c r="T21" s="386">
        <f t="shared" si="3"/>
        <v>0</v>
      </c>
      <c r="U21" s="387">
        <f t="shared" si="4"/>
        <v>0</v>
      </c>
      <c r="V21" s="415"/>
      <c r="W21" s="415"/>
      <c r="X21" s="415"/>
      <c r="Y21" s="45" t="s">
        <v>52</v>
      </c>
      <c r="Z21" s="46" t="s">
        <v>44</v>
      </c>
      <c r="AA21" s="47"/>
      <c r="AB21" s="48" t="s">
        <v>173</v>
      </c>
      <c r="AC21" s="183" t="s">
        <v>172</v>
      </c>
      <c r="AD21" s="386">
        <v>0.0</v>
      </c>
      <c r="AE21" s="221">
        <v>500000.0</v>
      </c>
      <c r="AF21" s="386">
        <f t="shared" si="5"/>
        <v>0</v>
      </c>
      <c r="AG21" s="387">
        <f t="shared" si="6"/>
        <v>0</v>
      </c>
      <c r="AH21" s="415"/>
      <c r="AI21" s="415"/>
      <c r="AJ21" s="415"/>
      <c r="AK21" s="45" t="s">
        <v>52</v>
      </c>
      <c r="AL21" s="46" t="s">
        <v>44</v>
      </c>
      <c r="AM21" s="47"/>
      <c r="AN21" s="48" t="s">
        <v>173</v>
      </c>
      <c r="AO21" s="183" t="s">
        <v>172</v>
      </c>
      <c r="AP21" s="386">
        <v>0.0</v>
      </c>
      <c r="AQ21" s="221">
        <v>500000.0</v>
      </c>
      <c r="AR21" s="386">
        <f t="shared" si="7"/>
        <v>0</v>
      </c>
      <c r="AS21" s="387">
        <f t="shared" si="8"/>
        <v>0</v>
      </c>
      <c r="AT21" s="415"/>
      <c r="AU21" s="415"/>
      <c r="AV21" s="415"/>
    </row>
    <row r="22" ht="15.75" customHeight="1">
      <c r="A22" s="108" t="s">
        <v>52</v>
      </c>
      <c r="B22" s="231" t="s">
        <v>44</v>
      </c>
      <c r="C22" s="110"/>
      <c r="D22" s="116" t="s">
        <v>174</v>
      </c>
      <c r="E22" s="111" t="s">
        <v>172</v>
      </c>
      <c r="F22" s="389">
        <v>0.0</v>
      </c>
      <c r="G22" s="232">
        <v>1000000.0</v>
      </c>
      <c r="H22" s="389">
        <f t="shared" si="1"/>
        <v>0</v>
      </c>
      <c r="I22" s="390">
        <f t="shared" si="2"/>
        <v>0</v>
      </c>
      <c r="J22" s="415"/>
      <c r="K22" s="415"/>
      <c r="L22" s="281"/>
      <c r="M22" s="391" t="s">
        <v>52</v>
      </c>
      <c r="N22" s="392" t="s">
        <v>44</v>
      </c>
      <c r="O22" s="393"/>
      <c r="P22" s="394" t="s">
        <v>174</v>
      </c>
      <c r="Q22" s="395" t="s">
        <v>172</v>
      </c>
      <c r="R22" s="398">
        <v>0.0</v>
      </c>
      <c r="S22" s="397">
        <v>1000000.0</v>
      </c>
      <c r="T22" s="398">
        <f t="shared" si="3"/>
        <v>0</v>
      </c>
      <c r="U22" s="399">
        <f t="shared" si="4"/>
        <v>0</v>
      </c>
      <c r="V22" s="415"/>
      <c r="W22" s="415"/>
      <c r="X22" s="415"/>
      <c r="Y22" s="184" t="s">
        <v>52</v>
      </c>
      <c r="Z22" s="185" t="s">
        <v>44</v>
      </c>
      <c r="AA22" s="186"/>
      <c r="AB22" s="187" t="s">
        <v>174</v>
      </c>
      <c r="AC22" s="400" t="s">
        <v>172</v>
      </c>
      <c r="AD22" s="403">
        <v>0.0</v>
      </c>
      <c r="AE22" s="402">
        <v>1000000.0</v>
      </c>
      <c r="AF22" s="403">
        <f t="shared" si="5"/>
        <v>0</v>
      </c>
      <c r="AG22" s="404">
        <f t="shared" si="6"/>
        <v>0</v>
      </c>
      <c r="AH22" s="415"/>
      <c r="AI22" s="415"/>
      <c r="AJ22" s="415"/>
      <c r="AK22" s="54" t="s">
        <v>52</v>
      </c>
      <c r="AL22" s="55" t="s">
        <v>44</v>
      </c>
      <c r="AM22" s="56"/>
      <c r="AN22" s="62" t="s">
        <v>174</v>
      </c>
      <c r="AO22" s="57" t="s">
        <v>172</v>
      </c>
      <c r="AP22" s="407">
        <v>0.0</v>
      </c>
      <c r="AQ22" s="406">
        <v>1000000.0</v>
      </c>
      <c r="AR22" s="407">
        <f t="shared" si="7"/>
        <v>0</v>
      </c>
      <c r="AS22" s="408">
        <f t="shared" si="8"/>
        <v>0</v>
      </c>
      <c r="AT22" s="415"/>
      <c r="AU22" s="415"/>
      <c r="AV22" s="415"/>
    </row>
    <row r="23" ht="15.75" customHeight="1">
      <c r="A23" s="63" t="s">
        <v>52</v>
      </c>
      <c r="B23" s="64" t="s">
        <v>44</v>
      </c>
      <c r="C23" s="65"/>
      <c r="D23" s="66" t="s">
        <v>175</v>
      </c>
      <c r="E23" s="215" t="s">
        <v>172</v>
      </c>
      <c r="F23" s="410">
        <v>0.0</v>
      </c>
      <c r="G23" s="225">
        <v>5000000.0</v>
      </c>
      <c r="H23" s="410">
        <f t="shared" si="1"/>
        <v>0</v>
      </c>
      <c r="I23" s="411">
        <f t="shared" si="2"/>
        <v>0</v>
      </c>
      <c r="J23" s="414"/>
      <c r="K23" s="414"/>
      <c r="L23" s="281"/>
      <c r="M23" s="63" t="s">
        <v>52</v>
      </c>
      <c r="N23" s="64" t="s">
        <v>44</v>
      </c>
      <c r="O23" s="65"/>
      <c r="P23" s="66" t="s">
        <v>175</v>
      </c>
      <c r="Q23" s="215" t="s">
        <v>172</v>
      </c>
      <c r="R23" s="410">
        <v>0.0</v>
      </c>
      <c r="S23" s="225">
        <v>5000000.0</v>
      </c>
      <c r="T23" s="410">
        <f t="shared" si="3"/>
        <v>0</v>
      </c>
      <c r="U23" s="411">
        <f t="shared" si="4"/>
        <v>0</v>
      </c>
      <c r="V23" s="414"/>
      <c r="W23" s="414"/>
      <c r="X23" s="414"/>
      <c r="Y23" s="63" t="s">
        <v>52</v>
      </c>
      <c r="Z23" s="64" t="s">
        <v>44</v>
      </c>
      <c r="AA23" s="65"/>
      <c r="AB23" s="66" t="s">
        <v>175</v>
      </c>
      <c r="AC23" s="215" t="s">
        <v>172</v>
      </c>
      <c r="AD23" s="410">
        <v>0.0</v>
      </c>
      <c r="AE23" s="225">
        <v>5000000.0</v>
      </c>
      <c r="AF23" s="410">
        <f t="shared" si="5"/>
        <v>0</v>
      </c>
      <c r="AG23" s="411">
        <f t="shared" si="6"/>
        <v>0</v>
      </c>
      <c r="AH23" s="414"/>
      <c r="AI23" s="414"/>
      <c r="AJ23" s="414"/>
      <c r="AK23" s="63" t="s">
        <v>52</v>
      </c>
      <c r="AL23" s="64" t="s">
        <v>44</v>
      </c>
      <c r="AM23" s="65"/>
      <c r="AN23" s="66" t="s">
        <v>175</v>
      </c>
      <c r="AO23" s="215" t="s">
        <v>172</v>
      </c>
      <c r="AP23" s="410">
        <v>0.0</v>
      </c>
      <c r="AQ23" s="225">
        <v>5000000.0</v>
      </c>
      <c r="AR23" s="410">
        <f t="shared" si="7"/>
        <v>0</v>
      </c>
      <c r="AS23" s="411">
        <f t="shared" si="8"/>
        <v>0</v>
      </c>
      <c r="AT23" s="414"/>
      <c r="AU23" s="414"/>
      <c r="AV23" s="414"/>
    </row>
    <row r="24" ht="15.75" customHeight="1">
      <c r="A24" s="99" t="s">
        <v>54</v>
      </c>
      <c r="B24" s="227">
        <v>3.0</v>
      </c>
      <c r="C24" s="228" t="s">
        <v>263</v>
      </c>
      <c r="D24" s="229" t="s">
        <v>171</v>
      </c>
      <c r="E24" s="102" t="s">
        <v>172</v>
      </c>
      <c r="F24" s="362">
        <v>0.0</v>
      </c>
      <c r="G24" s="230">
        <v>10000.0</v>
      </c>
      <c r="H24" s="362">
        <f t="shared" si="1"/>
        <v>0</v>
      </c>
      <c r="I24" s="363">
        <f t="shared" si="2"/>
        <v>0</v>
      </c>
      <c r="J24" s="415"/>
      <c r="K24" s="415"/>
      <c r="L24" s="281"/>
      <c r="M24" s="364" t="s">
        <v>54</v>
      </c>
      <c r="N24" s="365">
        <v>3.0</v>
      </c>
      <c r="O24" s="366" t="s">
        <v>264</v>
      </c>
      <c r="P24" s="367" t="s">
        <v>171</v>
      </c>
      <c r="Q24" s="368" t="s">
        <v>172</v>
      </c>
      <c r="R24" s="371">
        <v>0.0</v>
      </c>
      <c r="S24" s="370">
        <v>10000.0</v>
      </c>
      <c r="T24" s="371">
        <f t="shared" si="3"/>
        <v>0</v>
      </c>
      <c r="U24" s="372">
        <f t="shared" si="4"/>
        <v>0</v>
      </c>
      <c r="V24" s="415"/>
      <c r="W24" s="415"/>
      <c r="X24" s="415"/>
      <c r="Y24" s="175" t="s">
        <v>54</v>
      </c>
      <c r="Z24" s="176">
        <v>3.0</v>
      </c>
      <c r="AA24" s="373" t="s">
        <v>265</v>
      </c>
      <c r="AB24" s="374" t="s">
        <v>171</v>
      </c>
      <c r="AC24" s="178" t="s">
        <v>172</v>
      </c>
      <c r="AD24" s="377">
        <v>0.0</v>
      </c>
      <c r="AE24" s="376">
        <v>10000.0</v>
      </c>
      <c r="AF24" s="377">
        <f t="shared" si="5"/>
        <v>0</v>
      </c>
      <c r="AG24" s="378">
        <f t="shared" si="6"/>
        <v>0</v>
      </c>
      <c r="AH24" s="415"/>
      <c r="AI24" s="415"/>
      <c r="AJ24" s="415"/>
      <c r="AK24" s="34" t="s">
        <v>54</v>
      </c>
      <c r="AL24" s="35">
        <v>3.0</v>
      </c>
      <c r="AM24" s="379" t="s">
        <v>266</v>
      </c>
      <c r="AN24" s="380" t="s">
        <v>171</v>
      </c>
      <c r="AO24" s="37" t="s">
        <v>172</v>
      </c>
      <c r="AP24" s="383">
        <v>0.0</v>
      </c>
      <c r="AQ24" s="382">
        <v>10000.0</v>
      </c>
      <c r="AR24" s="383">
        <f t="shared" si="7"/>
        <v>0</v>
      </c>
      <c r="AS24" s="384">
        <f t="shared" si="8"/>
        <v>0</v>
      </c>
      <c r="AT24" s="415"/>
      <c r="AU24" s="415"/>
      <c r="AV24" s="415"/>
    </row>
    <row r="25" ht="15.75" customHeight="1">
      <c r="A25" s="45" t="s">
        <v>54</v>
      </c>
      <c r="B25" s="46">
        <v>3.0</v>
      </c>
      <c r="C25" s="47"/>
      <c r="D25" s="183" t="s">
        <v>252</v>
      </c>
      <c r="E25" s="183" t="s">
        <v>172</v>
      </c>
      <c r="F25" s="386">
        <v>0.0</v>
      </c>
      <c r="G25" s="221">
        <v>50000.0</v>
      </c>
      <c r="H25" s="386">
        <f t="shared" si="1"/>
        <v>0</v>
      </c>
      <c r="I25" s="387">
        <f t="shared" si="2"/>
        <v>0</v>
      </c>
      <c r="J25" s="415"/>
      <c r="K25" s="415"/>
      <c r="L25" s="281"/>
      <c r="M25" s="45" t="s">
        <v>54</v>
      </c>
      <c r="N25" s="46">
        <v>3.0</v>
      </c>
      <c r="O25" s="47"/>
      <c r="P25" s="183" t="s">
        <v>252</v>
      </c>
      <c r="Q25" s="183" t="s">
        <v>172</v>
      </c>
      <c r="R25" s="386">
        <v>0.0</v>
      </c>
      <c r="S25" s="221">
        <v>50000.0</v>
      </c>
      <c r="T25" s="386">
        <f t="shared" si="3"/>
        <v>0</v>
      </c>
      <c r="U25" s="387">
        <f t="shared" si="4"/>
        <v>0</v>
      </c>
      <c r="V25" s="415"/>
      <c r="W25" s="415"/>
      <c r="X25" s="415"/>
      <c r="Y25" s="45" t="s">
        <v>54</v>
      </c>
      <c r="Z25" s="46">
        <v>3.0</v>
      </c>
      <c r="AA25" s="47"/>
      <c r="AB25" s="183" t="s">
        <v>252</v>
      </c>
      <c r="AC25" s="183" t="s">
        <v>172</v>
      </c>
      <c r="AD25" s="386">
        <v>0.0</v>
      </c>
      <c r="AE25" s="221">
        <v>50000.0</v>
      </c>
      <c r="AF25" s="386">
        <f t="shared" si="5"/>
        <v>0</v>
      </c>
      <c r="AG25" s="387">
        <f t="shared" si="6"/>
        <v>0</v>
      </c>
      <c r="AH25" s="415"/>
      <c r="AI25" s="415"/>
      <c r="AJ25" s="415"/>
      <c r="AK25" s="45" t="s">
        <v>54</v>
      </c>
      <c r="AL25" s="46">
        <v>3.0</v>
      </c>
      <c r="AM25" s="47"/>
      <c r="AN25" s="183" t="s">
        <v>252</v>
      </c>
      <c r="AO25" s="183" t="s">
        <v>172</v>
      </c>
      <c r="AP25" s="386">
        <v>0.0</v>
      </c>
      <c r="AQ25" s="221">
        <v>50000.0</v>
      </c>
      <c r="AR25" s="386">
        <f t="shared" si="7"/>
        <v>0</v>
      </c>
      <c r="AS25" s="387">
        <f t="shared" si="8"/>
        <v>0</v>
      </c>
      <c r="AT25" s="415"/>
      <c r="AU25" s="415"/>
      <c r="AV25" s="415"/>
    </row>
    <row r="26" ht="15.75" customHeight="1">
      <c r="A26" s="108" t="s">
        <v>54</v>
      </c>
      <c r="B26" s="231">
        <v>3.0</v>
      </c>
      <c r="C26" s="110"/>
      <c r="D26" s="116" t="s">
        <v>253</v>
      </c>
      <c r="E26" s="111" t="s">
        <v>172</v>
      </c>
      <c r="F26" s="389">
        <v>0.0</v>
      </c>
      <c r="G26" s="232">
        <v>100000.0</v>
      </c>
      <c r="H26" s="389">
        <f t="shared" si="1"/>
        <v>0</v>
      </c>
      <c r="I26" s="390">
        <f t="shared" si="2"/>
        <v>0</v>
      </c>
      <c r="J26" s="415"/>
      <c r="K26" s="415"/>
      <c r="L26" s="281"/>
      <c r="M26" s="391" t="s">
        <v>54</v>
      </c>
      <c r="N26" s="392">
        <v>3.0</v>
      </c>
      <c r="O26" s="393"/>
      <c r="P26" s="394" t="s">
        <v>253</v>
      </c>
      <c r="Q26" s="395" t="s">
        <v>172</v>
      </c>
      <c r="R26" s="398">
        <v>0.0</v>
      </c>
      <c r="S26" s="397">
        <v>100000.0</v>
      </c>
      <c r="T26" s="398">
        <f t="shared" si="3"/>
        <v>0</v>
      </c>
      <c r="U26" s="399">
        <f t="shared" si="4"/>
        <v>0</v>
      </c>
      <c r="V26" s="415"/>
      <c r="W26" s="415"/>
      <c r="X26" s="415"/>
      <c r="Y26" s="184" t="s">
        <v>54</v>
      </c>
      <c r="Z26" s="185">
        <v>3.0</v>
      </c>
      <c r="AA26" s="186"/>
      <c r="AB26" s="187" t="s">
        <v>253</v>
      </c>
      <c r="AC26" s="400" t="s">
        <v>172</v>
      </c>
      <c r="AD26" s="403">
        <v>0.0</v>
      </c>
      <c r="AE26" s="402">
        <v>100000.0</v>
      </c>
      <c r="AF26" s="403">
        <f t="shared" si="5"/>
        <v>0</v>
      </c>
      <c r="AG26" s="404">
        <f t="shared" si="6"/>
        <v>0</v>
      </c>
      <c r="AH26" s="415"/>
      <c r="AI26" s="415"/>
      <c r="AJ26" s="415"/>
      <c r="AK26" s="54" t="s">
        <v>54</v>
      </c>
      <c r="AL26" s="55">
        <v>3.0</v>
      </c>
      <c r="AM26" s="56"/>
      <c r="AN26" s="62" t="s">
        <v>253</v>
      </c>
      <c r="AO26" s="57" t="s">
        <v>172</v>
      </c>
      <c r="AP26" s="407">
        <v>0.0</v>
      </c>
      <c r="AQ26" s="406">
        <v>100000.0</v>
      </c>
      <c r="AR26" s="407">
        <f t="shared" si="7"/>
        <v>0</v>
      </c>
      <c r="AS26" s="408">
        <f t="shared" si="8"/>
        <v>0</v>
      </c>
      <c r="AT26" s="415"/>
      <c r="AU26" s="415"/>
      <c r="AV26" s="415"/>
    </row>
    <row r="27" ht="15.75" customHeight="1">
      <c r="A27" s="45" t="s">
        <v>54</v>
      </c>
      <c r="B27" s="46">
        <v>3.0</v>
      </c>
      <c r="C27" s="47"/>
      <c r="D27" s="48" t="s">
        <v>173</v>
      </c>
      <c r="E27" s="183" t="s">
        <v>172</v>
      </c>
      <c r="F27" s="386">
        <v>0.0</v>
      </c>
      <c r="G27" s="221">
        <v>500000.0</v>
      </c>
      <c r="H27" s="386">
        <f t="shared" si="1"/>
        <v>0</v>
      </c>
      <c r="I27" s="387">
        <f t="shared" si="2"/>
        <v>0</v>
      </c>
      <c r="J27" s="415"/>
      <c r="K27" s="415"/>
      <c r="M27" s="45" t="s">
        <v>54</v>
      </c>
      <c r="N27" s="46">
        <v>3.0</v>
      </c>
      <c r="O27" s="47"/>
      <c r="P27" s="48" t="s">
        <v>173</v>
      </c>
      <c r="Q27" s="183" t="s">
        <v>172</v>
      </c>
      <c r="R27" s="386">
        <v>0.0</v>
      </c>
      <c r="S27" s="221">
        <v>500000.0</v>
      </c>
      <c r="T27" s="386">
        <f t="shared" si="3"/>
        <v>0</v>
      </c>
      <c r="U27" s="387">
        <f t="shared" si="4"/>
        <v>0</v>
      </c>
      <c r="V27" s="415"/>
      <c r="W27" s="415"/>
      <c r="X27" s="415"/>
      <c r="Y27" s="45" t="s">
        <v>54</v>
      </c>
      <c r="Z27" s="46">
        <v>3.0</v>
      </c>
      <c r="AA27" s="47"/>
      <c r="AB27" s="48" t="s">
        <v>173</v>
      </c>
      <c r="AC27" s="183" t="s">
        <v>172</v>
      </c>
      <c r="AD27" s="386">
        <v>0.0</v>
      </c>
      <c r="AE27" s="221">
        <v>500000.0</v>
      </c>
      <c r="AF27" s="386">
        <f t="shared" si="5"/>
        <v>0</v>
      </c>
      <c r="AG27" s="387">
        <f t="shared" si="6"/>
        <v>0</v>
      </c>
      <c r="AH27" s="415"/>
      <c r="AI27" s="415"/>
      <c r="AJ27" s="415"/>
      <c r="AK27" s="45" t="s">
        <v>54</v>
      </c>
      <c r="AL27" s="46">
        <v>3.0</v>
      </c>
      <c r="AM27" s="47"/>
      <c r="AN27" s="48" t="s">
        <v>173</v>
      </c>
      <c r="AO27" s="183" t="s">
        <v>172</v>
      </c>
      <c r="AP27" s="386">
        <v>0.0</v>
      </c>
      <c r="AQ27" s="221">
        <v>500000.0</v>
      </c>
      <c r="AR27" s="386">
        <f t="shared" si="7"/>
        <v>0</v>
      </c>
      <c r="AS27" s="387">
        <f t="shared" si="8"/>
        <v>0</v>
      </c>
      <c r="AT27" s="415"/>
      <c r="AU27" s="415"/>
      <c r="AV27" s="415"/>
    </row>
    <row r="28" ht="15.75" customHeight="1">
      <c r="A28" s="108" t="s">
        <v>54</v>
      </c>
      <c r="B28" s="231">
        <v>3.0</v>
      </c>
      <c r="C28" s="110"/>
      <c r="D28" s="116" t="s">
        <v>174</v>
      </c>
      <c r="E28" s="111" t="s">
        <v>172</v>
      </c>
      <c r="F28" s="389">
        <v>0.0</v>
      </c>
      <c r="G28" s="232">
        <v>1000000.0</v>
      </c>
      <c r="H28" s="389">
        <f t="shared" si="1"/>
        <v>0</v>
      </c>
      <c r="I28" s="390">
        <f t="shared" si="2"/>
        <v>0</v>
      </c>
      <c r="J28" s="415"/>
      <c r="K28" s="415"/>
      <c r="M28" s="391" t="s">
        <v>54</v>
      </c>
      <c r="N28" s="392">
        <v>3.0</v>
      </c>
      <c r="O28" s="393"/>
      <c r="P28" s="394" t="s">
        <v>174</v>
      </c>
      <c r="Q28" s="395" t="s">
        <v>172</v>
      </c>
      <c r="R28" s="398">
        <v>0.0</v>
      </c>
      <c r="S28" s="397">
        <v>1000000.0</v>
      </c>
      <c r="T28" s="398">
        <f t="shared" si="3"/>
        <v>0</v>
      </c>
      <c r="U28" s="399">
        <f t="shared" si="4"/>
        <v>0</v>
      </c>
      <c r="V28" s="415"/>
      <c r="W28" s="415"/>
      <c r="X28" s="415"/>
      <c r="Y28" s="184" t="s">
        <v>54</v>
      </c>
      <c r="Z28" s="185">
        <v>3.0</v>
      </c>
      <c r="AA28" s="186"/>
      <c r="AB28" s="187" t="s">
        <v>174</v>
      </c>
      <c r="AC28" s="400" t="s">
        <v>172</v>
      </c>
      <c r="AD28" s="403">
        <v>0.0</v>
      </c>
      <c r="AE28" s="402">
        <v>1000000.0</v>
      </c>
      <c r="AF28" s="403">
        <f t="shared" si="5"/>
        <v>0</v>
      </c>
      <c r="AG28" s="404">
        <f t="shared" si="6"/>
        <v>0</v>
      </c>
      <c r="AH28" s="415"/>
      <c r="AI28" s="415"/>
      <c r="AJ28" s="415"/>
      <c r="AK28" s="54" t="s">
        <v>54</v>
      </c>
      <c r="AL28" s="55">
        <v>3.0</v>
      </c>
      <c r="AM28" s="56"/>
      <c r="AN28" s="62" t="s">
        <v>174</v>
      </c>
      <c r="AO28" s="57" t="s">
        <v>172</v>
      </c>
      <c r="AP28" s="407">
        <v>0.0</v>
      </c>
      <c r="AQ28" s="406">
        <v>1000000.0</v>
      </c>
      <c r="AR28" s="407">
        <f t="shared" si="7"/>
        <v>0</v>
      </c>
      <c r="AS28" s="408">
        <f t="shared" si="8"/>
        <v>0</v>
      </c>
      <c r="AT28" s="415"/>
      <c r="AU28" s="415"/>
      <c r="AV28" s="415"/>
    </row>
    <row r="29" ht="15.75" customHeight="1">
      <c r="A29" s="63" t="s">
        <v>54</v>
      </c>
      <c r="B29" s="64">
        <v>3.0</v>
      </c>
      <c r="C29" s="65"/>
      <c r="D29" s="66" t="s">
        <v>175</v>
      </c>
      <c r="E29" s="215" t="s">
        <v>172</v>
      </c>
      <c r="F29" s="410">
        <v>0.0</v>
      </c>
      <c r="G29" s="225">
        <v>5000000.0</v>
      </c>
      <c r="H29" s="410">
        <f t="shared" si="1"/>
        <v>0</v>
      </c>
      <c r="I29" s="411">
        <f t="shared" si="2"/>
        <v>0</v>
      </c>
      <c r="J29" s="414"/>
      <c r="K29" s="414"/>
      <c r="M29" s="63" t="s">
        <v>54</v>
      </c>
      <c r="N29" s="64">
        <v>3.0</v>
      </c>
      <c r="O29" s="65"/>
      <c r="P29" s="66" t="s">
        <v>175</v>
      </c>
      <c r="Q29" s="215" t="s">
        <v>172</v>
      </c>
      <c r="R29" s="410">
        <v>0.0</v>
      </c>
      <c r="S29" s="225">
        <v>5000000.0</v>
      </c>
      <c r="T29" s="410">
        <f t="shared" si="3"/>
        <v>0</v>
      </c>
      <c r="U29" s="411">
        <f t="shared" si="4"/>
        <v>0</v>
      </c>
      <c r="V29" s="414"/>
      <c r="W29" s="414"/>
      <c r="X29" s="414"/>
      <c r="Y29" s="63" t="s">
        <v>54</v>
      </c>
      <c r="Z29" s="64">
        <v>3.0</v>
      </c>
      <c r="AA29" s="65"/>
      <c r="AB29" s="66" t="s">
        <v>175</v>
      </c>
      <c r="AC29" s="215" t="s">
        <v>172</v>
      </c>
      <c r="AD29" s="410">
        <v>0.0</v>
      </c>
      <c r="AE29" s="225">
        <v>5000000.0</v>
      </c>
      <c r="AF29" s="410">
        <f t="shared" si="5"/>
        <v>0</v>
      </c>
      <c r="AG29" s="411">
        <f t="shared" si="6"/>
        <v>0</v>
      </c>
      <c r="AH29" s="414"/>
      <c r="AI29" s="414"/>
      <c r="AJ29" s="414"/>
      <c r="AK29" s="63" t="s">
        <v>54</v>
      </c>
      <c r="AL29" s="64">
        <v>3.0</v>
      </c>
      <c r="AM29" s="65"/>
      <c r="AN29" s="66" t="s">
        <v>175</v>
      </c>
      <c r="AO29" s="215" t="s">
        <v>172</v>
      </c>
      <c r="AP29" s="410">
        <v>0.0</v>
      </c>
      <c r="AQ29" s="225">
        <v>5000000.0</v>
      </c>
      <c r="AR29" s="410">
        <f t="shared" si="7"/>
        <v>0</v>
      </c>
      <c r="AS29" s="411">
        <f t="shared" si="8"/>
        <v>0</v>
      </c>
      <c r="AT29" s="414"/>
      <c r="AU29" s="414"/>
      <c r="AV29" s="414"/>
    </row>
    <row r="30" ht="15.75" customHeight="1">
      <c r="A30" s="99" t="s">
        <v>56</v>
      </c>
      <c r="B30" s="227" t="s">
        <v>47</v>
      </c>
      <c r="C30" s="228" t="s">
        <v>267</v>
      </c>
      <c r="D30" s="229" t="s">
        <v>171</v>
      </c>
      <c r="E30" s="102" t="s">
        <v>172</v>
      </c>
      <c r="F30" s="362">
        <v>0.0</v>
      </c>
      <c r="G30" s="230">
        <v>10000.0</v>
      </c>
      <c r="H30" s="362">
        <f t="shared" si="1"/>
        <v>0</v>
      </c>
      <c r="I30" s="363">
        <f t="shared" si="2"/>
        <v>0</v>
      </c>
      <c r="J30" s="415"/>
      <c r="K30" s="415"/>
      <c r="M30" s="364" t="s">
        <v>56</v>
      </c>
      <c r="N30" s="365" t="s">
        <v>47</v>
      </c>
      <c r="O30" s="366" t="s">
        <v>268</v>
      </c>
      <c r="P30" s="367" t="s">
        <v>171</v>
      </c>
      <c r="Q30" s="368" t="s">
        <v>172</v>
      </c>
      <c r="R30" s="371">
        <v>0.0</v>
      </c>
      <c r="S30" s="370">
        <v>10000.0</v>
      </c>
      <c r="T30" s="371">
        <f t="shared" si="3"/>
        <v>0</v>
      </c>
      <c r="U30" s="372">
        <f t="shared" si="4"/>
        <v>0</v>
      </c>
      <c r="V30" s="415"/>
      <c r="W30" s="415"/>
      <c r="X30" s="415"/>
      <c r="Y30" s="175" t="s">
        <v>56</v>
      </c>
      <c r="Z30" s="176" t="s">
        <v>47</v>
      </c>
      <c r="AA30" s="373" t="s">
        <v>269</v>
      </c>
      <c r="AB30" s="374" t="s">
        <v>171</v>
      </c>
      <c r="AC30" s="178" t="s">
        <v>172</v>
      </c>
      <c r="AD30" s="377">
        <v>0.0</v>
      </c>
      <c r="AE30" s="376">
        <v>10000.0</v>
      </c>
      <c r="AF30" s="377">
        <f t="shared" si="5"/>
        <v>0</v>
      </c>
      <c r="AG30" s="378">
        <f t="shared" si="6"/>
        <v>0</v>
      </c>
      <c r="AH30" s="415"/>
      <c r="AI30" s="415"/>
      <c r="AJ30" s="415"/>
      <c r="AK30" s="34" t="s">
        <v>56</v>
      </c>
      <c r="AL30" s="35" t="s">
        <v>47</v>
      </c>
      <c r="AM30" s="379" t="s">
        <v>270</v>
      </c>
      <c r="AN30" s="380" t="s">
        <v>171</v>
      </c>
      <c r="AO30" s="37" t="s">
        <v>172</v>
      </c>
      <c r="AP30" s="383">
        <v>0.0</v>
      </c>
      <c r="AQ30" s="382">
        <v>10000.0</v>
      </c>
      <c r="AR30" s="383">
        <f t="shared" si="7"/>
        <v>0</v>
      </c>
      <c r="AS30" s="384">
        <f t="shared" si="8"/>
        <v>0</v>
      </c>
      <c r="AT30" s="415"/>
      <c r="AU30" s="415"/>
      <c r="AV30" s="415"/>
    </row>
    <row r="31" ht="15.75" customHeight="1">
      <c r="A31" s="45" t="s">
        <v>56</v>
      </c>
      <c r="B31" s="46" t="s">
        <v>47</v>
      </c>
      <c r="C31" s="47"/>
      <c r="D31" s="183" t="s">
        <v>252</v>
      </c>
      <c r="E31" s="183" t="s">
        <v>172</v>
      </c>
      <c r="F31" s="386">
        <v>0.0</v>
      </c>
      <c r="G31" s="221">
        <v>50000.0</v>
      </c>
      <c r="H31" s="386">
        <f t="shared" si="1"/>
        <v>0</v>
      </c>
      <c r="I31" s="387">
        <f t="shared" si="2"/>
        <v>0</v>
      </c>
      <c r="J31" s="415"/>
      <c r="K31" s="415"/>
      <c r="M31" s="45" t="s">
        <v>56</v>
      </c>
      <c r="N31" s="46" t="s">
        <v>47</v>
      </c>
      <c r="O31" s="47"/>
      <c r="P31" s="183" t="s">
        <v>252</v>
      </c>
      <c r="Q31" s="183" t="s">
        <v>172</v>
      </c>
      <c r="R31" s="386">
        <v>0.0</v>
      </c>
      <c r="S31" s="221">
        <v>50000.0</v>
      </c>
      <c r="T31" s="386">
        <f t="shared" si="3"/>
        <v>0</v>
      </c>
      <c r="U31" s="387">
        <f t="shared" si="4"/>
        <v>0</v>
      </c>
      <c r="V31" s="415"/>
      <c r="W31" s="415"/>
      <c r="X31" s="415"/>
      <c r="Y31" s="45" t="s">
        <v>56</v>
      </c>
      <c r="Z31" s="46" t="s">
        <v>47</v>
      </c>
      <c r="AA31" s="47"/>
      <c r="AB31" s="183" t="s">
        <v>252</v>
      </c>
      <c r="AC31" s="183" t="s">
        <v>172</v>
      </c>
      <c r="AD31" s="386">
        <v>0.0</v>
      </c>
      <c r="AE31" s="221">
        <v>50000.0</v>
      </c>
      <c r="AF31" s="386">
        <f t="shared" si="5"/>
        <v>0</v>
      </c>
      <c r="AG31" s="387">
        <f t="shared" si="6"/>
        <v>0</v>
      </c>
      <c r="AH31" s="415"/>
      <c r="AI31" s="415"/>
      <c r="AJ31" s="415"/>
      <c r="AK31" s="45" t="s">
        <v>56</v>
      </c>
      <c r="AL31" s="46" t="s">
        <v>47</v>
      </c>
      <c r="AM31" s="47"/>
      <c r="AN31" s="183" t="s">
        <v>252</v>
      </c>
      <c r="AO31" s="183" t="s">
        <v>172</v>
      </c>
      <c r="AP31" s="386">
        <v>0.0</v>
      </c>
      <c r="AQ31" s="221">
        <v>50000.0</v>
      </c>
      <c r="AR31" s="386">
        <f t="shared" si="7"/>
        <v>0</v>
      </c>
      <c r="AS31" s="387">
        <f t="shared" si="8"/>
        <v>0</v>
      </c>
      <c r="AT31" s="415"/>
      <c r="AU31" s="415"/>
      <c r="AV31" s="415"/>
    </row>
    <row r="32" ht="15.75" customHeight="1">
      <c r="A32" s="108" t="s">
        <v>56</v>
      </c>
      <c r="B32" s="231" t="s">
        <v>47</v>
      </c>
      <c r="C32" s="110"/>
      <c r="D32" s="116" t="s">
        <v>253</v>
      </c>
      <c r="E32" s="111" t="s">
        <v>172</v>
      </c>
      <c r="F32" s="389">
        <v>0.0</v>
      </c>
      <c r="G32" s="232">
        <v>100000.0</v>
      </c>
      <c r="H32" s="389">
        <f t="shared" si="1"/>
        <v>0</v>
      </c>
      <c r="I32" s="390">
        <f t="shared" si="2"/>
        <v>0</v>
      </c>
      <c r="J32" s="415"/>
      <c r="K32" s="415"/>
      <c r="M32" s="391" t="s">
        <v>56</v>
      </c>
      <c r="N32" s="392" t="s">
        <v>47</v>
      </c>
      <c r="O32" s="393"/>
      <c r="P32" s="394" t="s">
        <v>253</v>
      </c>
      <c r="Q32" s="395" t="s">
        <v>172</v>
      </c>
      <c r="R32" s="398">
        <v>0.0</v>
      </c>
      <c r="S32" s="397">
        <v>100000.0</v>
      </c>
      <c r="T32" s="398">
        <f t="shared" si="3"/>
        <v>0</v>
      </c>
      <c r="U32" s="399">
        <f t="shared" si="4"/>
        <v>0</v>
      </c>
      <c r="V32" s="415"/>
      <c r="W32" s="415"/>
      <c r="X32" s="415"/>
      <c r="Y32" s="184" t="s">
        <v>56</v>
      </c>
      <c r="Z32" s="185" t="s">
        <v>47</v>
      </c>
      <c r="AA32" s="186"/>
      <c r="AB32" s="187" t="s">
        <v>253</v>
      </c>
      <c r="AC32" s="400" t="s">
        <v>172</v>
      </c>
      <c r="AD32" s="403">
        <v>0.0</v>
      </c>
      <c r="AE32" s="402">
        <v>100000.0</v>
      </c>
      <c r="AF32" s="403">
        <f t="shared" si="5"/>
        <v>0</v>
      </c>
      <c r="AG32" s="404">
        <f t="shared" si="6"/>
        <v>0</v>
      </c>
      <c r="AH32" s="415"/>
      <c r="AI32" s="415"/>
      <c r="AJ32" s="415"/>
      <c r="AK32" s="54" t="s">
        <v>56</v>
      </c>
      <c r="AL32" s="55" t="s">
        <v>47</v>
      </c>
      <c r="AM32" s="56"/>
      <c r="AN32" s="62" t="s">
        <v>253</v>
      </c>
      <c r="AO32" s="57" t="s">
        <v>172</v>
      </c>
      <c r="AP32" s="407">
        <v>0.0</v>
      </c>
      <c r="AQ32" s="406">
        <v>100000.0</v>
      </c>
      <c r="AR32" s="407">
        <f t="shared" si="7"/>
        <v>0</v>
      </c>
      <c r="AS32" s="408">
        <f t="shared" si="8"/>
        <v>0</v>
      </c>
      <c r="AT32" s="415"/>
      <c r="AU32" s="415"/>
      <c r="AV32" s="415"/>
    </row>
    <row r="33" ht="15.75" customHeight="1">
      <c r="A33" s="45" t="s">
        <v>56</v>
      </c>
      <c r="B33" s="46" t="s">
        <v>47</v>
      </c>
      <c r="C33" s="47"/>
      <c r="D33" s="48" t="s">
        <v>173</v>
      </c>
      <c r="E33" s="183" t="s">
        <v>172</v>
      </c>
      <c r="F33" s="386">
        <v>0.0</v>
      </c>
      <c r="G33" s="221">
        <v>500000.0</v>
      </c>
      <c r="H33" s="386">
        <f t="shared" si="1"/>
        <v>0</v>
      </c>
      <c r="I33" s="387">
        <f t="shared" si="2"/>
        <v>0</v>
      </c>
      <c r="J33" s="415"/>
      <c r="K33" s="415"/>
      <c r="M33" s="45" t="s">
        <v>56</v>
      </c>
      <c r="N33" s="46" t="s">
        <v>47</v>
      </c>
      <c r="O33" s="47"/>
      <c r="P33" s="48" t="s">
        <v>173</v>
      </c>
      <c r="Q33" s="183" t="s">
        <v>172</v>
      </c>
      <c r="R33" s="386">
        <v>0.0</v>
      </c>
      <c r="S33" s="221">
        <v>500000.0</v>
      </c>
      <c r="T33" s="386">
        <f t="shared" si="3"/>
        <v>0</v>
      </c>
      <c r="U33" s="387">
        <f t="shared" si="4"/>
        <v>0</v>
      </c>
      <c r="V33" s="415"/>
      <c r="W33" s="415"/>
      <c r="X33" s="415"/>
      <c r="Y33" s="45" t="s">
        <v>56</v>
      </c>
      <c r="Z33" s="46" t="s">
        <v>47</v>
      </c>
      <c r="AA33" s="47"/>
      <c r="AB33" s="48" t="s">
        <v>173</v>
      </c>
      <c r="AC33" s="183" t="s">
        <v>172</v>
      </c>
      <c r="AD33" s="386">
        <v>0.0</v>
      </c>
      <c r="AE33" s="221">
        <v>500000.0</v>
      </c>
      <c r="AF33" s="386">
        <f t="shared" si="5"/>
        <v>0</v>
      </c>
      <c r="AG33" s="387">
        <f t="shared" si="6"/>
        <v>0</v>
      </c>
      <c r="AH33" s="415"/>
      <c r="AI33" s="415"/>
      <c r="AJ33" s="415"/>
      <c r="AK33" s="45" t="s">
        <v>56</v>
      </c>
      <c r="AL33" s="46" t="s">
        <v>47</v>
      </c>
      <c r="AM33" s="47"/>
      <c r="AN33" s="48" t="s">
        <v>173</v>
      </c>
      <c r="AO33" s="183" t="s">
        <v>172</v>
      </c>
      <c r="AP33" s="386">
        <v>0.0</v>
      </c>
      <c r="AQ33" s="221">
        <v>500000.0</v>
      </c>
      <c r="AR33" s="386">
        <f t="shared" si="7"/>
        <v>0</v>
      </c>
      <c r="AS33" s="387">
        <f t="shared" si="8"/>
        <v>0</v>
      </c>
      <c r="AT33" s="415"/>
      <c r="AU33" s="415"/>
      <c r="AV33" s="415"/>
    </row>
    <row r="34" ht="15.75" customHeight="1">
      <c r="A34" s="108" t="s">
        <v>56</v>
      </c>
      <c r="B34" s="231" t="s">
        <v>47</v>
      </c>
      <c r="C34" s="110"/>
      <c r="D34" s="116" t="s">
        <v>174</v>
      </c>
      <c r="E34" s="111" t="s">
        <v>172</v>
      </c>
      <c r="F34" s="389">
        <v>0.0</v>
      </c>
      <c r="G34" s="232">
        <v>1000000.0</v>
      </c>
      <c r="H34" s="389">
        <f t="shared" si="1"/>
        <v>0</v>
      </c>
      <c r="I34" s="390">
        <f t="shared" si="2"/>
        <v>0</v>
      </c>
      <c r="J34" s="415"/>
      <c r="K34" s="415"/>
      <c r="M34" s="391" t="s">
        <v>56</v>
      </c>
      <c r="N34" s="392" t="s">
        <v>47</v>
      </c>
      <c r="O34" s="393"/>
      <c r="P34" s="394" t="s">
        <v>174</v>
      </c>
      <c r="Q34" s="395" t="s">
        <v>172</v>
      </c>
      <c r="R34" s="398">
        <v>0.0</v>
      </c>
      <c r="S34" s="397">
        <v>1000000.0</v>
      </c>
      <c r="T34" s="398">
        <f t="shared" si="3"/>
        <v>0</v>
      </c>
      <c r="U34" s="399">
        <f t="shared" si="4"/>
        <v>0</v>
      </c>
      <c r="V34" s="415"/>
      <c r="W34" s="415"/>
      <c r="X34" s="415"/>
      <c r="Y34" s="184" t="s">
        <v>56</v>
      </c>
      <c r="Z34" s="185" t="s">
        <v>47</v>
      </c>
      <c r="AA34" s="186"/>
      <c r="AB34" s="187" t="s">
        <v>174</v>
      </c>
      <c r="AC34" s="400" t="s">
        <v>172</v>
      </c>
      <c r="AD34" s="403">
        <v>0.0</v>
      </c>
      <c r="AE34" s="402">
        <v>1000000.0</v>
      </c>
      <c r="AF34" s="403">
        <f t="shared" si="5"/>
        <v>0</v>
      </c>
      <c r="AG34" s="404">
        <f t="shared" si="6"/>
        <v>0</v>
      </c>
      <c r="AH34" s="415"/>
      <c r="AI34" s="415"/>
      <c r="AJ34" s="415"/>
      <c r="AK34" s="54" t="s">
        <v>56</v>
      </c>
      <c r="AL34" s="55" t="s">
        <v>47</v>
      </c>
      <c r="AM34" s="56"/>
      <c r="AN34" s="62" t="s">
        <v>174</v>
      </c>
      <c r="AO34" s="57" t="s">
        <v>172</v>
      </c>
      <c r="AP34" s="407">
        <v>0.0</v>
      </c>
      <c r="AQ34" s="406">
        <v>1000000.0</v>
      </c>
      <c r="AR34" s="407">
        <f t="shared" si="7"/>
        <v>0</v>
      </c>
      <c r="AS34" s="408">
        <f t="shared" si="8"/>
        <v>0</v>
      </c>
      <c r="AT34" s="415"/>
      <c r="AU34" s="415"/>
      <c r="AV34" s="415"/>
    </row>
    <row r="35" ht="15.75" customHeight="1">
      <c r="A35" s="63" t="s">
        <v>56</v>
      </c>
      <c r="B35" s="64" t="s">
        <v>47</v>
      </c>
      <c r="C35" s="65"/>
      <c r="D35" s="66" t="s">
        <v>175</v>
      </c>
      <c r="E35" s="215" t="s">
        <v>172</v>
      </c>
      <c r="F35" s="410">
        <v>0.0</v>
      </c>
      <c r="G35" s="225">
        <v>5000000.0</v>
      </c>
      <c r="H35" s="410">
        <f t="shared" si="1"/>
        <v>0</v>
      </c>
      <c r="I35" s="411">
        <f t="shared" si="2"/>
        <v>0</v>
      </c>
      <c r="J35" s="414"/>
      <c r="K35" s="414"/>
      <c r="M35" s="63" t="s">
        <v>56</v>
      </c>
      <c r="N35" s="64" t="s">
        <v>47</v>
      </c>
      <c r="O35" s="65"/>
      <c r="P35" s="66" t="s">
        <v>175</v>
      </c>
      <c r="Q35" s="215" t="s">
        <v>172</v>
      </c>
      <c r="R35" s="410">
        <v>0.0</v>
      </c>
      <c r="S35" s="225">
        <v>5000000.0</v>
      </c>
      <c r="T35" s="410">
        <f t="shared" si="3"/>
        <v>0</v>
      </c>
      <c r="U35" s="411">
        <f t="shared" si="4"/>
        <v>0</v>
      </c>
      <c r="V35" s="414"/>
      <c r="W35" s="414"/>
      <c r="X35" s="414"/>
      <c r="Y35" s="63" t="s">
        <v>56</v>
      </c>
      <c r="Z35" s="64" t="s">
        <v>47</v>
      </c>
      <c r="AA35" s="65"/>
      <c r="AB35" s="66" t="s">
        <v>175</v>
      </c>
      <c r="AC35" s="215" t="s">
        <v>172</v>
      </c>
      <c r="AD35" s="410">
        <v>0.0</v>
      </c>
      <c r="AE35" s="225">
        <v>5000000.0</v>
      </c>
      <c r="AF35" s="410">
        <f t="shared" si="5"/>
        <v>0</v>
      </c>
      <c r="AG35" s="411">
        <f t="shared" si="6"/>
        <v>0</v>
      </c>
      <c r="AH35" s="414"/>
      <c r="AI35" s="414"/>
      <c r="AJ35" s="414"/>
      <c r="AK35" s="63" t="s">
        <v>56</v>
      </c>
      <c r="AL35" s="64" t="s">
        <v>47</v>
      </c>
      <c r="AM35" s="65"/>
      <c r="AN35" s="66" t="s">
        <v>175</v>
      </c>
      <c r="AO35" s="215" t="s">
        <v>172</v>
      </c>
      <c r="AP35" s="410">
        <v>0.0</v>
      </c>
      <c r="AQ35" s="225">
        <v>5000000.0</v>
      </c>
      <c r="AR35" s="410">
        <f t="shared" si="7"/>
        <v>0</v>
      </c>
      <c r="AS35" s="411">
        <f t="shared" si="8"/>
        <v>0</v>
      </c>
      <c r="AT35" s="414"/>
      <c r="AU35" s="414"/>
      <c r="AV35" s="414"/>
    </row>
    <row r="36" ht="15.75" customHeight="1"/>
    <row r="37" ht="15.75" customHeight="1">
      <c r="A37" s="416" t="s">
        <v>271</v>
      </c>
    </row>
    <row r="38" ht="15.75" customHeight="1">
      <c r="A38" s="349" t="s">
        <v>272</v>
      </c>
      <c r="B38" s="350"/>
      <c r="C38" s="350"/>
      <c r="D38" s="350"/>
      <c r="E38" s="350"/>
      <c r="F38" s="351"/>
      <c r="G38" s="417" t="s">
        <v>273</v>
      </c>
      <c r="H38" s="353"/>
    </row>
    <row r="39" ht="15.75" customHeight="1">
      <c r="A39" s="418" t="s">
        <v>243</v>
      </c>
      <c r="B39" s="94" t="s">
        <v>29</v>
      </c>
      <c r="C39" s="95" t="s">
        <v>30</v>
      </c>
      <c r="D39" s="172" t="s">
        <v>274</v>
      </c>
      <c r="E39" s="67" t="s">
        <v>32</v>
      </c>
      <c r="F39" s="95" t="s">
        <v>33</v>
      </c>
      <c r="G39" s="173" t="s">
        <v>35</v>
      </c>
      <c r="H39" s="174" t="s">
        <v>36</v>
      </c>
      <c r="J39" s="43" t="s">
        <v>37</v>
      </c>
      <c r="K39" s="43" t="s">
        <v>275</v>
      </c>
    </row>
    <row r="40" ht="15.75" customHeight="1">
      <c r="A40" s="419" t="s">
        <v>39</v>
      </c>
      <c r="B40" s="420">
        <v>1.0</v>
      </c>
      <c r="C40" s="421" t="s">
        <v>276</v>
      </c>
      <c r="D40" s="422">
        <v>1.0</v>
      </c>
      <c r="E40" s="423" t="s">
        <v>41</v>
      </c>
      <c r="F40" s="424">
        <v>0.0</v>
      </c>
      <c r="G40" s="425">
        <f t="shared" ref="G40:G64" si="9">D40*F40</f>
        <v>0</v>
      </c>
      <c r="H40" s="426">
        <f t="shared" ref="H40:H64" si="10">G40*365</f>
        <v>0</v>
      </c>
      <c r="J40" s="358">
        <v>1.0</v>
      </c>
      <c r="K40" s="44">
        <f>sum(H40:H44)</f>
        <v>0</v>
      </c>
    </row>
    <row r="41" ht="15.75" customHeight="1">
      <c r="A41" s="45" t="s">
        <v>39</v>
      </c>
      <c r="B41" s="107">
        <v>1.0</v>
      </c>
      <c r="C41" s="47"/>
      <c r="D41" s="205">
        <v>2.0</v>
      </c>
      <c r="E41" s="49" t="s">
        <v>41</v>
      </c>
      <c r="F41" s="427">
        <v>0.0</v>
      </c>
      <c r="G41" s="53">
        <f t="shared" si="9"/>
        <v>0</v>
      </c>
      <c r="H41" s="428">
        <f t="shared" si="10"/>
        <v>0</v>
      </c>
      <c r="J41" s="358">
        <v>2.0</v>
      </c>
      <c r="K41" s="44">
        <f>sum(H45:H49)</f>
        <v>0</v>
      </c>
    </row>
    <row r="42" ht="15.75" customHeight="1">
      <c r="A42" s="391" t="s">
        <v>39</v>
      </c>
      <c r="B42" s="429">
        <v>1.0</v>
      </c>
      <c r="C42" s="393"/>
      <c r="D42" s="430">
        <v>3.0</v>
      </c>
      <c r="E42" s="431" t="s">
        <v>41</v>
      </c>
      <c r="F42" s="432">
        <v>0.0</v>
      </c>
      <c r="G42" s="433">
        <f t="shared" si="9"/>
        <v>0</v>
      </c>
      <c r="H42" s="434">
        <f t="shared" si="10"/>
        <v>0</v>
      </c>
      <c r="J42" s="358" t="s">
        <v>44</v>
      </c>
      <c r="K42" s="44">
        <f>sum(H50:H54)</f>
        <v>0</v>
      </c>
    </row>
    <row r="43" ht="15.75" customHeight="1">
      <c r="A43" s="45" t="s">
        <v>39</v>
      </c>
      <c r="B43" s="107">
        <v>1.0</v>
      </c>
      <c r="C43" s="47"/>
      <c r="D43" s="205">
        <v>4.0</v>
      </c>
      <c r="E43" s="49" t="s">
        <v>41</v>
      </c>
      <c r="F43" s="427">
        <v>0.0</v>
      </c>
      <c r="G43" s="53">
        <f t="shared" si="9"/>
        <v>0</v>
      </c>
      <c r="H43" s="428">
        <f t="shared" si="10"/>
        <v>0</v>
      </c>
      <c r="J43" s="358">
        <v>3.0</v>
      </c>
      <c r="K43" s="44">
        <f>sum(H55:H59)</f>
        <v>0</v>
      </c>
    </row>
    <row r="44" ht="15.75" customHeight="1">
      <c r="A44" s="435" t="s">
        <v>39</v>
      </c>
      <c r="B44" s="436">
        <v>1.0</v>
      </c>
      <c r="C44" s="437"/>
      <c r="D44" s="438">
        <v>5.0</v>
      </c>
      <c r="E44" s="439" t="s">
        <v>41</v>
      </c>
      <c r="F44" s="440">
        <v>0.0</v>
      </c>
      <c r="G44" s="426">
        <f t="shared" si="9"/>
        <v>0</v>
      </c>
      <c r="H44" s="441">
        <f t="shared" si="10"/>
        <v>0</v>
      </c>
      <c r="J44" s="358" t="s">
        <v>47</v>
      </c>
      <c r="K44" s="44">
        <f>sum(H60:H64)</f>
        <v>0</v>
      </c>
    </row>
    <row r="45" ht="15.75" customHeight="1">
      <c r="A45" s="263" t="s">
        <v>50</v>
      </c>
      <c r="B45" s="264">
        <v>2.0</v>
      </c>
      <c r="C45" s="265" t="s">
        <v>277</v>
      </c>
      <c r="D45" s="266">
        <v>1.0</v>
      </c>
      <c r="E45" s="267" t="s">
        <v>41</v>
      </c>
      <c r="F45" s="442">
        <v>0.0</v>
      </c>
      <c r="G45" s="269">
        <f t="shared" si="9"/>
        <v>0</v>
      </c>
      <c r="H45" s="269">
        <f t="shared" si="10"/>
        <v>0</v>
      </c>
      <c r="J45" s="412" t="s">
        <v>254</v>
      </c>
      <c r="K45" s="413">
        <f>sum(K40:K44)</f>
        <v>0</v>
      </c>
    </row>
    <row r="46" ht="15.75" customHeight="1">
      <c r="A46" s="391" t="s">
        <v>50</v>
      </c>
      <c r="B46" s="429">
        <v>2.0</v>
      </c>
      <c r="C46" s="393"/>
      <c r="D46" s="430">
        <v>2.0</v>
      </c>
      <c r="E46" s="431" t="s">
        <v>41</v>
      </c>
      <c r="F46" s="398">
        <v>0.0</v>
      </c>
      <c r="G46" s="433">
        <f t="shared" si="9"/>
        <v>0</v>
      </c>
      <c r="H46" s="434">
        <f t="shared" si="10"/>
        <v>0</v>
      </c>
    </row>
    <row r="47" ht="15.75" customHeight="1">
      <c r="A47" s="45" t="s">
        <v>50</v>
      </c>
      <c r="B47" s="107">
        <v>2.0</v>
      </c>
      <c r="C47" s="47"/>
      <c r="D47" s="205">
        <v>3.0</v>
      </c>
      <c r="E47" s="49" t="s">
        <v>41</v>
      </c>
      <c r="F47" s="386">
        <v>0.0</v>
      </c>
      <c r="G47" s="53">
        <f t="shared" si="9"/>
        <v>0</v>
      </c>
      <c r="H47" s="428">
        <f t="shared" si="10"/>
        <v>0</v>
      </c>
    </row>
    <row r="48" ht="15.75" customHeight="1">
      <c r="A48" s="391" t="s">
        <v>50</v>
      </c>
      <c r="B48" s="429">
        <v>2.0</v>
      </c>
      <c r="C48" s="393"/>
      <c r="D48" s="430">
        <v>4.0</v>
      </c>
      <c r="E48" s="431" t="s">
        <v>41</v>
      </c>
      <c r="F48" s="398">
        <v>0.0</v>
      </c>
      <c r="G48" s="433">
        <f t="shared" si="9"/>
        <v>0</v>
      </c>
      <c r="H48" s="434">
        <f t="shared" si="10"/>
        <v>0</v>
      </c>
    </row>
    <row r="49" ht="15.75" customHeight="1">
      <c r="A49" s="63" t="s">
        <v>50</v>
      </c>
      <c r="B49" s="117">
        <v>2.0</v>
      </c>
      <c r="C49" s="65"/>
      <c r="D49" s="213">
        <v>5.0</v>
      </c>
      <c r="E49" s="67" t="s">
        <v>41</v>
      </c>
      <c r="F49" s="410">
        <v>0.0</v>
      </c>
      <c r="G49" s="443">
        <f t="shared" si="9"/>
        <v>0</v>
      </c>
      <c r="H49" s="71">
        <f t="shared" si="10"/>
        <v>0</v>
      </c>
    </row>
    <row r="50" ht="15.75" customHeight="1">
      <c r="A50" s="364" t="s">
        <v>52</v>
      </c>
      <c r="B50" s="444" t="s">
        <v>44</v>
      </c>
      <c r="C50" s="445" t="s">
        <v>278</v>
      </c>
      <c r="D50" s="446">
        <v>1.0</v>
      </c>
      <c r="E50" s="447" t="s">
        <v>41</v>
      </c>
      <c r="F50" s="371">
        <v>0.0</v>
      </c>
      <c r="G50" s="448">
        <f t="shared" si="9"/>
        <v>0</v>
      </c>
      <c r="H50" s="448">
        <f t="shared" si="10"/>
        <v>0</v>
      </c>
    </row>
    <row r="51" ht="15.75" customHeight="1">
      <c r="A51" s="45" t="s">
        <v>52</v>
      </c>
      <c r="B51" s="107" t="s">
        <v>44</v>
      </c>
      <c r="C51" s="47"/>
      <c r="D51" s="205">
        <v>2.0</v>
      </c>
      <c r="E51" s="49" t="s">
        <v>41</v>
      </c>
      <c r="F51" s="386">
        <v>0.0</v>
      </c>
      <c r="G51" s="53">
        <f t="shared" si="9"/>
        <v>0</v>
      </c>
      <c r="H51" s="428">
        <f t="shared" si="10"/>
        <v>0</v>
      </c>
    </row>
    <row r="52" ht="15.75" customHeight="1">
      <c r="A52" s="391" t="s">
        <v>52</v>
      </c>
      <c r="B52" s="429" t="s">
        <v>44</v>
      </c>
      <c r="C52" s="393"/>
      <c r="D52" s="430">
        <v>3.0</v>
      </c>
      <c r="E52" s="431" t="s">
        <v>41</v>
      </c>
      <c r="F52" s="398">
        <v>0.0</v>
      </c>
      <c r="G52" s="433">
        <f t="shared" si="9"/>
        <v>0</v>
      </c>
      <c r="H52" s="434">
        <f t="shared" si="10"/>
        <v>0</v>
      </c>
    </row>
    <row r="53" ht="15.75" customHeight="1">
      <c r="A53" s="45" t="s">
        <v>52</v>
      </c>
      <c r="B53" s="107" t="s">
        <v>44</v>
      </c>
      <c r="C53" s="47"/>
      <c r="D53" s="205">
        <v>4.0</v>
      </c>
      <c r="E53" s="49" t="s">
        <v>41</v>
      </c>
      <c r="F53" s="386">
        <v>0.0</v>
      </c>
      <c r="G53" s="53">
        <f t="shared" si="9"/>
        <v>0</v>
      </c>
      <c r="H53" s="428">
        <f t="shared" si="10"/>
        <v>0</v>
      </c>
    </row>
    <row r="54" ht="15.75" customHeight="1">
      <c r="A54" s="435" t="s">
        <v>52</v>
      </c>
      <c r="B54" s="436" t="s">
        <v>44</v>
      </c>
      <c r="C54" s="437"/>
      <c r="D54" s="438">
        <v>5.0</v>
      </c>
      <c r="E54" s="439" t="s">
        <v>41</v>
      </c>
      <c r="F54" s="440">
        <v>0.0</v>
      </c>
      <c r="G54" s="426">
        <f t="shared" si="9"/>
        <v>0</v>
      </c>
      <c r="H54" s="441">
        <f t="shared" si="10"/>
        <v>0</v>
      </c>
    </row>
    <row r="55" ht="15.75" customHeight="1">
      <c r="A55" s="263" t="s">
        <v>54</v>
      </c>
      <c r="B55" s="271">
        <v>3.0</v>
      </c>
      <c r="C55" s="265" t="s">
        <v>279</v>
      </c>
      <c r="D55" s="266">
        <v>1.0</v>
      </c>
      <c r="E55" s="267" t="s">
        <v>41</v>
      </c>
      <c r="F55" s="442">
        <v>0.0</v>
      </c>
      <c r="G55" s="269">
        <f t="shared" si="9"/>
        <v>0</v>
      </c>
      <c r="H55" s="269">
        <f t="shared" si="10"/>
        <v>0</v>
      </c>
    </row>
    <row r="56" ht="15.75" customHeight="1">
      <c r="A56" s="391" t="s">
        <v>54</v>
      </c>
      <c r="B56" s="449">
        <v>3.0</v>
      </c>
      <c r="C56" s="393"/>
      <c r="D56" s="430">
        <v>2.0</v>
      </c>
      <c r="E56" s="431" t="s">
        <v>41</v>
      </c>
      <c r="F56" s="398">
        <v>0.0</v>
      </c>
      <c r="G56" s="433">
        <f t="shared" si="9"/>
        <v>0</v>
      </c>
      <c r="H56" s="434">
        <f t="shared" si="10"/>
        <v>0</v>
      </c>
    </row>
    <row r="57" ht="15.75" customHeight="1">
      <c r="A57" s="45" t="s">
        <v>54</v>
      </c>
      <c r="B57" s="273">
        <v>3.0</v>
      </c>
      <c r="C57" s="47"/>
      <c r="D57" s="205">
        <v>3.0</v>
      </c>
      <c r="E57" s="49" t="s">
        <v>41</v>
      </c>
      <c r="F57" s="386">
        <v>0.0</v>
      </c>
      <c r="G57" s="53">
        <f t="shared" si="9"/>
        <v>0</v>
      </c>
      <c r="H57" s="428">
        <f t="shared" si="10"/>
        <v>0</v>
      </c>
    </row>
    <row r="58" ht="15.75" customHeight="1">
      <c r="A58" s="391" t="s">
        <v>54</v>
      </c>
      <c r="B58" s="449">
        <v>3.0</v>
      </c>
      <c r="C58" s="393"/>
      <c r="D58" s="430">
        <v>4.0</v>
      </c>
      <c r="E58" s="431" t="s">
        <v>41</v>
      </c>
      <c r="F58" s="398">
        <v>0.0</v>
      </c>
      <c r="G58" s="433">
        <f t="shared" si="9"/>
        <v>0</v>
      </c>
      <c r="H58" s="434">
        <f t="shared" si="10"/>
        <v>0</v>
      </c>
    </row>
    <row r="59" ht="15.75" customHeight="1">
      <c r="A59" s="63" t="s">
        <v>54</v>
      </c>
      <c r="B59" s="274">
        <v>3.0</v>
      </c>
      <c r="C59" s="65"/>
      <c r="D59" s="213">
        <v>5.0</v>
      </c>
      <c r="E59" s="67" t="s">
        <v>41</v>
      </c>
      <c r="F59" s="410">
        <v>0.0</v>
      </c>
      <c r="G59" s="443">
        <f t="shared" si="9"/>
        <v>0</v>
      </c>
      <c r="H59" s="71">
        <f t="shared" si="10"/>
        <v>0</v>
      </c>
    </row>
    <row r="60" ht="15.75" customHeight="1">
      <c r="A60" s="364" t="s">
        <v>56</v>
      </c>
      <c r="B60" s="450" t="s">
        <v>47</v>
      </c>
      <c r="C60" s="445" t="s">
        <v>280</v>
      </c>
      <c r="D60" s="446">
        <v>1.0</v>
      </c>
      <c r="E60" s="447" t="s">
        <v>41</v>
      </c>
      <c r="F60" s="371">
        <v>0.0</v>
      </c>
      <c r="G60" s="448">
        <f t="shared" si="9"/>
        <v>0</v>
      </c>
      <c r="H60" s="448">
        <f t="shared" si="10"/>
        <v>0</v>
      </c>
    </row>
    <row r="61" ht="15.75" customHeight="1">
      <c r="A61" s="45" t="s">
        <v>56</v>
      </c>
      <c r="B61" s="273" t="s">
        <v>47</v>
      </c>
      <c r="C61" s="47"/>
      <c r="D61" s="205">
        <v>2.0</v>
      </c>
      <c r="E61" s="49" t="s">
        <v>41</v>
      </c>
      <c r="F61" s="386">
        <v>0.0</v>
      </c>
      <c r="G61" s="53">
        <f t="shared" si="9"/>
        <v>0</v>
      </c>
      <c r="H61" s="428">
        <f t="shared" si="10"/>
        <v>0</v>
      </c>
    </row>
    <row r="62" ht="15.75" customHeight="1">
      <c r="A62" s="391" t="s">
        <v>56</v>
      </c>
      <c r="B62" s="449" t="s">
        <v>47</v>
      </c>
      <c r="C62" s="393"/>
      <c r="D62" s="430">
        <v>3.0</v>
      </c>
      <c r="E62" s="431" t="s">
        <v>41</v>
      </c>
      <c r="F62" s="398">
        <v>0.0</v>
      </c>
      <c r="G62" s="433">
        <f t="shared" si="9"/>
        <v>0</v>
      </c>
      <c r="H62" s="434">
        <f t="shared" si="10"/>
        <v>0</v>
      </c>
    </row>
    <row r="63" ht="15.75" customHeight="1">
      <c r="A63" s="45" t="s">
        <v>56</v>
      </c>
      <c r="B63" s="273" t="s">
        <v>47</v>
      </c>
      <c r="C63" s="47"/>
      <c r="D63" s="205">
        <v>4.0</v>
      </c>
      <c r="E63" s="49" t="s">
        <v>41</v>
      </c>
      <c r="F63" s="386">
        <v>0.0</v>
      </c>
      <c r="G63" s="53">
        <f t="shared" si="9"/>
        <v>0</v>
      </c>
      <c r="H63" s="428">
        <f t="shared" si="10"/>
        <v>0</v>
      </c>
    </row>
    <row r="64" ht="15.75" customHeight="1">
      <c r="A64" s="435" t="s">
        <v>56</v>
      </c>
      <c r="B64" s="451" t="s">
        <v>47</v>
      </c>
      <c r="C64" s="437"/>
      <c r="D64" s="438">
        <v>5.0</v>
      </c>
      <c r="E64" s="439" t="s">
        <v>41</v>
      </c>
      <c r="F64" s="440">
        <v>0.0</v>
      </c>
      <c r="G64" s="452">
        <f t="shared" si="9"/>
        <v>0</v>
      </c>
      <c r="H64" s="441">
        <f t="shared" si="10"/>
        <v>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5">
    <mergeCell ref="G4:I4"/>
    <mergeCell ref="M4:R4"/>
    <mergeCell ref="S4:U4"/>
    <mergeCell ref="Y4:AD4"/>
    <mergeCell ref="AE4:AG4"/>
    <mergeCell ref="AK4:AP4"/>
    <mergeCell ref="AQ4:AS4"/>
    <mergeCell ref="AM6:AM11"/>
    <mergeCell ref="AM12:AM17"/>
    <mergeCell ref="AM18:AM23"/>
    <mergeCell ref="AM24:AM29"/>
    <mergeCell ref="AM30:AM35"/>
    <mergeCell ref="O12:O17"/>
    <mergeCell ref="O18:O23"/>
    <mergeCell ref="O24:O29"/>
    <mergeCell ref="O30:O35"/>
    <mergeCell ref="AA24:AA29"/>
    <mergeCell ref="AA30:AA35"/>
    <mergeCell ref="A4:F4"/>
    <mergeCell ref="C6:C11"/>
    <mergeCell ref="O6:O11"/>
    <mergeCell ref="AA6:AA11"/>
    <mergeCell ref="C12:C17"/>
    <mergeCell ref="AA12:AA17"/>
    <mergeCell ref="AA18:AA23"/>
    <mergeCell ref="C50:C54"/>
    <mergeCell ref="C55:C59"/>
    <mergeCell ref="C60:C64"/>
    <mergeCell ref="C18:C23"/>
    <mergeCell ref="C24:C29"/>
    <mergeCell ref="C30:C35"/>
    <mergeCell ref="A38:F38"/>
    <mergeCell ref="G38:H38"/>
    <mergeCell ref="C40:C44"/>
    <mergeCell ref="C45:C49"/>
  </mergeCells>
  <printOptions/>
  <pageMargins bottom="0.75" footer="0.0" header="0.0" left="0.7" right="0.7" top="0.75"/>
  <pageSetup orientation="landscape"/>
  <drawing r:id="rId1"/>
  <tableParts count="5">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13"/>
    <col customWidth="1" min="3" max="3" width="24.5"/>
    <col customWidth="1" min="4" max="4" width="16.75"/>
    <col customWidth="1" min="5" max="6" width="8.63"/>
    <col customWidth="1" min="7" max="7" width="13.0"/>
    <col customWidth="1" min="8" max="8" width="18.75"/>
    <col customWidth="1" min="9" max="9" width="17.25"/>
    <col customWidth="1" min="10" max="10" width="10.25"/>
    <col customWidth="1" min="11" max="11" width="42.88"/>
    <col customWidth="1" min="12" max="12" width="12.38"/>
    <col customWidth="1" min="13" max="13" width="10.63"/>
    <col customWidth="1" min="14" max="14" width="12.13"/>
    <col customWidth="1" min="15" max="15" width="24.5"/>
    <col customWidth="1" min="16" max="16" width="16.75"/>
    <col customWidth="1" min="17" max="18" width="8.63"/>
    <col customWidth="1" min="19" max="19" width="13.0"/>
    <col customWidth="1" min="20" max="20" width="17.13"/>
    <col customWidth="1" min="21" max="21" width="17.25"/>
    <col customWidth="1" min="22" max="22" width="10.25"/>
    <col customWidth="1" min="23" max="23" width="39.63"/>
    <col customWidth="1" min="24" max="24" width="9.5"/>
    <col customWidth="1" min="25" max="25" width="10.63"/>
    <col customWidth="1" min="26" max="26" width="12.13"/>
    <col customWidth="1" min="27" max="27" width="24.5"/>
    <col customWidth="1" min="28" max="28" width="16.75"/>
    <col customWidth="1" min="29" max="30" width="8.63"/>
    <col customWidth="1" min="31" max="31" width="13.0"/>
    <col customWidth="1" min="32" max="32" width="17.13"/>
    <col customWidth="1" min="33" max="33" width="17.25"/>
    <col customWidth="1" min="34" max="34" width="10.25"/>
    <col customWidth="1" min="35" max="35" width="39.63"/>
    <col customWidth="1" min="36" max="36" width="11.5"/>
    <col customWidth="1" min="37" max="37" width="10.63"/>
    <col customWidth="1" min="38" max="38" width="12.13"/>
    <col customWidth="1" min="39" max="39" width="24.5"/>
    <col customWidth="1" min="40" max="40" width="16.75"/>
    <col customWidth="1" min="41" max="42" width="8.63"/>
    <col customWidth="1" min="43" max="43" width="13.0"/>
    <col customWidth="1" min="44" max="44" width="17.13"/>
    <col customWidth="1" min="45" max="45" width="17.25"/>
    <col customWidth="1" min="46" max="46" width="10.25"/>
    <col customWidth="1" min="47" max="47" width="39.63"/>
    <col customWidth="1" min="48" max="48" width="11.75"/>
  </cols>
  <sheetData>
    <row r="1">
      <c r="A1" s="19" t="s">
        <v>236</v>
      </c>
      <c r="B1" s="164"/>
      <c r="C1" s="164"/>
      <c r="N1" s="164"/>
      <c r="O1" s="164"/>
      <c r="Z1" s="164"/>
      <c r="AA1" s="164"/>
      <c r="AL1" s="164"/>
      <c r="AM1" s="164"/>
    </row>
    <row r="2">
      <c r="A2" s="20" t="s">
        <v>102</v>
      </c>
      <c r="B2" s="164"/>
      <c r="C2" s="164"/>
      <c r="N2" s="164"/>
      <c r="O2" s="164"/>
      <c r="Z2" s="164"/>
      <c r="AA2" s="164"/>
      <c r="AL2" s="164"/>
      <c r="AM2" s="164"/>
    </row>
    <row r="3" ht="33.75" customHeight="1">
      <c r="A3" s="20" t="s">
        <v>237</v>
      </c>
      <c r="B3" s="164"/>
      <c r="C3" s="164"/>
      <c r="M3" s="19"/>
      <c r="N3" s="164"/>
      <c r="O3" s="164"/>
      <c r="Y3" s="19"/>
      <c r="Z3" s="164"/>
      <c r="AA3" s="164"/>
      <c r="AK3" s="19"/>
      <c r="AL3" s="164"/>
      <c r="AM3" s="164"/>
    </row>
    <row r="4">
      <c r="A4" s="347" t="s">
        <v>238</v>
      </c>
      <c r="B4" s="89"/>
      <c r="C4" s="89"/>
      <c r="D4" s="89"/>
      <c r="E4" s="89"/>
      <c r="F4" s="90"/>
      <c r="G4" s="226" t="s">
        <v>239</v>
      </c>
      <c r="H4" s="89"/>
      <c r="I4" s="92"/>
      <c r="J4" s="348"/>
      <c r="K4" s="348"/>
      <c r="L4" s="277"/>
      <c r="M4" s="349" t="s">
        <v>240</v>
      </c>
      <c r="N4" s="350"/>
      <c r="O4" s="350"/>
      <c r="P4" s="350"/>
      <c r="Q4" s="350"/>
      <c r="R4" s="351"/>
      <c r="S4" s="352" t="s">
        <v>239</v>
      </c>
      <c r="T4" s="350"/>
      <c r="U4" s="353"/>
      <c r="V4" s="348"/>
      <c r="W4" s="348"/>
      <c r="X4" s="348"/>
      <c r="Y4" s="354" t="s">
        <v>241</v>
      </c>
      <c r="Z4" s="166"/>
      <c r="AA4" s="166"/>
      <c r="AB4" s="166"/>
      <c r="AC4" s="166"/>
      <c r="AD4" s="167"/>
      <c r="AE4" s="355" t="s">
        <v>239</v>
      </c>
      <c r="AF4" s="166"/>
      <c r="AG4" s="169"/>
      <c r="AH4" s="348"/>
      <c r="AI4" s="348"/>
      <c r="AJ4" s="348"/>
      <c r="AK4" s="356" t="s">
        <v>242</v>
      </c>
      <c r="AL4" s="22"/>
      <c r="AM4" s="22"/>
      <c r="AN4" s="22"/>
      <c r="AO4" s="22"/>
      <c r="AP4" s="23"/>
      <c r="AQ4" s="248" t="s">
        <v>239</v>
      </c>
      <c r="AR4" s="22"/>
      <c r="AS4" s="25"/>
      <c r="AT4" s="348"/>
      <c r="AU4" s="348"/>
      <c r="AV4" s="348"/>
    </row>
    <row r="5">
      <c r="A5" s="170" t="s">
        <v>243</v>
      </c>
      <c r="B5" s="94" t="s">
        <v>29</v>
      </c>
      <c r="C5" s="95" t="s">
        <v>30</v>
      </c>
      <c r="D5" s="215" t="s">
        <v>168</v>
      </c>
      <c r="E5" s="67" t="s">
        <v>32</v>
      </c>
      <c r="F5" s="95" t="s">
        <v>33</v>
      </c>
      <c r="G5" s="94" t="s">
        <v>34</v>
      </c>
      <c r="H5" s="94" t="s">
        <v>35</v>
      </c>
      <c r="I5" s="357" t="s">
        <v>36</v>
      </c>
      <c r="J5" s="358" t="s">
        <v>37</v>
      </c>
      <c r="K5" s="43" t="s">
        <v>281</v>
      </c>
      <c r="L5" s="359"/>
      <c r="M5" s="170" t="s">
        <v>243</v>
      </c>
      <c r="N5" s="94" t="s">
        <v>29</v>
      </c>
      <c r="O5" s="95" t="s">
        <v>30</v>
      </c>
      <c r="P5" s="215" t="s">
        <v>168</v>
      </c>
      <c r="Q5" s="67" t="s">
        <v>32</v>
      </c>
      <c r="R5" s="95" t="s">
        <v>33</v>
      </c>
      <c r="S5" s="94" t="s">
        <v>34</v>
      </c>
      <c r="T5" s="94" t="s">
        <v>35</v>
      </c>
      <c r="U5" s="357" t="s">
        <v>36</v>
      </c>
      <c r="V5" s="358" t="s">
        <v>37</v>
      </c>
      <c r="W5" s="43" t="s">
        <v>282</v>
      </c>
      <c r="X5" s="360"/>
      <c r="Y5" s="170" t="s">
        <v>243</v>
      </c>
      <c r="Z5" s="94" t="s">
        <v>29</v>
      </c>
      <c r="AA5" s="95" t="s">
        <v>30</v>
      </c>
      <c r="AB5" s="215" t="s">
        <v>168</v>
      </c>
      <c r="AC5" s="67" t="s">
        <v>32</v>
      </c>
      <c r="AD5" s="95" t="s">
        <v>33</v>
      </c>
      <c r="AE5" s="94" t="s">
        <v>34</v>
      </c>
      <c r="AF5" s="94" t="s">
        <v>35</v>
      </c>
      <c r="AG5" s="357" t="s">
        <v>36</v>
      </c>
      <c r="AH5" s="358" t="s">
        <v>37</v>
      </c>
      <c r="AI5" s="43" t="s">
        <v>283</v>
      </c>
      <c r="AJ5" s="360"/>
      <c r="AK5" s="170" t="s">
        <v>243</v>
      </c>
      <c r="AL5" s="94" t="s">
        <v>29</v>
      </c>
      <c r="AM5" s="95" t="s">
        <v>30</v>
      </c>
      <c r="AN5" s="215" t="s">
        <v>168</v>
      </c>
      <c r="AO5" s="67" t="s">
        <v>32</v>
      </c>
      <c r="AP5" s="95" t="s">
        <v>33</v>
      </c>
      <c r="AQ5" s="94" t="s">
        <v>34</v>
      </c>
      <c r="AR5" s="94" t="s">
        <v>35</v>
      </c>
      <c r="AS5" s="357" t="s">
        <v>36</v>
      </c>
      <c r="AT5" s="358" t="s">
        <v>37</v>
      </c>
      <c r="AU5" s="43" t="s">
        <v>284</v>
      </c>
      <c r="AV5" s="360"/>
    </row>
    <row r="6" ht="15.75" customHeight="1">
      <c r="A6" s="99" t="s">
        <v>39</v>
      </c>
      <c r="B6" s="227">
        <v>1.0</v>
      </c>
      <c r="C6" s="228" t="s">
        <v>285</v>
      </c>
      <c r="D6" s="229" t="s">
        <v>171</v>
      </c>
      <c r="E6" s="102" t="s">
        <v>172</v>
      </c>
      <c r="F6" s="361">
        <v>0.0</v>
      </c>
      <c r="G6" s="230">
        <v>10000.0</v>
      </c>
      <c r="H6" s="362">
        <f t="shared" ref="H6:H35" si="1">F6*G6</f>
        <v>0</v>
      </c>
      <c r="I6" s="363">
        <f t="shared" ref="I6:I35" si="2">H6*365</f>
        <v>0</v>
      </c>
      <c r="J6" s="358">
        <v>1.0</v>
      </c>
      <c r="K6" s="44">
        <f>sum(I6:I11)</f>
        <v>0</v>
      </c>
      <c r="L6" s="281"/>
      <c r="M6" s="364" t="s">
        <v>39</v>
      </c>
      <c r="N6" s="365">
        <v>1.0</v>
      </c>
      <c r="O6" s="366" t="s">
        <v>286</v>
      </c>
      <c r="P6" s="367" t="s">
        <v>171</v>
      </c>
      <c r="Q6" s="368" t="s">
        <v>172</v>
      </c>
      <c r="R6" s="369">
        <v>0.0</v>
      </c>
      <c r="S6" s="370">
        <v>10000.0</v>
      </c>
      <c r="T6" s="371">
        <f t="shared" ref="T6:T35" si="3">R6*S6</f>
        <v>0</v>
      </c>
      <c r="U6" s="372">
        <f t="shared" ref="U6:U35" si="4">T6*365</f>
        <v>0</v>
      </c>
      <c r="V6" s="358">
        <v>1.0</v>
      </c>
      <c r="W6" s="44">
        <f>sum(U6:U11)</f>
        <v>0</v>
      </c>
      <c r="X6" s="163"/>
      <c r="Y6" s="175" t="s">
        <v>39</v>
      </c>
      <c r="Z6" s="176">
        <v>1.0</v>
      </c>
      <c r="AA6" s="373" t="s">
        <v>287</v>
      </c>
      <c r="AB6" s="374" t="s">
        <v>171</v>
      </c>
      <c r="AC6" s="178" t="s">
        <v>172</v>
      </c>
      <c r="AD6" s="375">
        <v>0.0</v>
      </c>
      <c r="AE6" s="376">
        <v>10000.0</v>
      </c>
      <c r="AF6" s="377">
        <f t="shared" ref="AF6:AF35" si="5">AD6*AE6</f>
        <v>0</v>
      </c>
      <c r="AG6" s="378">
        <f t="shared" ref="AG6:AG35" si="6">AF6*365</f>
        <v>0</v>
      </c>
      <c r="AH6" s="358">
        <v>1.0</v>
      </c>
      <c r="AI6" s="44">
        <f>sum(AG6:AG11)</f>
        <v>0</v>
      </c>
      <c r="AJ6" s="163"/>
      <c r="AK6" s="34" t="s">
        <v>39</v>
      </c>
      <c r="AL6" s="35">
        <v>1.0</v>
      </c>
      <c r="AM6" s="379" t="s">
        <v>288</v>
      </c>
      <c r="AN6" s="380" t="s">
        <v>171</v>
      </c>
      <c r="AO6" s="37" t="s">
        <v>172</v>
      </c>
      <c r="AP6" s="381">
        <v>0.0</v>
      </c>
      <c r="AQ6" s="382">
        <v>10000.0</v>
      </c>
      <c r="AR6" s="383">
        <f t="shared" ref="AR6:AR35" si="7">AP6*AQ6</f>
        <v>0</v>
      </c>
      <c r="AS6" s="384">
        <f t="shared" ref="AS6:AS35" si="8">AR6*365</f>
        <v>0</v>
      </c>
      <c r="AT6" s="358">
        <v>1.0</v>
      </c>
      <c r="AU6" s="44">
        <f>sum(AS6:AS11)</f>
        <v>0</v>
      </c>
      <c r="AV6" s="163"/>
    </row>
    <row r="7">
      <c r="A7" s="45" t="s">
        <v>39</v>
      </c>
      <c r="B7" s="46">
        <v>1.0</v>
      </c>
      <c r="C7" s="47"/>
      <c r="D7" s="183" t="s">
        <v>252</v>
      </c>
      <c r="E7" s="183" t="s">
        <v>172</v>
      </c>
      <c r="F7" s="385">
        <v>0.0</v>
      </c>
      <c r="G7" s="221">
        <v>50000.0</v>
      </c>
      <c r="H7" s="386">
        <f t="shared" si="1"/>
        <v>0</v>
      </c>
      <c r="I7" s="387">
        <f t="shared" si="2"/>
        <v>0</v>
      </c>
      <c r="J7" s="358">
        <v>2.0</v>
      </c>
      <c r="K7" s="44">
        <f>sum(I12:I17)</f>
        <v>0</v>
      </c>
      <c r="L7" s="281"/>
      <c r="M7" s="45" t="s">
        <v>39</v>
      </c>
      <c r="N7" s="46">
        <v>1.0</v>
      </c>
      <c r="O7" s="47"/>
      <c r="P7" s="183" t="s">
        <v>252</v>
      </c>
      <c r="Q7" s="183" t="s">
        <v>172</v>
      </c>
      <c r="R7" s="385">
        <v>0.0</v>
      </c>
      <c r="S7" s="221">
        <v>50000.0</v>
      </c>
      <c r="T7" s="386">
        <f t="shared" si="3"/>
        <v>0</v>
      </c>
      <c r="U7" s="387">
        <f t="shared" si="4"/>
        <v>0</v>
      </c>
      <c r="V7" s="358">
        <v>2.0</v>
      </c>
      <c r="W7" s="44">
        <f>sum(U12:U17)</f>
        <v>0</v>
      </c>
      <c r="X7" s="163"/>
      <c r="Y7" s="45" t="s">
        <v>39</v>
      </c>
      <c r="Z7" s="46">
        <v>1.0</v>
      </c>
      <c r="AA7" s="47"/>
      <c r="AB7" s="183" t="s">
        <v>252</v>
      </c>
      <c r="AC7" s="183" t="s">
        <v>172</v>
      </c>
      <c r="AD7" s="385">
        <v>0.0</v>
      </c>
      <c r="AE7" s="221">
        <v>50000.0</v>
      </c>
      <c r="AF7" s="386">
        <f t="shared" si="5"/>
        <v>0</v>
      </c>
      <c r="AG7" s="387">
        <f t="shared" si="6"/>
        <v>0</v>
      </c>
      <c r="AH7" s="358">
        <v>2.0</v>
      </c>
      <c r="AI7" s="44">
        <f>sum(AG12:AG17)</f>
        <v>0</v>
      </c>
      <c r="AJ7" s="163"/>
      <c r="AK7" s="45" t="s">
        <v>39</v>
      </c>
      <c r="AL7" s="46">
        <v>1.0</v>
      </c>
      <c r="AM7" s="47"/>
      <c r="AN7" s="183" t="s">
        <v>252</v>
      </c>
      <c r="AO7" s="183" t="s">
        <v>172</v>
      </c>
      <c r="AP7" s="385">
        <v>0.0</v>
      </c>
      <c r="AQ7" s="221">
        <v>50000.0</v>
      </c>
      <c r="AR7" s="386">
        <f t="shared" si="7"/>
        <v>0</v>
      </c>
      <c r="AS7" s="387">
        <f t="shared" si="8"/>
        <v>0</v>
      </c>
      <c r="AT7" s="358">
        <v>2.0</v>
      </c>
      <c r="AU7" s="44">
        <f>sum(AS12:AS17)</f>
        <v>0</v>
      </c>
      <c r="AV7" s="163"/>
    </row>
    <row r="8">
      <c r="A8" s="108" t="s">
        <v>39</v>
      </c>
      <c r="B8" s="231">
        <v>1.0</v>
      </c>
      <c r="C8" s="110"/>
      <c r="D8" s="116" t="s">
        <v>253</v>
      </c>
      <c r="E8" s="111" t="s">
        <v>172</v>
      </c>
      <c r="F8" s="388">
        <v>0.0</v>
      </c>
      <c r="G8" s="232">
        <v>100000.0</v>
      </c>
      <c r="H8" s="389">
        <f t="shared" si="1"/>
        <v>0</v>
      </c>
      <c r="I8" s="390">
        <f t="shared" si="2"/>
        <v>0</v>
      </c>
      <c r="J8" s="358" t="s">
        <v>44</v>
      </c>
      <c r="K8" s="44">
        <f>sum(I18:I23)</f>
        <v>0</v>
      </c>
      <c r="L8" s="281"/>
      <c r="M8" s="391" t="s">
        <v>39</v>
      </c>
      <c r="N8" s="392">
        <v>1.0</v>
      </c>
      <c r="O8" s="393"/>
      <c r="P8" s="394" t="s">
        <v>253</v>
      </c>
      <c r="Q8" s="395" t="s">
        <v>172</v>
      </c>
      <c r="R8" s="396">
        <v>0.0</v>
      </c>
      <c r="S8" s="397">
        <v>100000.0</v>
      </c>
      <c r="T8" s="398">
        <f t="shared" si="3"/>
        <v>0</v>
      </c>
      <c r="U8" s="399">
        <f t="shared" si="4"/>
        <v>0</v>
      </c>
      <c r="V8" s="358" t="s">
        <v>44</v>
      </c>
      <c r="W8" s="44">
        <f>sum(U18:U23)</f>
        <v>0</v>
      </c>
      <c r="X8" s="163"/>
      <c r="Y8" s="184" t="s">
        <v>39</v>
      </c>
      <c r="Z8" s="185">
        <v>1.0</v>
      </c>
      <c r="AA8" s="186"/>
      <c r="AB8" s="187" t="s">
        <v>253</v>
      </c>
      <c r="AC8" s="400" t="s">
        <v>172</v>
      </c>
      <c r="AD8" s="401">
        <v>0.0</v>
      </c>
      <c r="AE8" s="402">
        <v>100000.0</v>
      </c>
      <c r="AF8" s="403">
        <f t="shared" si="5"/>
        <v>0</v>
      </c>
      <c r="AG8" s="404">
        <f t="shared" si="6"/>
        <v>0</v>
      </c>
      <c r="AH8" s="358" t="s">
        <v>44</v>
      </c>
      <c r="AI8" s="44">
        <f>sum(AG18:AG23)</f>
        <v>0</v>
      </c>
      <c r="AJ8" s="163"/>
      <c r="AK8" s="54" t="s">
        <v>39</v>
      </c>
      <c r="AL8" s="55">
        <v>1.0</v>
      </c>
      <c r="AM8" s="56"/>
      <c r="AN8" s="62" t="s">
        <v>253</v>
      </c>
      <c r="AO8" s="57" t="s">
        <v>172</v>
      </c>
      <c r="AP8" s="405">
        <v>0.0</v>
      </c>
      <c r="AQ8" s="406">
        <v>100000.0</v>
      </c>
      <c r="AR8" s="407">
        <f t="shared" si="7"/>
        <v>0</v>
      </c>
      <c r="AS8" s="408">
        <f t="shared" si="8"/>
        <v>0</v>
      </c>
      <c r="AT8" s="358" t="s">
        <v>44</v>
      </c>
      <c r="AU8" s="44">
        <f>sum(AS18:AS23)</f>
        <v>0</v>
      </c>
      <c r="AV8" s="163"/>
    </row>
    <row r="9">
      <c r="A9" s="45" t="s">
        <v>39</v>
      </c>
      <c r="B9" s="46">
        <v>1.0</v>
      </c>
      <c r="C9" s="47"/>
      <c r="D9" s="48" t="s">
        <v>173</v>
      </c>
      <c r="E9" s="183" t="s">
        <v>172</v>
      </c>
      <c r="F9" s="385">
        <v>0.0</v>
      </c>
      <c r="G9" s="221">
        <v>500000.0</v>
      </c>
      <c r="H9" s="386">
        <f t="shared" si="1"/>
        <v>0</v>
      </c>
      <c r="I9" s="387">
        <f t="shared" si="2"/>
        <v>0</v>
      </c>
      <c r="J9" s="358">
        <v>3.0</v>
      </c>
      <c r="K9" s="44">
        <f>sum(I24:I29)</f>
        <v>0</v>
      </c>
      <c r="L9" s="281"/>
      <c r="M9" s="45" t="s">
        <v>39</v>
      </c>
      <c r="N9" s="46">
        <v>1.0</v>
      </c>
      <c r="O9" s="47"/>
      <c r="P9" s="48" t="s">
        <v>173</v>
      </c>
      <c r="Q9" s="183" t="s">
        <v>172</v>
      </c>
      <c r="R9" s="385">
        <v>0.0</v>
      </c>
      <c r="S9" s="221">
        <v>500000.0</v>
      </c>
      <c r="T9" s="386">
        <f t="shared" si="3"/>
        <v>0</v>
      </c>
      <c r="U9" s="387">
        <f t="shared" si="4"/>
        <v>0</v>
      </c>
      <c r="V9" s="358">
        <v>3.0</v>
      </c>
      <c r="W9" s="44">
        <f>sum(U24:U29)</f>
        <v>0</v>
      </c>
      <c r="X9" s="163"/>
      <c r="Y9" s="45" t="s">
        <v>39</v>
      </c>
      <c r="Z9" s="46">
        <v>1.0</v>
      </c>
      <c r="AA9" s="47"/>
      <c r="AB9" s="48" t="s">
        <v>173</v>
      </c>
      <c r="AC9" s="183" t="s">
        <v>172</v>
      </c>
      <c r="AD9" s="385">
        <v>0.0</v>
      </c>
      <c r="AE9" s="221">
        <v>500000.0</v>
      </c>
      <c r="AF9" s="386">
        <f t="shared" si="5"/>
        <v>0</v>
      </c>
      <c r="AG9" s="387">
        <f t="shared" si="6"/>
        <v>0</v>
      </c>
      <c r="AH9" s="358">
        <v>3.0</v>
      </c>
      <c r="AI9" s="44">
        <f>sum(AG24:AG29)</f>
        <v>0</v>
      </c>
      <c r="AJ9" s="163"/>
      <c r="AK9" s="45" t="s">
        <v>39</v>
      </c>
      <c r="AL9" s="46">
        <v>1.0</v>
      </c>
      <c r="AM9" s="47"/>
      <c r="AN9" s="48" t="s">
        <v>173</v>
      </c>
      <c r="AO9" s="183" t="s">
        <v>172</v>
      </c>
      <c r="AP9" s="385">
        <v>0.0</v>
      </c>
      <c r="AQ9" s="221">
        <v>500000.0</v>
      </c>
      <c r="AR9" s="386">
        <f t="shared" si="7"/>
        <v>0</v>
      </c>
      <c r="AS9" s="387">
        <f t="shared" si="8"/>
        <v>0</v>
      </c>
      <c r="AT9" s="358">
        <v>3.0</v>
      </c>
      <c r="AU9" s="44">
        <f>sum(AS24:AS29)</f>
        <v>0</v>
      </c>
      <c r="AV9" s="163"/>
    </row>
    <row r="10">
      <c r="A10" s="108" t="s">
        <v>39</v>
      </c>
      <c r="B10" s="231">
        <v>1.0</v>
      </c>
      <c r="C10" s="110"/>
      <c r="D10" s="116" t="s">
        <v>174</v>
      </c>
      <c r="E10" s="111" t="s">
        <v>172</v>
      </c>
      <c r="F10" s="388">
        <v>0.0</v>
      </c>
      <c r="G10" s="232">
        <v>1000000.0</v>
      </c>
      <c r="H10" s="389">
        <f t="shared" si="1"/>
        <v>0</v>
      </c>
      <c r="I10" s="390">
        <f t="shared" si="2"/>
        <v>0</v>
      </c>
      <c r="J10" s="358" t="s">
        <v>47</v>
      </c>
      <c r="K10" s="44">
        <f>sum(I30:I35)</f>
        <v>0</v>
      </c>
      <c r="L10" s="281"/>
      <c r="M10" s="391" t="s">
        <v>39</v>
      </c>
      <c r="N10" s="392">
        <v>1.0</v>
      </c>
      <c r="O10" s="393"/>
      <c r="P10" s="394" t="s">
        <v>174</v>
      </c>
      <c r="Q10" s="395" t="s">
        <v>172</v>
      </c>
      <c r="R10" s="396">
        <v>0.0</v>
      </c>
      <c r="S10" s="397">
        <v>1000000.0</v>
      </c>
      <c r="T10" s="398">
        <f t="shared" si="3"/>
        <v>0</v>
      </c>
      <c r="U10" s="399">
        <f t="shared" si="4"/>
        <v>0</v>
      </c>
      <c r="V10" s="358" t="s">
        <v>47</v>
      </c>
      <c r="W10" s="44">
        <f>sum(U30:U35)</f>
        <v>0</v>
      </c>
      <c r="X10" s="163"/>
      <c r="Y10" s="184" t="s">
        <v>39</v>
      </c>
      <c r="Z10" s="185">
        <v>1.0</v>
      </c>
      <c r="AA10" s="186"/>
      <c r="AB10" s="187" t="s">
        <v>174</v>
      </c>
      <c r="AC10" s="400" t="s">
        <v>172</v>
      </c>
      <c r="AD10" s="401">
        <v>0.0</v>
      </c>
      <c r="AE10" s="402">
        <v>1000000.0</v>
      </c>
      <c r="AF10" s="403">
        <f t="shared" si="5"/>
        <v>0</v>
      </c>
      <c r="AG10" s="404">
        <f t="shared" si="6"/>
        <v>0</v>
      </c>
      <c r="AH10" s="358" t="s">
        <v>47</v>
      </c>
      <c r="AI10" s="44">
        <f>sum(AG30:AG35)</f>
        <v>0</v>
      </c>
      <c r="AJ10" s="163"/>
      <c r="AK10" s="54" t="s">
        <v>39</v>
      </c>
      <c r="AL10" s="55">
        <v>1.0</v>
      </c>
      <c r="AM10" s="56"/>
      <c r="AN10" s="62" t="s">
        <v>174</v>
      </c>
      <c r="AO10" s="57" t="s">
        <v>172</v>
      </c>
      <c r="AP10" s="405">
        <v>0.0</v>
      </c>
      <c r="AQ10" s="406">
        <v>1000000.0</v>
      </c>
      <c r="AR10" s="407">
        <f t="shared" si="7"/>
        <v>0</v>
      </c>
      <c r="AS10" s="408">
        <f t="shared" si="8"/>
        <v>0</v>
      </c>
      <c r="AT10" s="358" t="s">
        <v>47</v>
      </c>
      <c r="AU10" s="44">
        <f>sum(AS30:AS35)</f>
        <v>0</v>
      </c>
      <c r="AV10" s="163"/>
    </row>
    <row r="11">
      <c r="A11" s="63" t="s">
        <v>39</v>
      </c>
      <c r="B11" s="64">
        <v>1.0</v>
      </c>
      <c r="C11" s="65"/>
      <c r="D11" s="66" t="s">
        <v>175</v>
      </c>
      <c r="E11" s="215" t="s">
        <v>172</v>
      </c>
      <c r="F11" s="409">
        <v>0.0</v>
      </c>
      <c r="G11" s="225">
        <v>5000000.0</v>
      </c>
      <c r="H11" s="410">
        <f t="shared" si="1"/>
        <v>0</v>
      </c>
      <c r="I11" s="411">
        <f t="shared" si="2"/>
        <v>0</v>
      </c>
      <c r="J11" s="412" t="s">
        <v>254</v>
      </c>
      <c r="K11" s="413">
        <f>sum(K6:K10)</f>
        <v>0</v>
      </c>
      <c r="L11" s="281"/>
      <c r="M11" s="63" t="s">
        <v>39</v>
      </c>
      <c r="N11" s="64">
        <v>1.0</v>
      </c>
      <c r="O11" s="65"/>
      <c r="P11" s="66" t="s">
        <v>175</v>
      </c>
      <c r="Q11" s="215" t="s">
        <v>172</v>
      </c>
      <c r="R11" s="409">
        <v>0.0</v>
      </c>
      <c r="S11" s="225">
        <v>5000000.0</v>
      </c>
      <c r="T11" s="410">
        <f t="shared" si="3"/>
        <v>0</v>
      </c>
      <c r="U11" s="411">
        <f t="shared" si="4"/>
        <v>0</v>
      </c>
      <c r="V11" s="412" t="s">
        <v>254</v>
      </c>
      <c r="W11" s="413">
        <f>sum(W6:W10)</f>
        <v>0</v>
      </c>
      <c r="X11" s="414"/>
      <c r="Y11" s="63" t="s">
        <v>39</v>
      </c>
      <c r="Z11" s="64">
        <v>1.0</v>
      </c>
      <c r="AA11" s="65"/>
      <c r="AB11" s="66" t="s">
        <v>175</v>
      </c>
      <c r="AC11" s="215" t="s">
        <v>172</v>
      </c>
      <c r="AD11" s="409">
        <v>0.0</v>
      </c>
      <c r="AE11" s="225">
        <v>5000000.0</v>
      </c>
      <c r="AF11" s="410">
        <f t="shared" si="5"/>
        <v>0</v>
      </c>
      <c r="AG11" s="411">
        <f t="shared" si="6"/>
        <v>0</v>
      </c>
      <c r="AH11" s="412" t="s">
        <v>254</v>
      </c>
      <c r="AI11" s="413">
        <f>sum(AI6:AI10)</f>
        <v>0</v>
      </c>
      <c r="AJ11" s="414"/>
      <c r="AK11" s="63" t="s">
        <v>39</v>
      </c>
      <c r="AL11" s="64">
        <v>1.0</v>
      </c>
      <c r="AM11" s="65"/>
      <c r="AN11" s="66" t="s">
        <v>175</v>
      </c>
      <c r="AO11" s="215" t="s">
        <v>172</v>
      </c>
      <c r="AP11" s="409">
        <v>0.0</v>
      </c>
      <c r="AQ11" s="225">
        <v>5000000.0</v>
      </c>
      <c r="AR11" s="410">
        <f t="shared" si="7"/>
        <v>0</v>
      </c>
      <c r="AS11" s="411">
        <f t="shared" si="8"/>
        <v>0</v>
      </c>
      <c r="AT11" s="412" t="s">
        <v>254</v>
      </c>
      <c r="AU11" s="413">
        <f>sum(AU6:AU10)</f>
        <v>0</v>
      </c>
      <c r="AV11" s="414"/>
    </row>
    <row r="12" ht="15.75" customHeight="1">
      <c r="A12" s="99" t="s">
        <v>50</v>
      </c>
      <c r="B12" s="227">
        <v>2.0</v>
      </c>
      <c r="C12" s="228" t="s">
        <v>289</v>
      </c>
      <c r="D12" s="229" t="s">
        <v>171</v>
      </c>
      <c r="E12" s="102" t="s">
        <v>172</v>
      </c>
      <c r="F12" s="361">
        <v>0.0</v>
      </c>
      <c r="G12" s="230">
        <v>10000.0</v>
      </c>
      <c r="H12" s="362">
        <f t="shared" si="1"/>
        <v>0</v>
      </c>
      <c r="I12" s="363">
        <f t="shared" si="2"/>
        <v>0</v>
      </c>
      <c r="J12" s="415"/>
      <c r="K12" s="415"/>
      <c r="L12" s="281"/>
      <c r="M12" s="364" t="s">
        <v>50</v>
      </c>
      <c r="N12" s="365">
        <v>2.0</v>
      </c>
      <c r="O12" s="366" t="s">
        <v>290</v>
      </c>
      <c r="P12" s="367" t="s">
        <v>171</v>
      </c>
      <c r="Q12" s="368" t="s">
        <v>172</v>
      </c>
      <c r="R12" s="369">
        <v>0.0</v>
      </c>
      <c r="S12" s="370">
        <v>10000.0</v>
      </c>
      <c r="T12" s="371">
        <f t="shared" si="3"/>
        <v>0</v>
      </c>
      <c r="U12" s="372">
        <f t="shared" si="4"/>
        <v>0</v>
      </c>
      <c r="V12" s="415"/>
      <c r="W12" s="415"/>
      <c r="X12" s="415"/>
      <c r="Y12" s="175" t="s">
        <v>50</v>
      </c>
      <c r="Z12" s="176">
        <v>2.0</v>
      </c>
      <c r="AA12" s="373" t="s">
        <v>291</v>
      </c>
      <c r="AB12" s="374" t="s">
        <v>171</v>
      </c>
      <c r="AC12" s="178" t="s">
        <v>172</v>
      </c>
      <c r="AD12" s="375">
        <v>0.0</v>
      </c>
      <c r="AE12" s="376">
        <v>10000.0</v>
      </c>
      <c r="AF12" s="377">
        <f t="shared" si="5"/>
        <v>0</v>
      </c>
      <c r="AG12" s="378">
        <f t="shared" si="6"/>
        <v>0</v>
      </c>
      <c r="AH12" s="415"/>
      <c r="AI12" s="415"/>
      <c r="AJ12" s="415"/>
      <c r="AK12" s="34" t="s">
        <v>50</v>
      </c>
      <c r="AL12" s="35">
        <v>2.0</v>
      </c>
      <c r="AM12" s="379" t="s">
        <v>292</v>
      </c>
      <c r="AN12" s="380" t="s">
        <v>171</v>
      </c>
      <c r="AO12" s="37" t="s">
        <v>172</v>
      </c>
      <c r="AP12" s="381">
        <v>0.0</v>
      </c>
      <c r="AQ12" s="382">
        <v>10000.0</v>
      </c>
      <c r="AR12" s="383">
        <f t="shared" si="7"/>
        <v>0</v>
      </c>
      <c r="AS12" s="384">
        <f t="shared" si="8"/>
        <v>0</v>
      </c>
      <c r="AT12" s="415"/>
      <c r="AU12" s="415"/>
      <c r="AV12" s="415"/>
    </row>
    <row r="13">
      <c r="A13" s="45" t="s">
        <v>50</v>
      </c>
      <c r="B13" s="46">
        <v>2.0</v>
      </c>
      <c r="C13" s="47"/>
      <c r="D13" s="183" t="s">
        <v>252</v>
      </c>
      <c r="E13" s="183" t="s">
        <v>172</v>
      </c>
      <c r="F13" s="385">
        <v>0.0</v>
      </c>
      <c r="G13" s="221">
        <v>50000.0</v>
      </c>
      <c r="H13" s="386">
        <f t="shared" si="1"/>
        <v>0</v>
      </c>
      <c r="I13" s="387">
        <f t="shared" si="2"/>
        <v>0</v>
      </c>
      <c r="J13" s="415"/>
      <c r="K13" s="415"/>
      <c r="L13" s="281"/>
      <c r="M13" s="45" t="s">
        <v>50</v>
      </c>
      <c r="N13" s="46">
        <v>2.0</v>
      </c>
      <c r="O13" s="47"/>
      <c r="P13" s="183" t="s">
        <v>252</v>
      </c>
      <c r="Q13" s="183" t="s">
        <v>172</v>
      </c>
      <c r="R13" s="385">
        <v>0.0</v>
      </c>
      <c r="S13" s="221">
        <v>50000.0</v>
      </c>
      <c r="T13" s="386">
        <f t="shared" si="3"/>
        <v>0</v>
      </c>
      <c r="U13" s="387">
        <f t="shared" si="4"/>
        <v>0</v>
      </c>
      <c r="V13" s="415"/>
      <c r="W13" s="415"/>
      <c r="X13" s="415"/>
      <c r="Y13" s="45" t="s">
        <v>50</v>
      </c>
      <c r="Z13" s="46">
        <v>2.0</v>
      </c>
      <c r="AA13" s="47"/>
      <c r="AB13" s="183" t="s">
        <v>252</v>
      </c>
      <c r="AC13" s="183" t="s">
        <v>172</v>
      </c>
      <c r="AD13" s="385">
        <v>0.0</v>
      </c>
      <c r="AE13" s="221">
        <v>50000.0</v>
      </c>
      <c r="AF13" s="386">
        <f t="shared" si="5"/>
        <v>0</v>
      </c>
      <c r="AG13" s="387">
        <f t="shared" si="6"/>
        <v>0</v>
      </c>
      <c r="AH13" s="415"/>
      <c r="AI13" s="415"/>
      <c r="AJ13" s="415"/>
      <c r="AK13" s="45" t="s">
        <v>50</v>
      </c>
      <c r="AL13" s="46">
        <v>2.0</v>
      </c>
      <c r="AM13" s="47"/>
      <c r="AN13" s="183" t="s">
        <v>252</v>
      </c>
      <c r="AO13" s="183" t="s">
        <v>172</v>
      </c>
      <c r="AP13" s="385">
        <v>0.0</v>
      </c>
      <c r="AQ13" s="221">
        <v>50000.0</v>
      </c>
      <c r="AR13" s="386">
        <f t="shared" si="7"/>
        <v>0</v>
      </c>
      <c r="AS13" s="387">
        <f t="shared" si="8"/>
        <v>0</v>
      </c>
      <c r="AT13" s="415"/>
      <c r="AU13" s="415"/>
      <c r="AV13" s="415"/>
    </row>
    <row r="14">
      <c r="A14" s="108" t="s">
        <v>50</v>
      </c>
      <c r="B14" s="231">
        <v>2.0</v>
      </c>
      <c r="C14" s="110"/>
      <c r="D14" s="116" t="s">
        <v>253</v>
      </c>
      <c r="E14" s="111" t="s">
        <v>172</v>
      </c>
      <c r="F14" s="388">
        <v>0.0</v>
      </c>
      <c r="G14" s="232">
        <v>100000.0</v>
      </c>
      <c r="H14" s="389">
        <f t="shared" si="1"/>
        <v>0</v>
      </c>
      <c r="I14" s="390">
        <f t="shared" si="2"/>
        <v>0</v>
      </c>
      <c r="J14" s="415"/>
      <c r="K14" s="415"/>
      <c r="L14" s="281"/>
      <c r="M14" s="391" t="s">
        <v>50</v>
      </c>
      <c r="N14" s="392">
        <v>2.0</v>
      </c>
      <c r="O14" s="393"/>
      <c r="P14" s="394" t="s">
        <v>253</v>
      </c>
      <c r="Q14" s="395" t="s">
        <v>172</v>
      </c>
      <c r="R14" s="396">
        <v>0.0</v>
      </c>
      <c r="S14" s="397">
        <v>100000.0</v>
      </c>
      <c r="T14" s="398">
        <f t="shared" si="3"/>
        <v>0</v>
      </c>
      <c r="U14" s="399">
        <f t="shared" si="4"/>
        <v>0</v>
      </c>
      <c r="V14" s="415"/>
      <c r="W14" s="415"/>
      <c r="X14" s="415"/>
      <c r="Y14" s="184" t="s">
        <v>50</v>
      </c>
      <c r="Z14" s="185">
        <v>2.0</v>
      </c>
      <c r="AA14" s="186"/>
      <c r="AB14" s="187" t="s">
        <v>253</v>
      </c>
      <c r="AC14" s="400" t="s">
        <v>172</v>
      </c>
      <c r="AD14" s="401">
        <v>0.0</v>
      </c>
      <c r="AE14" s="402">
        <v>100000.0</v>
      </c>
      <c r="AF14" s="403">
        <f t="shared" si="5"/>
        <v>0</v>
      </c>
      <c r="AG14" s="404">
        <f t="shared" si="6"/>
        <v>0</v>
      </c>
      <c r="AH14" s="415"/>
      <c r="AI14" s="415"/>
      <c r="AJ14" s="415"/>
      <c r="AK14" s="54" t="s">
        <v>50</v>
      </c>
      <c r="AL14" s="55">
        <v>2.0</v>
      </c>
      <c r="AM14" s="56"/>
      <c r="AN14" s="62" t="s">
        <v>253</v>
      </c>
      <c r="AO14" s="57" t="s">
        <v>172</v>
      </c>
      <c r="AP14" s="405">
        <v>0.0</v>
      </c>
      <c r="AQ14" s="406">
        <v>100000.0</v>
      </c>
      <c r="AR14" s="407">
        <f t="shared" si="7"/>
        <v>0</v>
      </c>
      <c r="AS14" s="408">
        <f t="shared" si="8"/>
        <v>0</v>
      </c>
      <c r="AT14" s="415"/>
      <c r="AU14" s="415"/>
      <c r="AV14" s="415"/>
    </row>
    <row r="15">
      <c r="A15" s="45" t="s">
        <v>50</v>
      </c>
      <c r="B15" s="46">
        <v>2.0</v>
      </c>
      <c r="C15" s="47"/>
      <c r="D15" s="48" t="s">
        <v>173</v>
      </c>
      <c r="E15" s="183" t="s">
        <v>172</v>
      </c>
      <c r="F15" s="386">
        <v>0.0</v>
      </c>
      <c r="G15" s="221">
        <v>500000.0</v>
      </c>
      <c r="H15" s="386">
        <f t="shared" si="1"/>
        <v>0</v>
      </c>
      <c r="I15" s="387">
        <f t="shared" si="2"/>
        <v>0</v>
      </c>
      <c r="J15" s="415"/>
      <c r="K15" s="415"/>
      <c r="L15" s="281"/>
      <c r="M15" s="45" t="s">
        <v>50</v>
      </c>
      <c r="N15" s="46">
        <v>2.0</v>
      </c>
      <c r="O15" s="47"/>
      <c r="P15" s="48" t="s">
        <v>173</v>
      </c>
      <c r="Q15" s="183" t="s">
        <v>172</v>
      </c>
      <c r="R15" s="386">
        <v>0.0</v>
      </c>
      <c r="S15" s="221">
        <v>500000.0</v>
      </c>
      <c r="T15" s="386">
        <f t="shared" si="3"/>
        <v>0</v>
      </c>
      <c r="U15" s="387">
        <f t="shared" si="4"/>
        <v>0</v>
      </c>
      <c r="V15" s="415"/>
      <c r="W15" s="415"/>
      <c r="X15" s="415"/>
      <c r="Y15" s="45" t="s">
        <v>50</v>
      </c>
      <c r="Z15" s="46">
        <v>2.0</v>
      </c>
      <c r="AA15" s="47"/>
      <c r="AB15" s="48" t="s">
        <v>173</v>
      </c>
      <c r="AC15" s="183" t="s">
        <v>172</v>
      </c>
      <c r="AD15" s="386">
        <v>0.0</v>
      </c>
      <c r="AE15" s="221">
        <v>500000.0</v>
      </c>
      <c r="AF15" s="386">
        <f t="shared" si="5"/>
        <v>0</v>
      </c>
      <c r="AG15" s="387">
        <f t="shared" si="6"/>
        <v>0</v>
      </c>
      <c r="AH15" s="415"/>
      <c r="AI15" s="415"/>
      <c r="AJ15" s="415"/>
      <c r="AK15" s="45" t="s">
        <v>50</v>
      </c>
      <c r="AL15" s="46">
        <v>2.0</v>
      </c>
      <c r="AM15" s="47"/>
      <c r="AN15" s="48" t="s">
        <v>173</v>
      </c>
      <c r="AO15" s="183" t="s">
        <v>172</v>
      </c>
      <c r="AP15" s="386">
        <v>0.0</v>
      </c>
      <c r="AQ15" s="221">
        <v>500000.0</v>
      </c>
      <c r="AR15" s="386">
        <f t="shared" si="7"/>
        <v>0</v>
      </c>
      <c r="AS15" s="387">
        <f t="shared" si="8"/>
        <v>0</v>
      </c>
      <c r="AT15" s="415"/>
      <c r="AU15" s="415"/>
      <c r="AV15" s="415"/>
    </row>
    <row r="16">
      <c r="A16" s="108" t="s">
        <v>50</v>
      </c>
      <c r="B16" s="231">
        <v>2.0</v>
      </c>
      <c r="C16" s="110"/>
      <c r="D16" s="116" t="s">
        <v>174</v>
      </c>
      <c r="E16" s="111" t="s">
        <v>172</v>
      </c>
      <c r="F16" s="389">
        <v>0.0</v>
      </c>
      <c r="G16" s="232">
        <v>1000000.0</v>
      </c>
      <c r="H16" s="389">
        <f t="shared" si="1"/>
        <v>0</v>
      </c>
      <c r="I16" s="390">
        <f t="shared" si="2"/>
        <v>0</v>
      </c>
      <c r="J16" s="415"/>
      <c r="K16" s="415"/>
      <c r="L16" s="281"/>
      <c r="M16" s="391" t="s">
        <v>50</v>
      </c>
      <c r="N16" s="392">
        <v>2.0</v>
      </c>
      <c r="O16" s="393"/>
      <c r="P16" s="394" t="s">
        <v>174</v>
      </c>
      <c r="Q16" s="395" t="s">
        <v>172</v>
      </c>
      <c r="R16" s="398">
        <v>0.0</v>
      </c>
      <c r="S16" s="397">
        <v>1000000.0</v>
      </c>
      <c r="T16" s="398">
        <f t="shared" si="3"/>
        <v>0</v>
      </c>
      <c r="U16" s="399">
        <f t="shared" si="4"/>
        <v>0</v>
      </c>
      <c r="V16" s="415"/>
      <c r="W16" s="415"/>
      <c r="X16" s="415"/>
      <c r="Y16" s="184" t="s">
        <v>50</v>
      </c>
      <c r="Z16" s="185">
        <v>2.0</v>
      </c>
      <c r="AA16" s="186"/>
      <c r="AB16" s="187" t="s">
        <v>174</v>
      </c>
      <c r="AC16" s="400" t="s">
        <v>172</v>
      </c>
      <c r="AD16" s="403">
        <v>0.0</v>
      </c>
      <c r="AE16" s="402">
        <v>1000000.0</v>
      </c>
      <c r="AF16" s="403">
        <f t="shared" si="5"/>
        <v>0</v>
      </c>
      <c r="AG16" s="404">
        <f t="shared" si="6"/>
        <v>0</v>
      </c>
      <c r="AH16" s="415"/>
      <c r="AI16" s="415"/>
      <c r="AJ16" s="415"/>
      <c r="AK16" s="54" t="s">
        <v>50</v>
      </c>
      <c r="AL16" s="55">
        <v>2.0</v>
      </c>
      <c r="AM16" s="56"/>
      <c r="AN16" s="62" t="s">
        <v>174</v>
      </c>
      <c r="AO16" s="57" t="s">
        <v>172</v>
      </c>
      <c r="AP16" s="407">
        <v>0.0</v>
      </c>
      <c r="AQ16" s="406">
        <v>1000000.0</v>
      </c>
      <c r="AR16" s="407">
        <f t="shared" si="7"/>
        <v>0</v>
      </c>
      <c r="AS16" s="408">
        <f t="shared" si="8"/>
        <v>0</v>
      </c>
      <c r="AT16" s="415"/>
      <c r="AU16" s="415"/>
      <c r="AV16" s="415"/>
    </row>
    <row r="17">
      <c r="A17" s="63" t="s">
        <v>50</v>
      </c>
      <c r="B17" s="64">
        <v>2.0</v>
      </c>
      <c r="C17" s="65"/>
      <c r="D17" s="66" t="s">
        <v>175</v>
      </c>
      <c r="E17" s="215" t="s">
        <v>172</v>
      </c>
      <c r="F17" s="410">
        <v>0.0</v>
      </c>
      <c r="G17" s="225">
        <v>5000000.0</v>
      </c>
      <c r="H17" s="410">
        <f t="shared" si="1"/>
        <v>0</v>
      </c>
      <c r="I17" s="411">
        <f t="shared" si="2"/>
        <v>0</v>
      </c>
      <c r="J17" s="414"/>
      <c r="K17" s="414"/>
      <c r="L17" s="281"/>
      <c r="M17" s="63" t="s">
        <v>50</v>
      </c>
      <c r="N17" s="64">
        <v>2.0</v>
      </c>
      <c r="O17" s="65"/>
      <c r="P17" s="66" t="s">
        <v>175</v>
      </c>
      <c r="Q17" s="215" t="s">
        <v>172</v>
      </c>
      <c r="R17" s="410">
        <v>0.0</v>
      </c>
      <c r="S17" s="225">
        <v>5000000.0</v>
      </c>
      <c r="T17" s="410">
        <f t="shared" si="3"/>
        <v>0</v>
      </c>
      <c r="U17" s="411">
        <f t="shared" si="4"/>
        <v>0</v>
      </c>
      <c r="V17" s="414"/>
      <c r="W17" s="414"/>
      <c r="X17" s="414"/>
      <c r="Y17" s="63" t="s">
        <v>50</v>
      </c>
      <c r="Z17" s="64">
        <v>2.0</v>
      </c>
      <c r="AA17" s="65"/>
      <c r="AB17" s="66" t="s">
        <v>175</v>
      </c>
      <c r="AC17" s="215" t="s">
        <v>172</v>
      </c>
      <c r="AD17" s="410">
        <v>0.0</v>
      </c>
      <c r="AE17" s="225">
        <v>5000000.0</v>
      </c>
      <c r="AF17" s="410">
        <f t="shared" si="5"/>
        <v>0</v>
      </c>
      <c r="AG17" s="411">
        <f t="shared" si="6"/>
        <v>0</v>
      </c>
      <c r="AH17" s="414"/>
      <c r="AI17" s="414"/>
      <c r="AJ17" s="414"/>
      <c r="AK17" s="63" t="s">
        <v>50</v>
      </c>
      <c r="AL17" s="64">
        <v>2.0</v>
      </c>
      <c r="AM17" s="65"/>
      <c r="AN17" s="66" t="s">
        <v>175</v>
      </c>
      <c r="AO17" s="215" t="s">
        <v>172</v>
      </c>
      <c r="AP17" s="410">
        <v>0.0</v>
      </c>
      <c r="AQ17" s="225">
        <v>5000000.0</v>
      </c>
      <c r="AR17" s="410">
        <f t="shared" si="7"/>
        <v>0</v>
      </c>
      <c r="AS17" s="411">
        <f t="shared" si="8"/>
        <v>0</v>
      </c>
      <c r="AT17" s="414"/>
      <c r="AU17" s="414"/>
      <c r="AV17" s="414"/>
    </row>
    <row r="18" ht="15.75" customHeight="1">
      <c r="A18" s="99" t="s">
        <v>52</v>
      </c>
      <c r="B18" s="227" t="s">
        <v>44</v>
      </c>
      <c r="C18" s="228" t="s">
        <v>293</v>
      </c>
      <c r="D18" s="229" t="s">
        <v>171</v>
      </c>
      <c r="E18" s="102" t="s">
        <v>172</v>
      </c>
      <c r="F18" s="362">
        <v>0.0</v>
      </c>
      <c r="G18" s="230">
        <v>10000.0</v>
      </c>
      <c r="H18" s="362">
        <f t="shared" si="1"/>
        <v>0</v>
      </c>
      <c r="I18" s="363">
        <f t="shared" si="2"/>
        <v>0</v>
      </c>
      <c r="J18" s="415"/>
      <c r="K18" s="415"/>
      <c r="L18" s="281"/>
      <c r="M18" s="364" t="s">
        <v>52</v>
      </c>
      <c r="N18" s="365" t="s">
        <v>44</v>
      </c>
      <c r="O18" s="366" t="s">
        <v>294</v>
      </c>
      <c r="P18" s="367" t="s">
        <v>171</v>
      </c>
      <c r="Q18" s="368" t="s">
        <v>172</v>
      </c>
      <c r="R18" s="371">
        <v>0.0</v>
      </c>
      <c r="S18" s="370">
        <v>10000.0</v>
      </c>
      <c r="T18" s="371">
        <f t="shared" si="3"/>
        <v>0</v>
      </c>
      <c r="U18" s="372">
        <f t="shared" si="4"/>
        <v>0</v>
      </c>
      <c r="V18" s="415"/>
      <c r="W18" s="415"/>
      <c r="X18" s="415"/>
      <c r="Y18" s="175" t="s">
        <v>52</v>
      </c>
      <c r="Z18" s="176" t="s">
        <v>44</v>
      </c>
      <c r="AA18" s="373" t="s">
        <v>295</v>
      </c>
      <c r="AB18" s="374" t="s">
        <v>171</v>
      </c>
      <c r="AC18" s="178" t="s">
        <v>172</v>
      </c>
      <c r="AD18" s="377">
        <v>0.0</v>
      </c>
      <c r="AE18" s="376">
        <v>10000.0</v>
      </c>
      <c r="AF18" s="377">
        <f t="shared" si="5"/>
        <v>0</v>
      </c>
      <c r="AG18" s="378">
        <f t="shared" si="6"/>
        <v>0</v>
      </c>
      <c r="AH18" s="415"/>
      <c r="AI18" s="415"/>
      <c r="AJ18" s="415"/>
      <c r="AK18" s="34" t="s">
        <v>52</v>
      </c>
      <c r="AL18" s="35" t="s">
        <v>44</v>
      </c>
      <c r="AM18" s="379" t="s">
        <v>296</v>
      </c>
      <c r="AN18" s="380" t="s">
        <v>171</v>
      </c>
      <c r="AO18" s="37" t="s">
        <v>172</v>
      </c>
      <c r="AP18" s="383">
        <v>0.0</v>
      </c>
      <c r="AQ18" s="382">
        <v>10000.0</v>
      </c>
      <c r="AR18" s="383">
        <f t="shared" si="7"/>
        <v>0</v>
      </c>
      <c r="AS18" s="384">
        <f t="shared" si="8"/>
        <v>0</v>
      </c>
      <c r="AT18" s="415"/>
      <c r="AU18" s="415"/>
      <c r="AV18" s="415"/>
    </row>
    <row r="19">
      <c r="A19" s="45" t="s">
        <v>52</v>
      </c>
      <c r="B19" s="46" t="s">
        <v>44</v>
      </c>
      <c r="C19" s="47"/>
      <c r="D19" s="183" t="s">
        <v>252</v>
      </c>
      <c r="E19" s="183" t="s">
        <v>172</v>
      </c>
      <c r="F19" s="386">
        <v>0.0</v>
      </c>
      <c r="G19" s="221">
        <v>50000.0</v>
      </c>
      <c r="H19" s="386">
        <f t="shared" si="1"/>
        <v>0</v>
      </c>
      <c r="I19" s="387">
        <f t="shared" si="2"/>
        <v>0</v>
      </c>
      <c r="J19" s="415"/>
      <c r="K19" s="415"/>
      <c r="L19" s="281"/>
      <c r="M19" s="45" t="s">
        <v>52</v>
      </c>
      <c r="N19" s="46" t="s">
        <v>44</v>
      </c>
      <c r="O19" s="47"/>
      <c r="P19" s="183" t="s">
        <v>252</v>
      </c>
      <c r="Q19" s="183" t="s">
        <v>172</v>
      </c>
      <c r="R19" s="386">
        <v>0.0</v>
      </c>
      <c r="S19" s="221">
        <v>50000.0</v>
      </c>
      <c r="T19" s="386">
        <f t="shared" si="3"/>
        <v>0</v>
      </c>
      <c r="U19" s="387">
        <f t="shared" si="4"/>
        <v>0</v>
      </c>
      <c r="V19" s="415"/>
      <c r="W19" s="415"/>
      <c r="X19" s="415"/>
      <c r="Y19" s="45" t="s">
        <v>52</v>
      </c>
      <c r="Z19" s="46" t="s">
        <v>44</v>
      </c>
      <c r="AA19" s="47"/>
      <c r="AB19" s="183" t="s">
        <v>252</v>
      </c>
      <c r="AC19" s="183" t="s">
        <v>172</v>
      </c>
      <c r="AD19" s="386">
        <v>0.0</v>
      </c>
      <c r="AE19" s="221">
        <v>50000.0</v>
      </c>
      <c r="AF19" s="386">
        <f t="shared" si="5"/>
        <v>0</v>
      </c>
      <c r="AG19" s="387">
        <f t="shared" si="6"/>
        <v>0</v>
      </c>
      <c r="AH19" s="415"/>
      <c r="AI19" s="415"/>
      <c r="AJ19" s="415"/>
      <c r="AK19" s="45" t="s">
        <v>52</v>
      </c>
      <c r="AL19" s="46" t="s">
        <v>44</v>
      </c>
      <c r="AM19" s="47"/>
      <c r="AN19" s="183" t="s">
        <v>252</v>
      </c>
      <c r="AO19" s="183" t="s">
        <v>172</v>
      </c>
      <c r="AP19" s="386">
        <v>0.0</v>
      </c>
      <c r="AQ19" s="221">
        <v>50000.0</v>
      </c>
      <c r="AR19" s="386">
        <f t="shared" si="7"/>
        <v>0</v>
      </c>
      <c r="AS19" s="387">
        <f t="shared" si="8"/>
        <v>0</v>
      </c>
      <c r="AT19" s="415"/>
      <c r="AU19" s="415"/>
      <c r="AV19" s="415"/>
    </row>
    <row r="20">
      <c r="A20" s="108" t="s">
        <v>52</v>
      </c>
      <c r="B20" s="231" t="s">
        <v>44</v>
      </c>
      <c r="C20" s="110"/>
      <c r="D20" s="116" t="s">
        <v>253</v>
      </c>
      <c r="E20" s="111" t="s">
        <v>172</v>
      </c>
      <c r="F20" s="389">
        <v>0.0</v>
      </c>
      <c r="G20" s="232">
        <v>100000.0</v>
      </c>
      <c r="H20" s="389">
        <f t="shared" si="1"/>
        <v>0</v>
      </c>
      <c r="I20" s="390">
        <f t="shared" si="2"/>
        <v>0</v>
      </c>
      <c r="J20" s="415"/>
      <c r="K20" s="415"/>
      <c r="L20" s="281"/>
      <c r="M20" s="391" t="s">
        <v>52</v>
      </c>
      <c r="N20" s="392" t="s">
        <v>44</v>
      </c>
      <c r="O20" s="393"/>
      <c r="P20" s="394" t="s">
        <v>253</v>
      </c>
      <c r="Q20" s="395" t="s">
        <v>172</v>
      </c>
      <c r="R20" s="398">
        <v>0.0</v>
      </c>
      <c r="S20" s="397">
        <v>100000.0</v>
      </c>
      <c r="T20" s="398">
        <f t="shared" si="3"/>
        <v>0</v>
      </c>
      <c r="U20" s="399">
        <f t="shared" si="4"/>
        <v>0</v>
      </c>
      <c r="V20" s="415"/>
      <c r="W20" s="415"/>
      <c r="X20" s="415"/>
      <c r="Y20" s="184" t="s">
        <v>52</v>
      </c>
      <c r="Z20" s="185" t="s">
        <v>44</v>
      </c>
      <c r="AA20" s="186"/>
      <c r="AB20" s="187" t="s">
        <v>253</v>
      </c>
      <c r="AC20" s="400" t="s">
        <v>172</v>
      </c>
      <c r="AD20" s="403">
        <v>0.0</v>
      </c>
      <c r="AE20" s="402">
        <v>100000.0</v>
      </c>
      <c r="AF20" s="403">
        <f t="shared" si="5"/>
        <v>0</v>
      </c>
      <c r="AG20" s="404">
        <f t="shared" si="6"/>
        <v>0</v>
      </c>
      <c r="AH20" s="415"/>
      <c r="AI20" s="415"/>
      <c r="AJ20" s="415"/>
      <c r="AK20" s="54" t="s">
        <v>52</v>
      </c>
      <c r="AL20" s="55" t="s">
        <v>44</v>
      </c>
      <c r="AM20" s="56"/>
      <c r="AN20" s="62" t="s">
        <v>253</v>
      </c>
      <c r="AO20" s="57" t="s">
        <v>172</v>
      </c>
      <c r="AP20" s="407">
        <v>0.0</v>
      </c>
      <c r="AQ20" s="406">
        <v>100000.0</v>
      </c>
      <c r="AR20" s="407">
        <f t="shared" si="7"/>
        <v>0</v>
      </c>
      <c r="AS20" s="408">
        <f t="shared" si="8"/>
        <v>0</v>
      </c>
      <c r="AT20" s="415"/>
      <c r="AU20" s="415"/>
      <c r="AV20" s="415"/>
    </row>
    <row r="21" ht="15.75" customHeight="1">
      <c r="A21" s="45" t="s">
        <v>52</v>
      </c>
      <c r="B21" s="46" t="s">
        <v>44</v>
      </c>
      <c r="C21" s="47"/>
      <c r="D21" s="48" t="s">
        <v>173</v>
      </c>
      <c r="E21" s="183" t="s">
        <v>172</v>
      </c>
      <c r="F21" s="386">
        <v>0.0</v>
      </c>
      <c r="G21" s="221">
        <v>500000.0</v>
      </c>
      <c r="H21" s="386">
        <f t="shared" si="1"/>
        <v>0</v>
      </c>
      <c r="I21" s="387">
        <f t="shared" si="2"/>
        <v>0</v>
      </c>
      <c r="J21" s="415"/>
      <c r="K21" s="415"/>
      <c r="L21" s="281"/>
      <c r="M21" s="45" t="s">
        <v>52</v>
      </c>
      <c r="N21" s="46" t="s">
        <v>44</v>
      </c>
      <c r="O21" s="47"/>
      <c r="P21" s="48" t="s">
        <v>173</v>
      </c>
      <c r="Q21" s="183" t="s">
        <v>172</v>
      </c>
      <c r="R21" s="386">
        <v>0.0</v>
      </c>
      <c r="S21" s="221">
        <v>500000.0</v>
      </c>
      <c r="T21" s="386">
        <f t="shared" si="3"/>
        <v>0</v>
      </c>
      <c r="U21" s="387">
        <f t="shared" si="4"/>
        <v>0</v>
      </c>
      <c r="V21" s="415"/>
      <c r="W21" s="415"/>
      <c r="X21" s="415"/>
      <c r="Y21" s="45" t="s">
        <v>52</v>
      </c>
      <c r="Z21" s="46" t="s">
        <v>44</v>
      </c>
      <c r="AA21" s="47"/>
      <c r="AB21" s="48" t="s">
        <v>173</v>
      </c>
      <c r="AC21" s="183" t="s">
        <v>172</v>
      </c>
      <c r="AD21" s="386">
        <v>0.0</v>
      </c>
      <c r="AE21" s="221">
        <v>500000.0</v>
      </c>
      <c r="AF21" s="386">
        <f t="shared" si="5"/>
        <v>0</v>
      </c>
      <c r="AG21" s="387">
        <f t="shared" si="6"/>
        <v>0</v>
      </c>
      <c r="AH21" s="415"/>
      <c r="AI21" s="415"/>
      <c r="AJ21" s="415"/>
      <c r="AK21" s="45" t="s">
        <v>52</v>
      </c>
      <c r="AL21" s="46" t="s">
        <v>44</v>
      </c>
      <c r="AM21" s="47"/>
      <c r="AN21" s="48" t="s">
        <v>173</v>
      </c>
      <c r="AO21" s="183" t="s">
        <v>172</v>
      </c>
      <c r="AP21" s="386">
        <v>0.0</v>
      </c>
      <c r="AQ21" s="221">
        <v>500000.0</v>
      </c>
      <c r="AR21" s="386">
        <f t="shared" si="7"/>
        <v>0</v>
      </c>
      <c r="AS21" s="387">
        <f t="shared" si="8"/>
        <v>0</v>
      </c>
      <c r="AT21" s="415"/>
      <c r="AU21" s="415"/>
      <c r="AV21" s="415"/>
    </row>
    <row r="22" ht="15.75" customHeight="1">
      <c r="A22" s="108" t="s">
        <v>52</v>
      </c>
      <c r="B22" s="231" t="s">
        <v>44</v>
      </c>
      <c r="C22" s="110"/>
      <c r="D22" s="116" t="s">
        <v>174</v>
      </c>
      <c r="E22" s="111" t="s">
        <v>172</v>
      </c>
      <c r="F22" s="389">
        <v>0.0</v>
      </c>
      <c r="G22" s="232">
        <v>1000000.0</v>
      </c>
      <c r="H22" s="389">
        <f t="shared" si="1"/>
        <v>0</v>
      </c>
      <c r="I22" s="390">
        <f t="shared" si="2"/>
        <v>0</v>
      </c>
      <c r="J22" s="415"/>
      <c r="K22" s="415"/>
      <c r="L22" s="281"/>
      <c r="M22" s="391" t="s">
        <v>52</v>
      </c>
      <c r="N22" s="392" t="s">
        <v>44</v>
      </c>
      <c r="O22" s="393"/>
      <c r="P22" s="394" t="s">
        <v>174</v>
      </c>
      <c r="Q22" s="395" t="s">
        <v>172</v>
      </c>
      <c r="R22" s="398">
        <v>0.0</v>
      </c>
      <c r="S22" s="397">
        <v>1000000.0</v>
      </c>
      <c r="T22" s="398">
        <f t="shared" si="3"/>
        <v>0</v>
      </c>
      <c r="U22" s="399">
        <f t="shared" si="4"/>
        <v>0</v>
      </c>
      <c r="V22" s="415"/>
      <c r="W22" s="415"/>
      <c r="X22" s="415"/>
      <c r="Y22" s="184" t="s">
        <v>52</v>
      </c>
      <c r="Z22" s="185" t="s">
        <v>44</v>
      </c>
      <c r="AA22" s="186"/>
      <c r="AB22" s="187" t="s">
        <v>174</v>
      </c>
      <c r="AC22" s="400" t="s">
        <v>172</v>
      </c>
      <c r="AD22" s="403">
        <v>0.0</v>
      </c>
      <c r="AE22" s="402">
        <v>1000000.0</v>
      </c>
      <c r="AF22" s="403">
        <f t="shared" si="5"/>
        <v>0</v>
      </c>
      <c r="AG22" s="404">
        <f t="shared" si="6"/>
        <v>0</v>
      </c>
      <c r="AH22" s="415"/>
      <c r="AI22" s="415"/>
      <c r="AJ22" s="415"/>
      <c r="AK22" s="54" t="s">
        <v>52</v>
      </c>
      <c r="AL22" s="55" t="s">
        <v>44</v>
      </c>
      <c r="AM22" s="56"/>
      <c r="AN22" s="62" t="s">
        <v>174</v>
      </c>
      <c r="AO22" s="57" t="s">
        <v>172</v>
      </c>
      <c r="AP22" s="407">
        <v>0.0</v>
      </c>
      <c r="AQ22" s="406">
        <v>1000000.0</v>
      </c>
      <c r="AR22" s="407">
        <f t="shared" si="7"/>
        <v>0</v>
      </c>
      <c r="AS22" s="408">
        <f t="shared" si="8"/>
        <v>0</v>
      </c>
      <c r="AT22" s="415"/>
      <c r="AU22" s="415"/>
      <c r="AV22" s="415"/>
    </row>
    <row r="23" ht="15.75" customHeight="1">
      <c r="A23" s="63" t="s">
        <v>52</v>
      </c>
      <c r="B23" s="64" t="s">
        <v>44</v>
      </c>
      <c r="C23" s="65"/>
      <c r="D23" s="66" t="s">
        <v>175</v>
      </c>
      <c r="E23" s="215" t="s">
        <v>172</v>
      </c>
      <c r="F23" s="410">
        <v>0.0</v>
      </c>
      <c r="G23" s="225">
        <v>5000000.0</v>
      </c>
      <c r="H23" s="410">
        <f t="shared" si="1"/>
        <v>0</v>
      </c>
      <c r="I23" s="411">
        <f t="shared" si="2"/>
        <v>0</v>
      </c>
      <c r="J23" s="414"/>
      <c r="K23" s="414"/>
      <c r="L23" s="281"/>
      <c r="M23" s="63" t="s">
        <v>52</v>
      </c>
      <c r="N23" s="64" t="s">
        <v>44</v>
      </c>
      <c r="O23" s="65"/>
      <c r="P23" s="66" t="s">
        <v>175</v>
      </c>
      <c r="Q23" s="215" t="s">
        <v>172</v>
      </c>
      <c r="R23" s="410">
        <v>0.0</v>
      </c>
      <c r="S23" s="225">
        <v>5000000.0</v>
      </c>
      <c r="T23" s="410">
        <f t="shared" si="3"/>
        <v>0</v>
      </c>
      <c r="U23" s="411">
        <f t="shared" si="4"/>
        <v>0</v>
      </c>
      <c r="V23" s="414"/>
      <c r="W23" s="414"/>
      <c r="X23" s="414"/>
      <c r="Y23" s="63" t="s">
        <v>52</v>
      </c>
      <c r="Z23" s="64" t="s">
        <v>44</v>
      </c>
      <c r="AA23" s="65"/>
      <c r="AB23" s="66" t="s">
        <v>175</v>
      </c>
      <c r="AC23" s="215" t="s">
        <v>172</v>
      </c>
      <c r="AD23" s="410">
        <v>0.0</v>
      </c>
      <c r="AE23" s="225">
        <v>5000000.0</v>
      </c>
      <c r="AF23" s="410">
        <f t="shared" si="5"/>
        <v>0</v>
      </c>
      <c r="AG23" s="411">
        <f t="shared" si="6"/>
        <v>0</v>
      </c>
      <c r="AH23" s="414"/>
      <c r="AI23" s="414"/>
      <c r="AJ23" s="414"/>
      <c r="AK23" s="63" t="s">
        <v>52</v>
      </c>
      <c r="AL23" s="64" t="s">
        <v>44</v>
      </c>
      <c r="AM23" s="65"/>
      <c r="AN23" s="66" t="s">
        <v>175</v>
      </c>
      <c r="AO23" s="215" t="s">
        <v>172</v>
      </c>
      <c r="AP23" s="410">
        <v>0.0</v>
      </c>
      <c r="AQ23" s="225">
        <v>5000000.0</v>
      </c>
      <c r="AR23" s="410">
        <f t="shared" si="7"/>
        <v>0</v>
      </c>
      <c r="AS23" s="411">
        <f t="shared" si="8"/>
        <v>0</v>
      </c>
      <c r="AT23" s="414"/>
      <c r="AU23" s="414"/>
      <c r="AV23" s="414"/>
    </row>
    <row r="24" ht="15.75" customHeight="1">
      <c r="A24" s="99" t="s">
        <v>54</v>
      </c>
      <c r="B24" s="227">
        <v>3.0</v>
      </c>
      <c r="C24" s="228" t="s">
        <v>297</v>
      </c>
      <c r="D24" s="229" t="s">
        <v>171</v>
      </c>
      <c r="E24" s="102" t="s">
        <v>172</v>
      </c>
      <c r="F24" s="362">
        <v>0.0</v>
      </c>
      <c r="G24" s="230">
        <v>10000.0</v>
      </c>
      <c r="H24" s="362">
        <f t="shared" si="1"/>
        <v>0</v>
      </c>
      <c r="I24" s="363">
        <f t="shared" si="2"/>
        <v>0</v>
      </c>
      <c r="J24" s="415"/>
      <c r="K24" s="415"/>
      <c r="L24" s="281"/>
      <c r="M24" s="364" t="s">
        <v>54</v>
      </c>
      <c r="N24" s="365">
        <v>3.0</v>
      </c>
      <c r="O24" s="366" t="s">
        <v>298</v>
      </c>
      <c r="P24" s="367" t="s">
        <v>171</v>
      </c>
      <c r="Q24" s="368" t="s">
        <v>172</v>
      </c>
      <c r="R24" s="371">
        <v>0.0</v>
      </c>
      <c r="S24" s="370">
        <v>10000.0</v>
      </c>
      <c r="T24" s="371">
        <f t="shared" si="3"/>
        <v>0</v>
      </c>
      <c r="U24" s="372">
        <f t="shared" si="4"/>
        <v>0</v>
      </c>
      <c r="V24" s="415"/>
      <c r="W24" s="415"/>
      <c r="X24" s="415"/>
      <c r="Y24" s="175" t="s">
        <v>54</v>
      </c>
      <c r="Z24" s="176">
        <v>3.0</v>
      </c>
      <c r="AA24" s="373" t="s">
        <v>299</v>
      </c>
      <c r="AB24" s="374" t="s">
        <v>171</v>
      </c>
      <c r="AC24" s="178" t="s">
        <v>172</v>
      </c>
      <c r="AD24" s="377">
        <v>0.0</v>
      </c>
      <c r="AE24" s="376">
        <v>10000.0</v>
      </c>
      <c r="AF24" s="377">
        <f t="shared" si="5"/>
        <v>0</v>
      </c>
      <c r="AG24" s="378">
        <f t="shared" si="6"/>
        <v>0</v>
      </c>
      <c r="AH24" s="415"/>
      <c r="AI24" s="415"/>
      <c r="AJ24" s="415"/>
      <c r="AK24" s="34" t="s">
        <v>54</v>
      </c>
      <c r="AL24" s="35">
        <v>3.0</v>
      </c>
      <c r="AM24" s="379" t="s">
        <v>300</v>
      </c>
      <c r="AN24" s="380" t="s">
        <v>171</v>
      </c>
      <c r="AO24" s="37" t="s">
        <v>172</v>
      </c>
      <c r="AP24" s="383">
        <v>0.0</v>
      </c>
      <c r="AQ24" s="382">
        <v>10000.0</v>
      </c>
      <c r="AR24" s="383">
        <f t="shared" si="7"/>
        <v>0</v>
      </c>
      <c r="AS24" s="384">
        <f t="shared" si="8"/>
        <v>0</v>
      </c>
      <c r="AT24" s="415"/>
      <c r="AU24" s="415"/>
      <c r="AV24" s="415"/>
    </row>
    <row r="25" ht="15.75" customHeight="1">
      <c r="A25" s="45" t="s">
        <v>54</v>
      </c>
      <c r="B25" s="46">
        <v>3.0</v>
      </c>
      <c r="C25" s="47"/>
      <c r="D25" s="183" t="s">
        <v>252</v>
      </c>
      <c r="E25" s="183" t="s">
        <v>172</v>
      </c>
      <c r="F25" s="386">
        <v>0.0</v>
      </c>
      <c r="G25" s="221">
        <v>50000.0</v>
      </c>
      <c r="H25" s="386">
        <f t="shared" si="1"/>
        <v>0</v>
      </c>
      <c r="I25" s="387">
        <f t="shared" si="2"/>
        <v>0</v>
      </c>
      <c r="J25" s="415"/>
      <c r="K25" s="415"/>
      <c r="L25" s="281"/>
      <c r="M25" s="45" t="s">
        <v>54</v>
      </c>
      <c r="N25" s="46">
        <v>3.0</v>
      </c>
      <c r="O25" s="47"/>
      <c r="P25" s="183" t="s">
        <v>252</v>
      </c>
      <c r="Q25" s="183" t="s">
        <v>172</v>
      </c>
      <c r="R25" s="386">
        <v>0.0</v>
      </c>
      <c r="S25" s="221">
        <v>50000.0</v>
      </c>
      <c r="T25" s="386">
        <f t="shared" si="3"/>
        <v>0</v>
      </c>
      <c r="U25" s="387">
        <f t="shared" si="4"/>
        <v>0</v>
      </c>
      <c r="V25" s="415"/>
      <c r="W25" s="415"/>
      <c r="X25" s="415"/>
      <c r="Y25" s="45" t="s">
        <v>54</v>
      </c>
      <c r="Z25" s="46">
        <v>3.0</v>
      </c>
      <c r="AA25" s="47"/>
      <c r="AB25" s="183" t="s">
        <v>252</v>
      </c>
      <c r="AC25" s="183" t="s">
        <v>172</v>
      </c>
      <c r="AD25" s="386">
        <v>0.0</v>
      </c>
      <c r="AE25" s="221">
        <v>50000.0</v>
      </c>
      <c r="AF25" s="386">
        <f t="shared" si="5"/>
        <v>0</v>
      </c>
      <c r="AG25" s="387">
        <f t="shared" si="6"/>
        <v>0</v>
      </c>
      <c r="AH25" s="415"/>
      <c r="AI25" s="415"/>
      <c r="AJ25" s="415"/>
      <c r="AK25" s="45" t="s">
        <v>54</v>
      </c>
      <c r="AL25" s="46">
        <v>3.0</v>
      </c>
      <c r="AM25" s="47"/>
      <c r="AN25" s="183" t="s">
        <v>252</v>
      </c>
      <c r="AO25" s="183" t="s">
        <v>172</v>
      </c>
      <c r="AP25" s="386">
        <v>0.0</v>
      </c>
      <c r="AQ25" s="221">
        <v>50000.0</v>
      </c>
      <c r="AR25" s="386">
        <f t="shared" si="7"/>
        <v>0</v>
      </c>
      <c r="AS25" s="387">
        <f t="shared" si="8"/>
        <v>0</v>
      </c>
      <c r="AT25" s="415"/>
      <c r="AU25" s="415"/>
      <c r="AV25" s="415"/>
    </row>
    <row r="26" ht="15.75" customHeight="1">
      <c r="A26" s="108" t="s">
        <v>54</v>
      </c>
      <c r="B26" s="231">
        <v>3.0</v>
      </c>
      <c r="C26" s="110"/>
      <c r="D26" s="116" t="s">
        <v>253</v>
      </c>
      <c r="E26" s="111" t="s">
        <v>172</v>
      </c>
      <c r="F26" s="389">
        <v>0.0</v>
      </c>
      <c r="G26" s="232">
        <v>100000.0</v>
      </c>
      <c r="H26" s="389">
        <f t="shared" si="1"/>
        <v>0</v>
      </c>
      <c r="I26" s="390">
        <f t="shared" si="2"/>
        <v>0</v>
      </c>
      <c r="J26" s="415"/>
      <c r="K26" s="415"/>
      <c r="L26" s="281"/>
      <c r="M26" s="391" t="s">
        <v>54</v>
      </c>
      <c r="N26" s="392">
        <v>3.0</v>
      </c>
      <c r="O26" s="393"/>
      <c r="P26" s="394" t="s">
        <v>253</v>
      </c>
      <c r="Q26" s="395" t="s">
        <v>172</v>
      </c>
      <c r="R26" s="398">
        <v>0.0</v>
      </c>
      <c r="S26" s="397">
        <v>100000.0</v>
      </c>
      <c r="T26" s="398">
        <f t="shared" si="3"/>
        <v>0</v>
      </c>
      <c r="U26" s="399">
        <f t="shared" si="4"/>
        <v>0</v>
      </c>
      <c r="V26" s="415"/>
      <c r="W26" s="415"/>
      <c r="X26" s="415"/>
      <c r="Y26" s="184" t="s">
        <v>54</v>
      </c>
      <c r="Z26" s="185">
        <v>3.0</v>
      </c>
      <c r="AA26" s="186"/>
      <c r="AB26" s="187" t="s">
        <v>253</v>
      </c>
      <c r="AC26" s="400" t="s">
        <v>172</v>
      </c>
      <c r="AD26" s="403">
        <v>0.0</v>
      </c>
      <c r="AE26" s="402">
        <v>100000.0</v>
      </c>
      <c r="AF26" s="403">
        <f t="shared" si="5"/>
        <v>0</v>
      </c>
      <c r="AG26" s="404">
        <f t="shared" si="6"/>
        <v>0</v>
      </c>
      <c r="AH26" s="415"/>
      <c r="AI26" s="415"/>
      <c r="AJ26" s="415"/>
      <c r="AK26" s="54" t="s">
        <v>54</v>
      </c>
      <c r="AL26" s="55">
        <v>3.0</v>
      </c>
      <c r="AM26" s="56"/>
      <c r="AN26" s="62" t="s">
        <v>253</v>
      </c>
      <c r="AO26" s="57" t="s">
        <v>172</v>
      </c>
      <c r="AP26" s="407">
        <v>0.0</v>
      </c>
      <c r="AQ26" s="406">
        <v>100000.0</v>
      </c>
      <c r="AR26" s="407">
        <f t="shared" si="7"/>
        <v>0</v>
      </c>
      <c r="AS26" s="408">
        <f t="shared" si="8"/>
        <v>0</v>
      </c>
      <c r="AT26" s="415"/>
      <c r="AU26" s="415"/>
      <c r="AV26" s="415"/>
    </row>
    <row r="27" ht="15.75" customHeight="1">
      <c r="A27" s="45" t="s">
        <v>54</v>
      </c>
      <c r="B27" s="46">
        <v>3.0</v>
      </c>
      <c r="C27" s="47"/>
      <c r="D27" s="48" t="s">
        <v>173</v>
      </c>
      <c r="E27" s="183" t="s">
        <v>172</v>
      </c>
      <c r="F27" s="386">
        <v>0.0</v>
      </c>
      <c r="G27" s="221">
        <v>500000.0</v>
      </c>
      <c r="H27" s="386">
        <f t="shared" si="1"/>
        <v>0</v>
      </c>
      <c r="I27" s="387">
        <f t="shared" si="2"/>
        <v>0</v>
      </c>
      <c r="J27" s="415"/>
      <c r="K27" s="415"/>
      <c r="M27" s="45" t="s">
        <v>54</v>
      </c>
      <c r="N27" s="46">
        <v>3.0</v>
      </c>
      <c r="O27" s="47"/>
      <c r="P27" s="48" t="s">
        <v>173</v>
      </c>
      <c r="Q27" s="183" t="s">
        <v>172</v>
      </c>
      <c r="R27" s="386">
        <v>0.0</v>
      </c>
      <c r="S27" s="221">
        <v>500000.0</v>
      </c>
      <c r="T27" s="386">
        <f t="shared" si="3"/>
        <v>0</v>
      </c>
      <c r="U27" s="387">
        <f t="shared" si="4"/>
        <v>0</v>
      </c>
      <c r="V27" s="415"/>
      <c r="W27" s="415"/>
      <c r="X27" s="415"/>
      <c r="Y27" s="45" t="s">
        <v>54</v>
      </c>
      <c r="Z27" s="46">
        <v>3.0</v>
      </c>
      <c r="AA27" s="47"/>
      <c r="AB27" s="48" t="s">
        <v>173</v>
      </c>
      <c r="AC27" s="183" t="s">
        <v>172</v>
      </c>
      <c r="AD27" s="386">
        <v>0.0</v>
      </c>
      <c r="AE27" s="221">
        <v>500000.0</v>
      </c>
      <c r="AF27" s="386">
        <f t="shared" si="5"/>
        <v>0</v>
      </c>
      <c r="AG27" s="387">
        <f t="shared" si="6"/>
        <v>0</v>
      </c>
      <c r="AH27" s="415"/>
      <c r="AI27" s="415"/>
      <c r="AJ27" s="415"/>
      <c r="AK27" s="45" t="s">
        <v>54</v>
      </c>
      <c r="AL27" s="46">
        <v>3.0</v>
      </c>
      <c r="AM27" s="47"/>
      <c r="AN27" s="48" t="s">
        <v>173</v>
      </c>
      <c r="AO27" s="183" t="s">
        <v>172</v>
      </c>
      <c r="AP27" s="386">
        <v>0.0</v>
      </c>
      <c r="AQ27" s="221">
        <v>500000.0</v>
      </c>
      <c r="AR27" s="386">
        <f t="shared" si="7"/>
        <v>0</v>
      </c>
      <c r="AS27" s="387">
        <f t="shared" si="8"/>
        <v>0</v>
      </c>
      <c r="AT27" s="415"/>
      <c r="AU27" s="415"/>
      <c r="AV27" s="415"/>
    </row>
    <row r="28" ht="15.75" customHeight="1">
      <c r="A28" s="108" t="s">
        <v>54</v>
      </c>
      <c r="B28" s="231">
        <v>3.0</v>
      </c>
      <c r="C28" s="110"/>
      <c r="D28" s="116" t="s">
        <v>174</v>
      </c>
      <c r="E28" s="111" t="s">
        <v>172</v>
      </c>
      <c r="F28" s="389">
        <v>0.0</v>
      </c>
      <c r="G28" s="232">
        <v>1000000.0</v>
      </c>
      <c r="H28" s="389">
        <f t="shared" si="1"/>
        <v>0</v>
      </c>
      <c r="I28" s="390">
        <f t="shared" si="2"/>
        <v>0</v>
      </c>
      <c r="J28" s="415"/>
      <c r="K28" s="415"/>
      <c r="M28" s="391" t="s">
        <v>54</v>
      </c>
      <c r="N28" s="392">
        <v>3.0</v>
      </c>
      <c r="O28" s="393"/>
      <c r="P28" s="394" t="s">
        <v>174</v>
      </c>
      <c r="Q28" s="395" t="s">
        <v>172</v>
      </c>
      <c r="R28" s="398">
        <v>0.0</v>
      </c>
      <c r="S28" s="397">
        <v>1000000.0</v>
      </c>
      <c r="T28" s="398">
        <f t="shared" si="3"/>
        <v>0</v>
      </c>
      <c r="U28" s="399">
        <f t="shared" si="4"/>
        <v>0</v>
      </c>
      <c r="V28" s="415"/>
      <c r="W28" s="415"/>
      <c r="X28" s="415"/>
      <c r="Y28" s="184" t="s">
        <v>54</v>
      </c>
      <c r="Z28" s="185">
        <v>3.0</v>
      </c>
      <c r="AA28" s="186"/>
      <c r="AB28" s="187" t="s">
        <v>174</v>
      </c>
      <c r="AC28" s="400" t="s">
        <v>172</v>
      </c>
      <c r="AD28" s="403">
        <v>0.0</v>
      </c>
      <c r="AE28" s="402">
        <v>1000000.0</v>
      </c>
      <c r="AF28" s="403">
        <f t="shared" si="5"/>
        <v>0</v>
      </c>
      <c r="AG28" s="404">
        <f t="shared" si="6"/>
        <v>0</v>
      </c>
      <c r="AH28" s="415"/>
      <c r="AI28" s="415"/>
      <c r="AJ28" s="415"/>
      <c r="AK28" s="54" t="s">
        <v>54</v>
      </c>
      <c r="AL28" s="55">
        <v>3.0</v>
      </c>
      <c r="AM28" s="56"/>
      <c r="AN28" s="62" t="s">
        <v>174</v>
      </c>
      <c r="AO28" s="57" t="s">
        <v>172</v>
      </c>
      <c r="AP28" s="407">
        <v>0.0</v>
      </c>
      <c r="AQ28" s="406">
        <v>1000000.0</v>
      </c>
      <c r="AR28" s="407">
        <f t="shared" si="7"/>
        <v>0</v>
      </c>
      <c r="AS28" s="408">
        <f t="shared" si="8"/>
        <v>0</v>
      </c>
      <c r="AT28" s="415"/>
      <c r="AU28" s="415"/>
      <c r="AV28" s="415"/>
    </row>
    <row r="29" ht="15.75" customHeight="1">
      <c r="A29" s="63" t="s">
        <v>54</v>
      </c>
      <c r="B29" s="64">
        <v>3.0</v>
      </c>
      <c r="C29" s="65"/>
      <c r="D29" s="66" t="s">
        <v>175</v>
      </c>
      <c r="E29" s="215" t="s">
        <v>172</v>
      </c>
      <c r="F29" s="410">
        <v>0.0</v>
      </c>
      <c r="G29" s="225">
        <v>5000000.0</v>
      </c>
      <c r="H29" s="410">
        <f t="shared" si="1"/>
        <v>0</v>
      </c>
      <c r="I29" s="411">
        <f t="shared" si="2"/>
        <v>0</v>
      </c>
      <c r="J29" s="414"/>
      <c r="K29" s="414"/>
      <c r="M29" s="63" t="s">
        <v>54</v>
      </c>
      <c r="N29" s="64">
        <v>3.0</v>
      </c>
      <c r="O29" s="65"/>
      <c r="P29" s="66" t="s">
        <v>175</v>
      </c>
      <c r="Q29" s="215" t="s">
        <v>172</v>
      </c>
      <c r="R29" s="410">
        <v>0.0</v>
      </c>
      <c r="S29" s="225">
        <v>5000000.0</v>
      </c>
      <c r="T29" s="410">
        <f t="shared" si="3"/>
        <v>0</v>
      </c>
      <c r="U29" s="411">
        <f t="shared" si="4"/>
        <v>0</v>
      </c>
      <c r="V29" s="414"/>
      <c r="W29" s="414"/>
      <c r="X29" s="414"/>
      <c r="Y29" s="63" t="s">
        <v>54</v>
      </c>
      <c r="Z29" s="64">
        <v>3.0</v>
      </c>
      <c r="AA29" s="65"/>
      <c r="AB29" s="66" t="s">
        <v>175</v>
      </c>
      <c r="AC29" s="215" t="s">
        <v>172</v>
      </c>
      <c r="AD29" s="410">
        <v>0.0</v>
      </c>
      <c r="AE29" s="225">
        <v>5000000.0</v>
      </c>
      <c r="AF29" s="410">
        <f t="shared" si="5"/>
        <v>0</v>
      </c>
      <c r="AG29" s="411">
        <f t="shared" si="6"/>
        <v>0</v>
      </c>
      <c r="AH29" s="414"/>
      <c r="AI29" s="414"/>
      <c r="AJ29" s="414"/>
      <c r="AK29" s="63" t="s">
        <v>54</v>
      </c>
      <c r="AL29" s="64">
        <v>3.0</v>
      </c>
      <c r="AM29" s="65"/>
      <c r="AN29" s="66" t="s">
        <v>175</v>
      </c>
      <c r="AO29" s="215" t="s">
        <v>172</v>
      </c>
      <c r="AP29" s="410">
        <v>0.0</v>
      </c>
      <c r="AQ29" s="225">
        <v>5000000.0</v>
      </c>
      <c r="AR29" s="410">
        <f t="shared" si="7"/>
        <v>0</v>
      </c>
      <c r="AS29" s="411">
        <f t="shared" si="8"/>
        <v>0</v>
      </c>
      <c r="AT29" s="414"/>
      <c r="AU29" s="414"/>
      <c r="AV29" s="414"/>
    </row>
    <row r="30" ht="15.75" customHeight="1">
      <c r="A30" s="99" t="s">
        <v>56</v>
      </c>
      <c r="B30" s="227" t="s">
        <v>47</v>
      </c>
      <c r="C30" s="228" t="s">
        <v>301</v>
      </c>
      <c r="D30" s="229" t="s">
        <v>171</v>
      </c>
      <c r="E30" s="102" t="s">
        <v>172</v>
      </c>
      <c r="F30" s="362">
        <v>0.0</v>
      </c>
      <c r="G30" s="230">
        <v>10000.0</v>
      </c>
      <c r="H30" s="362">
        <f t="shared" si="1"/>
        <v>0</v>
      </c>
      <c r="I30" s="363">
        <f t="shared" si="2"/>
        <v>0</v>
      </c>
      <c r="J30" s="415"/>
      <c r="K30" s="415"/>
      <c r="M30" s="364" t="s">
        <v>56</v>
      </c>
      <c r="N30" s="365" t="s">
        <v>47</v>
      </c>
      <c r="O30" s="366" t="s">
        <v>302</v>
      </c>
      <c r="P30" s="367" t="s">
        <v>171</v>
      </c>
      <c r="Q30" s="368" t="s">
        <v>172</v>
      </c>
      <c r="R30" s="371">
        <v>0.0</v>
      </c>
      <c r="S30" s="370">
        <v>10000.0</v>
      </c>
      <c r="T30" s="371">
        <f t="shared" si="3"/>
        <v>0</v>
      </c>
      <c r="U30" s="372">
        <f t="shared" si="4"/>
        <v>0</v>
      </c>
      <c r="V30" s="415"/>
      <c r="W30" s="415"/>
      <c r="X30" s="415"/>
      <c r="Y30" s="175" t="s">
        <v>56</v>
      </c>
      <c r="Z30" s="176" t="s">
        <v>47</v>
      </c>
      <c r="AA30" s="373" t="s">
        <v>303</v>
      </c>
      <c r="AB30" s="374" t="s">
        <v>171</v>
      </c>
      <c r="AC30" s="178" t="s">
        <v>172</v>
      </c>
      <c r="AD30" s="377">
        <v>0.0</v>
      </c>
      <c r="AE30" s="376">
        <v>10000.0</v>
      </c>
      <c r="AF30" s="377">
        <f t="shared" si="5"/>
        <v>0</v>
      </c>
      <c r="AG30" s="378">
        <f t="shared" si="6"/>
        <v>0</v>
      </c>
      <c r="AH30" s="415"/>
      <c r="AI30" s="415"/>
      <c r="AJ30" s="415"/>
      <c r="AK30" s="34" t="s">
        <v>56</v>
      </c>
      <c r="AL30" s="35" t="s">
        <v>47</v>
      </c>
      <c r="AM30" s="379" t="s">
        <v>304</v>
      </c>
      <c r="AN30" s="380" t="s">
        <v>171</v>
      </c>
      <c r="AO30" s="37" t="s">
        <v>172</v>
      </c>
      <c r="AP30" s="383">
        <v>0.0</v>
      </c>
      <c r="AQ30" s="382">
        <v>10000.0</v>
      </c>
      <c r="AR30" s="383">
        <f t="shared" si="7"/>
        <v>0</v>
      </c>
      <c r="AS30" s="384">
        <f t="shared" si="8"/>
        <v>0</v>
      </c>
      <c r="AT30" s="415"/>
      <c r="AU30" s="415"/>
      <c r="AV30" s="415"/>
    </row>
    <row r="31" ht="15.75" customHeight="1">
      <c r="A31" s="45" t="s">
        <v>56</v>
      </c>
      <c r="B31" s="46" t="s">
        <v>47</v>
      </c>
      <c r="C31" s="47"/>
      <c r="D31" s="183" t="s">
        <v>252</v>
      </c>
      <c r="E31" s="183" t="s">
        <v>172</v>
      </c>
      <c r="F31" s="386">
        <v>0.0</v>
      </c>
      <c r="G31" s="221">
        <v>50000.0</v>
      </c>
      <c r="H31" s="386">
        <f t="shared" si="1"/>
        <v>0</v>
      </c>
      <c r="I31" s="387">
        <f t="shared" si="2"/>
        <v>0</v>
      </c>
      <c r="J31" s="415"/>
      <c r="K31" s="415"/>
      <c r="M31" s="45" t="s">
        <v>56</v>
      </c>
      <c r="N31" s="46" t="s">
        <v>47</v>
      </c>
      <c r="O31" s="47"/>
      <c r="P31" s="183" t="s">
        <v>252</v>
      </c>
      <c r="Q31" s="183" t="s">
        <v>172</v>
      </c>
      <c r="R31" s="386">
        <v>0.0</v>
      </c>
      <c r="S31" s="221">
        <v>50000.0</v>
      </c>
      <c r="T31" s="386">
        <f t="shared" si="3"/>
        <v>0</v>
      </c>
      <c r="U31" s="387">
        <f t="shared" si="4"/>
        <v>0</v>
      </c>
      <c r="V31" s="415"/>
      <c r="W31" s="415"/>
      <c r="X31" s="415"/>
      <c r="Y31" s="45" t="s">
        <v>56</v>
      </c>
      <c r="Z31" s="46" t="s">
        <v>47</v>
      </c>
      <c r="AA31" s="47"/>
      <c r="AB31" s="183" t="s">
        <v>252</v>
      </c>
      <c r="AC31" s="183" t="s">
        <v>172</v>
      </c>
      <c r="AD31" s="386">
        <v>0.0</v>
      </c>
      <c r="AE31" s="221">
        <v>50000.0</v>
      </c>
      <c r="AF31" s="386">
        <f t="shared" si="5"/>
        <v>0</v>
      </c>
      <c r="AG31" s="387">
        <f t="shared" si="6"/>
        <v>0</v>
      </c>
      <c r="AH31" s="415"/>
      <c r="AI31" s="415"/>
      <c r="AJ31" s="415"/>
      <c r="AK31" s="45" t="s">
        <v>56</v>
      </c>
      <c r="AL31" s="46" t="s">
        <v>47</v>
      </c>
      <c r="AM31" s="47"/>
      <c r="AN31" s="183" t="s">
        <v>252</v>
      </c>
      <c r="AO31" s="183" t="s">
        <v>172</v>
      </c>
      <c r="AP31" s="386">
        <v>0.0</v>
      </c>
      <c r="AQ31" s="221">
        <v>50000.0</v>
      </c>
      <c r="AR31" s="386">
        <f t="shared" si="7"/>
        <v>0</v>
      </c>
      <c r="AS31" s="387">
        <f t="shared" si="8"/>
        <v>0</v>
      </c>
      <c r="AT31" s="415"/>
      <c r="AU31" s="415"/>
      <c r="AV31" s="415"/>
    </row>
    <row r="32" ht="15.75" customHeight="1">
      <c r="A32" s="108" t="s">
        <v>56</v>
      </c>
      <c r="B32" s="231" t="s">
        <v>47</v>
      </c>
      <c r="C32" s="110"/>
      <c r="D32" s="116" t="s">
        <v>253</v>
      </c>
      <c r="E32" s="111" t="s">
        <v>172</v>
      </c>
      <c r="F32" s="389">
        <v>0.0</v>
      </c>
      <c r="G32" s="232">
        <v>100000.0</v>
      </c>
      <c r="H32" s="389">
        <f t="shared" si="1"/>
        <v>0</v>
      </c>
      <c r="I32" s="390">
        <f t="shared" si="2"/>
        <v>0</v>
      </c>
      <c r="J32" s="415"/>
      <c r="K32" s="415"/>
      <c r="M32" s="391" t="s">
        <v>56</v>
      </c>
      <c r="N32" s="392" t="s">
        <v>47</v>
      </c>
      <c r="O32" s="393"/>
      <c r="P32" s="394" t="s">
        <v>253</v>
      </c>
      <c r="Q32" s="395" t="s">
        <v>172</v>
      </c>
      <c r="R32" s="398">
        <v>0.0</v>
      </c>
      <c r="S32" s="397">
        <v>100000.0</v>
      </c>
      <c r="T32" s="398">
        <f t="shared" si="3"/>
        <v>0</v>
      </c>
      <c r="U32" s="399">
        <f t="shared" si="4"/>
        <v>0</v>
      </c>
      <c r="V32" s="415"/>
      <c r="W32" s="415"/>
      <c r="X32" s="415"/>
      <c r="Y32" s="184" t="s">
        <v>56</v>
      </c>
      <c r="Z32" s="185" t="s">
        <v>47</v>
      </c>
      <c r="AA32" s="186"/>
      <c r="AB32" s="187" t="s">
        <v>253</v>
      </c>
      <c r="AC32" s="400" t="s">
        <v>172</v>
      </c>
      <c r="AD32" s="403">
        <v>0.0</v>
      </c>
      <c r="AE32" s="402">
        <v>100000.0</v>
      </c>
      <c r="AF32" s="403">
        <f t="shared" si="5"/>
        <v>0</v>
      </c>
      <c r="AG32" s="404">
        <f t="shared" si="6"/>
        <v>0</v>
      </c>
      <c r="AH32" s="415"/>
      <c r="AI32" s="415"/>
      <c r="AJ32" s="415"/>
      <c r="AK32" s="54" t="s">
        <v>56</v>
      </c>
      <c r="AL32" s="55" t="s">
        <v>47</v>
      </c>
      <c r="AM32" s="56"/>
      <c r="AN32" s="62" t="s">
        <v>253</v>
      </c>
      <c r="AO32" s="57" t="s">
        <v>172</v>
      </c>
      <c r="AP32" s="407">
        <v>0.0</v>
      </c>
      <c r="AQ32" s="406">
        <v>100000.0</v>
      </c>
      <c r="AR32" s="407">
        <f t="shared" si="7"/>
        <v>0</v>
      </c>
      <c r="AS32" s="408">
        <f t="shared" si="8"/>
        <v>0</v>
      </c>
      <c r="AT32" s="415"/>
      <c r="AU32" s="415"/>
      <c r="AV32" s="415"/>
    </row>
    <row r="33" ht="15.75" customHeight="1">
      <c r="A33" s="45" t="s">
        <v>56</v>
      </c>
      <c r="B33" s="46" t="s">
        <v>47</v>
      </c>
      <c r="C33" s="47"/>
      <c r="D33" s="48" t="s">
        <v>173</v>
      </c>
      <c r="E33" s="183" t="s">
        <v>172</v>
      </c>
      <c r="F33" s="386">
        <v>0.0</v>
      </c>
      <c r="G33" s="221">
        <v>500000.0</v>
      </c>
      <c r="H33" s="386">
        <f t="shared" si="1"/>
        <v>0</v>
      </c>
      <c r="I33" s="387">
        <f t="shared" si="2"/>
        <v>0</v>
      </c>
      <c r="J33" s="415"/>
      <c r="K33" s="415"/>
      <c r="M33" s="45" t="s">
        <v>56</v>
      </c>
      <c r="N33" s="46" t="s">
        <v>47</v>
      </c>
      <c r="O33" s="47"/>
      <c r="P33" s="48" t="s">
        <v>173</v>
      </c>
      <c r="Q33" s="183" t="s">
        <v>172</v>
      </c>
      <c r="R33" s="386">
        <v>0.0</v>
      </c>
      <c r="S33" s="221">
        <v>500000.0</v>
      </c>
      <c r="T33" s="386">
        <f t="shared" si="3"/>
        <v>0</v>
      </c>
      <c r="U33" s="387">
        <f t="shared" si="4"/>
        <v>0</v>
      </c>
      <c r="V33" s="415"/>
      <c r="W33" s="415"/>
      <c r="X33" s="415"/>
      <c r="Y33" s="45" t="s">
        <v>56</v>
      </c>
      <c r="Z33" s="46" t="s">
        <v>47</v>
      </c>
      <c r="AA33" s="47"/>
      <c r="AB33" s="48" t="s">
        <v>173</v>
      </c>
      <c r="AC33" s="183" t="s">
        <v>172</v>
      </c>
      <c r="AD33" s="386">
        <v>0.0</v>
      </c>
      <c r="AE33" s="221">
        <v>500000.0</v>
      </c>
      <c r="AF33" s="386">
        <f t="shared" si="5"/>
        <v>0</v>
      </c>
      <c r="AG33" s="387">
        <f t="shared" si="6"/>
        <v>0</v>
      </c>
      <c r="AH33" s="415"/>
      <c r="AI33" s="415"/>
      <c r="AJ33" s="415"/>
      <c r="AK33" s="45" t="s">
        <v>56</v>
      </c>
      <c r="AL33" s="46" t="s">
        <v>47</v>
      </c>
      <c r="AM33" s="47"/>
      <c r="AN33" s="48" t="s">
        <v>173</v>
      </c>
      <c r="AO33" s="183" t="s">
        <v>172</v>
      </c>
      <c r="AP33" s="386">
        <v>0.0</v>
      </c>
      <c r="AQ33" s="221">
        <v>500000.0</v>
      </c>
      <c r="AR33" s="386">
        <f t="shared" si="7"/>
        <v>0</v>
      </c>
      <c r="AS33" s="387">
        <f t="shared" si="8"/>
        <v>0</v>
      </c>
      <c r="AT33" s="415"/>
      <c r="AU33" s="415"/>
      <c r="AV33" s="415"/>
    </row>
    <row r="34" ht="15.75" customHeight="1">
      <c r="A34" s="108" t="s">
        <v>56</v>
      </c>
      <c r="B34" s="231" t="s">
        <v>47</v>
      </c>
      <c r="C34" s="110"/>
      <c r="D34" s="116" t="s">
        <v>174</v>
      </c>
      <c r="E34" s="111" t="s">
        <v>172</v>
      </c>
      <c r="F34" s="389">
        <v>0.0</v>
      </c>
      <c r="G34" s="232">
        <v>1000000.0</v>
      </c>
      <c r="H34" s="389">
        <f t="shared" si="1"/>
        <v>0</v>
      </c>
      <c r="I34" s="390">
        <f t="shared" si="2"/>
        <v>0</v>
      </c>
      <c r="J34" s="415"/>
      <c r="K34" s="415"/>
      <c r="M34" s="391" t="s">
        <v>56</v>
      </c>
      <c r="N34" s="392" t="s">
        <v>47</v>
      </c>
      <c r="O34" s="393"/>
      <c r="P34" s="394" t="s">
        <v>174</v>
      </c>
      <c r="Q34" s="395" t="s">
        <v>172</v>
      </c>
      <c r="R34" s="398">
        <v>0.0</v>
      </c>
      <c r="S34" s="397">
        <v>1000000.0</v>
      </c>
      <c r="T34" s="398">
        <f t="shared" si="3"/>
        <v>0</v>
      </c>
      <c r="U34" s="399">
        <f t="shared" si="4"/>
        <v>0</v>
      </c>
      <c r="V34" s="415"/>
      <c r="W34" s="415"/>
      <c r="X34" s="415"/>
      <c r="Y34" s="184" t="s">
        <v>56</v>
      </c>
      <c r="Z34" s="185" t="s">
        <v>47</v>
      </c>
      <c r="AA34" s="186"/>
      <c r="AB34" s="187" t="s">
        <v>174</v>
      </c>
      <c r="AC34" s="400" t="s">
        <v>172</v>
      </c>
      <c r="AD34" s="403">
        <v>0.0</v>
      </c>
      <c r="AE34" s="402">
        <v>1000000.0</v>
      </c>
      <c r="AF34" s="403">
        <f t="shared" si="5"/>
        <v>0</v>
      </c>
      <c r="AG34" s="404">
        <f t="shared" si="6"/>
        <v>0</v>
      </c>
      <c r="AH34" s="415"/>
      <c r="AI34" s="415"/>
      <c r="AJ34" s="415"/>
      <c r="AK34" s="54" t="s">
        <v>56</v>
      </c>
      <c r="AL34" s="55" t="s">
        <v>47</v>
      </c>
      <c r="AM34" s="56"/>
      <c r="AN34" s="62" t="s">
        <v>174</v>
      </c>
      <c r="AO34" s="57" t="s">
        <v>172</v>
      </c>
      <c r="AP34" s="407">
        <v>0.0</v>
      </c>
      <c r="AQ34" s="406">
        <v>1000000.0</v>
      </c>
      <c r="AR34" s="407">
        <f t="shared" si="7"/>
        <v>0</v>
      </c>
      <c r="AS34" s="408">
        <f t="shared" si="8"/>
        <v>0</v>
      </c>
      <c r="AT34" s="415"/>
      <c r="AU34" s="415"/>
      <c r="AV34" s="415"/>
    </row>
    <row r="35" ht="15.75" customHeight="1">
      <c r="A35" s="63" t="s">
        <v>56</v>
      </c>
      <c r="B35" s="64" t="s">
        <v>47</v>
      </c>
      <c r="C35" s="65"/>
      <c r="D35" s="66" t="s">
        <v>175</v>
      </c>
      <c r="E35" s="215" t="s">
        <v>172</v>
      </c>
      <c r="F35" s="410">
        <v>0.0</v>
      </c>
      <c r="G35" s="225">
        <v>5000000.0</v>
      </c>
      <c r="H35" s="410">
        <f t="shared" si="1"/>
        <v>0</v>
      </c>
      <c r="I35" s="411">
        <f t="shared" si="2"/>
        <v>0</v>
      </c>
      <c r="J35" s="414"/>
      <c r="K35" s="414"/>
      <c r="M35" s="63" t="s">
        <v>56</v>
      </c>
      <c r="N35" s="64" t="s">
        <v>47</v>
      </c>
      <c r="O35" s="65"/>
      <c r="P35" s="66" t="s">
        <v>175</v>
      </c>
      <c r="Q35" s="215" t="s">
        <v>172</v>
      </c>
      <c r="R35" s="410">
        <v>0.0</v>
      </c>
      <c r="S35" s="225">
        <v>5000000.0</v>
      </c>
      <c r="T35" s="410">
        <f t="shared" si="3"/>
        <v>0</v>
      </c>
      <c r="U35" s="411">
        <f t="shared" si="4"/>
        <v>0</v>
      </c>
      <c r="V35" s="414"/>
      <c r="W35" s="414"/>
      <c r="X35" s="414"/>
      <c r="Y35" s="63" t="s">
        <v>56</v>
      </c>
      <c r="Z35" s="64" t="s">
        <v>47</v>
      </c>
      <c r="AA35" s="65"/>
      <c r="AB35" s="66" t="s">
        <v>175</v>
      </c>
      <c r="AC35" s="215" t="s">
        <v>172</v>
      </c>
      <c r="AD35" s="410">
        <v>0.0</v>
      </c>
      <c r="AE35" s="225">
        <v>5000000.0</v>
      </c>
      <c r="AF35" s="410">
        <f t="shared" si="5"/>
        <v>0</v>
      </c>
      <c r="AG35" s="411">
        <f t="shared" si="6"/>
        <v>0</v>
      </c>
      <c r="AH35" s="414"/>
      <c r="AI35" s="414"/>
      <c r="AJ35" s="414"/>
      <c r="AK35" s="63" t="s">
        <v>56</v>
      </c>
      <c r="AL35" s="64" t="s">
        <v>47</v>
      </c>
      <c r="AM35" s="65"/>
      <c r="AN35" s="66" t="s">
        <v>175</v>
      </c>
      <c r="AO35" s="215" t="s">
        <v>172</v>
      </c>
      <c r="AP35" s="410">
        <v>0.0</v>
      </c>
      <c r="AQ35" s="225">
        <v>5000000.0</v>
      </c>
      <c r="AR35" s="410">
        <f t="shared" si="7"/>
        <v>0</v>
      </c>
      <c r="AS35" s="411">
        <f t="shared" si="8"/>
        <v>0</v>
      </c>
      <c r="AT35" s="414"/>
      <c r="AU35" s="414"/>
      <c r="AV35" s="414"/>
    </row>
    <row r="36" ht="15.75" customHeight="1"/>
    <row r="37" ht="15.75" customHeight="1">
      <c r="A37" s="416" t="s">
        <v>271</v>
      </c>
    </row>
    <row r="38" ht="15.75" customHeight="1">
      <c r="A38" s="349" t="s">
        <v>272</v>
      </c>
      <c r="B38" s="350"/>
      <c r="C38" s="350"/>
      <c r="D38" s="350"/>
      <c r="E38" s="350"/>
      <c r="F38" s="351"/>
      <c r="G38" s="417" t="s">
        <v>273</v>
      </c>
      <c r="H38" s="353"/>
    </row>
    <row r="39" ht="15.75" customHeight="1">
      <c r="A39" s="418" t="s">
        <v>243</v>
      </c>
      <c r="B39" s="94" t="s">
        <v>29</v>
      </c>
      <c r="C39" s="95" t="s">
        <v>30</v>
      </c>
      <c r="D39" s="172" t="s">
        <v>274</v>
      </c>
      <c r="E39" s="67" t="s">
        <v>32</v>
      </c>
      <c r="F39" s="95" t="s">
        <v>33</v>
      </c>
      <c r="G39" s="173" t="s">
        <v>35</v>
      </c>
      <c r="H39" s="174" t="s">
        <v>36</v>
      </c>
      <c r="J39" s="43" t="s">
        <v>37</v>
      </c>
      <c r="K39" s="43" t="s">
        <v>305</v>
      </c>
    </row>
    <row r="40" ht="15.75" customHeight="1">
      <c r="A40" s="419" t="s">
        <v>39</v>
      </c>
      <c r="B40" s="420">
        <v>1.0</v>
      </c>
      <c r="C40" s="421" t="s">
        <v>306</v>
      </c>
      <c r="D40" s="422">
        <v>1.0</v>
      </c>
      <c r="E40" s="423" t="s">
        <v>41</v>
      </c>
      <c r="F40" s="424">
        <v>0.0</v>
      </c>
      <c r="G40" s="425">
        <f t="shared" ref="G40:G64" si="9">D40*F40</f>
        <v>0</v>
      </c>
      <c r="H40" s="426">
        <f t="shared" ref="H40:H64" si="10">G40*365</f>
        <v>0</v>
      </c>
      <c r="J40" s="358">
        <v>1.0</v>
      </c>
      <c r="K40" s="44">
        <f>sum(H40:H44)</f>
        <v>0</v>
      </c>
    </row>
    <row r="41" ht="15.75" customHeight="1">
      <c r="A41" s="45" t="s">
        <v>39</v>
      </c>
      <c r="B41" s="107">
        <v>1.0</v>
      </c>
      <c r="C41" s="47"/>
      <c r="D41" s="205">
        <v>2.0</v>
      </c>
      <c r="E41" s="49" t="s">
        <v>41</v>
      </c>
      <c r="F41" s="427">
        <v>0.0</v>
      </c>
      <c r="G41" s="53">
        <f t="shared" si="9"/>
        <v>0</v>
      </c>
      <c r="H41" s="428">
        <f t="shared" si="10"/>
        <v>0</v>
      </c>
      <c r="J41" s="358">
        <v>2.0</v>
      </c>
      <c r="K41" s="44">
        <f>sum(H45:H49)</f>
        <v>0</v>
      </c>
    </row>
    <row r="42" ht="15.75" customHeight="1">
      <c r="A42" s="391" t="s">
        <v>39</v>
      </c>
      <c r="B42" s="429">
        <v>1.0</v>
      </c>
      <c r="C42" s="393"/>
      <c r="D42" s="430">
        <v>3.0</v>
      </c>
      <c r="E42" s="431" t="s">
        <v>41</v>
      </c>
      <c r="F42" s="432">
        <v>0.0</v>
      </c>
      <c r="G42" s="433">
        <f t="shared" si="9"/>
        <v>0</v>
      </c>
      <c r="H42" s="434">
        <f t="shared" si="10"/>
        <v>0</v>
      </c>
      <c r="J42" s="358" t="s">
        <v>44</v>
      </c>
      <c r="K42" s="44">
        <f>sum(H50:H54)</f>
        <v>0</v>
      </c>
    </row>
    <row r="43" ht="15.75" customHeight="1">
      <c r="A43" s="45" t="s">
        <v>39</v>
      </c>
      <c r="B43" s="107">
        <v>1.0</v>
      </c>
      <c r="C43" s="47"/>
      <c r="D43" s="205">
        <v>4.0</v>
      </c>
      <c r="E43" s="49" t="s">
        <v>41</v>
      </c>
      <c r="F43" s="427">
        <v>0.0</v>
      </c>
      <c r="G43" s="53">
        <f t="shared" si="9"/>
        <v>0</v>
      </c>
      <c r="H43" s="428">
        <f t="shared" si="10"/>
        <v>0</v>
      </c>
      <c r="J43" s="358">
        <v>3.0</v>
      </c>
      <c r="K43" s="44">
        <f>sum(H55:H59)</f>
        <v>0</v>
      </c>
    </row>
    <row r="44" ht="15.75" customHeight="1">
      <c r="A44" s="435" t="s">
        <v>39</v>
      </c>
      <c r="B44" s="436">
        <v>1.0</v>
      </c>
      <c r="C44" s="437"/>
      <c r="D44" s="438">
        <v>5.0</v>
      </c>
      <c r="E44" s="439" t="s">
        <v>41</v>
      </c>
      <c r="F44" s="440">
        <v>0.0</v>
      </c>
      <c r="G44" s="426">
        <f t="shared" si="9"/>
        <v>0</v>
      </c>
      <c r="H44" s="441">
        <f t="shared" si="10"/>
        <v>0</v>
      </c>
      <c r="J44" s="358" t="s">
        <v>47</v>
      </c>
      <c r="K44" s="44">
        <f>sum(H60:H64)</f>
        <v>0</v>
      </c>
    </row>
    <row r="45" ht="15.75" customHeight="1">
      <c r="A45" s="263" t="s">
        <v>50</v>
      </c>
      <c r="B45" s="264">
        <v>2.0</v>
      </c>
      <c r="C45" s="265" t="s">
        <v>307</v>
      </c>
      <c r="D45" s="266">
        <v>1.0</v>
      </c>
      <c r="E45" s="267" t="s">
        <v>41</v>
      </c>
      <c r="F45" s="442">
        <v>0.0</v>
      </c>
      <c r="G45" s="269">
        <f t="shared" si="9"/>
        <v>0</v>
      </c>
      <c r="H45" s="269">
        <f t="shared" si="10"/>
        <v>0</v>
      </c>
      <c r="J45" s="412" t="s">
        <v>254</v>
      </c>
      <c r="K45" s="413">
        <f>sum(K40:K44)</f>
        <v>0</v>
      </c>
    </row>
    <row r="46" ht="15.75" customHeight="1">
      <c r="A46" s="391" t="s">
        <v>50</v>
      </c>
      <c r="B46" s="429">
        <v>2.0</v>
      </c>
      <c r="C46" s="393"/>
      <c r="D46" s="430">
        <v>2.0</v>
      </c>
      <c r="E46" s="431" t="s">
        <v>41</v>
      </c>
      <c r="F46" s="398">
        <v>0.0</v>
      </c>
      <c r="G46" s="433">
        <f t="shared" si="9"/>
        <v>0</v>
      </c>
      <c r="H46" s="434">
        <f t="shared" si="10"/>
        <v>0</v>
      </c>
    </row>
    <row r="47" ht="15.75" customHeight="1">
      <c r="A47" s="45" t="s">
        <v>50</v>
      </c>
      <c r="B47" s="107">
        <v>2.0</v>
      </c>
      <c r="C47" s="47"/>
      <c r="D47" s="205">
        <v>3.0</v>
      </c>
      <c r="E47" s="49" t="s">
        <v>41</v>
      </c>
      <c r="F47" s="386">
        <v>0.0</v>
      </c>
      <c r="G47" s="53">
        <f t="shared" si="9"/>
        <v>0</v>
      </c>
      <c r="H47" s="428">
        <f t="shared" si="10"/>
        <v>0</v>
      </c>
    </row>
    <row r="48" ht="15.75" customHeight="1">
      <c r="A48" s="391" t="s">
        <v>50</v>
      </c>
      <c r="B48" s="429">
        <v>2.0</v>
      </c>
      <c r="C48" s="393"/>
      <c r="D48" s="430">
        <v>4.0</v>
      </c>
      <c r="E48" s="431" t="s">
        <v>41</v>
      </c>
      <c r="F48" s="398">
        <v>0.0</v>
      </c>
      <c r="G48" s="433">
        <f t="shared" si="9"/>
        <v>0</v>
      </c>
      <c r="H48" s="434">
        <f t="shared" si="10"/>
        <v>0</v>
      </c>
    </row>
    <row r="49" ht="15.75" customHeight="1">
      <c r="A49" s="63" t="s">
        <v>50</v>
      </c>
      <c r="B49" s="117">
        <v>2.0</v>
      </c>
      <c r="C49" s="65"/>
      <c r="D49" s="213">
        <v>5.0</v>
      </c>
      <c r="E49" s="67" t="s">
        <v>41</v>
      </c>
      <c r="F49" s="410">
        <v>0.0</v>
      </c>
      <c r="G49" s="443">
        <f t="shared" si="9"/>
        <v>0</v>
      </c>
      <c r="H49" s="71">
        <f t="shared" si="10"/>
        <v>0</v>
      </c>
    </row>
    <row r="50" ht="15.75" customHeight="1">
      <c r="A50" s="364" t="s">
        <v>52</v>
      </c>
      <c r="B50" s="444" t="s">
        <v>44</v>
      </c>
      <c r="C50" s="445" t="s">
        <v>308</v>
      </c>
      <c r="D50" s="446">
        <v>1.0</v>
      </c>
      <c r="E50" s="447" t="s">
        <v>41</v>
      </c>
      <c r="F50" s="371">
        <v>0.0</v>
      </c>
      <c r="G50" s="448">
        <f t="shared" si="9"/>
        <v>0</v>
      </c>
      <c r="H50" s="448">
        <f t="shared" si="10"/>
        <v>0</v>
      </c>
    </row>
    <row r="51" ht="15.75" customHeight="1">
      <c r="A51" s="45" t="s">
        <v>52</v>
      </c>
      <c r="B51" s="107" t="s">
        <v>44</v>
      </c>
      <c r="C51" s="47"/>
      <c r="D51" s="205">
        <v>2.0</v>
      </c>
      <c r="E51" s="49" t="s">
        <v>41</v>
      </c>
      <c r="F51" s="386">
        <v>0.0</v>
      </c>
      <c r="G51" s="53">
        <f t="shared" si="9"/>
        <v>0</v>
      </c>
      <c r="H51" s="428">
        <f t="shared" si="10"/>
        <v>0</v>
      </c>
    </row>
    <row r="52" ht="15.75" customHeight="1">
      <c r="A52" s="391" t="s">
        <v>52</v>
      </c>
      <c r="B52" s="429" t="s">
        <v>44</v>
      </c>
      <c r="C52" s="393"/>
      <c r="D52" s="430">
        <v>3.0</v>
      </c>
      <c r="E52" s="431" t="s">
        <v>41</v>
      </c>
      <c r="F52" s="398">
        <v>0.0</v>
      </c>
      <c r="G52" s="433">
        <f t="shared" si="9"/>
        <v>0</v>
      </c>
      <c r="H52" s="434">
        <f t="shared" si="10"/>
        <v>0</v>
      </c>
    </row>
    <row r="53" ht="15.75" customHeight="1">
      <c r="A53" s="45" t="s">
        <v>52</v>
      </c>
      <c r="B53" s="107" t="s">
        <v>44</v>
      </c>
      <c r="C53" s="47"/>
      <c r="D53" s="205">
        <v>4.0</v>
      </c>
      <c r="E53" s="49" t="s">
        <v>41</v>
      </c>
      <c r="F53" s="386">
        <v>0.0</v>
      </c>
      <c r="G53" s="53">
        <f t="shared" si="9"/>
        <v>0</v>
      </c>
      <c r="H53" s="428">
        <f t="shared" si="10"/>
        <v>0</v>
      </c>
    </row>
    <row r="54" ht="15.75" customHeight="1">
      <c r="A54" s="435" t="s">
        <v>52</v>
      </c>
      <c r="B54" s="436" t="s">
        <v>44</v>
      </c>
      <c r="C54" s="437"/>
      <c r="D54" s="438">
        <v>5.0</v>
      </c>
      <c r="E54" s="439" t="s">
        <v>41</v>
      </c>
      <c r="F54" s="440">
        <v>0.0</v>
      </c>
      <c r="G54" s="426">
        <f t="shared" si="9"/>
        <v>0</v>
      </c>
      <c r="H54" s="441">
        <f t="shared" si="10"/>
        <v>0</v>
      </c>
    </row>
    <row r="55" ht="15.75" customHeight="1">
      <c r="A55" s="263" t="s">
        <v>54</v>
      </c>
      <c r="B55" s="271">
        <v>3.0</v>
      </c>
      <c r="C55" s="265" t="s">
        <v>309</v>
      </c>
      <c r="D55" s="266">
        <v>1.0</v>
      </c>
      <c r="E55" s="267" t="s">
        <v>41</v>
      </c>
      <c r="F55" s="442">
        <v>0.0</v>
      </c>
      <c r="G55" s="269">
        <f t="shared" si="9"/>
        <v>0</v>
      </c>
      <c r="H55" s="269">
        <f t="shared" si="10"/>
        <v>0</v>
      </c>
    </row>
    <row r="56" ht="15.75" customHeight="1">
      <c r="A56" s="391" t="s">
        <v>54</v>
      </c>
      <c r="B56" s="449">
        <v>3.0</v>
      </c>
      <c r="C56" s="393"/>
      <c r="D56" s="430">
        <v>2.0</v>
      </c>
      <c r="E56" s="431" t="s">
        <v>41</v>
      </c>
      <c r="F56" s="398">
        <v>0.0</v>
      </c>
      <c r="G56" s="433">
        <f t="shared" si="9"/>
        <v>0</v>
      </c>
      <c r="H56" s="434">
        <f t="shared" si="10"/>
        <v>0</v>
      </c>
    </row>
    <row r="57" ht="15.75" customHeight="1">
      <c r="A57" s="45" t="s">
        <v>54</v>
      </c>
      <c r="B57" s="273">
        <v>3.0</v>
      </c>
      <c r="C57" s="47"/>
      <c r="D57" s="205">
        <v>3.0</v>
      </c>
      <c r="E57" s="49" t="s">
        <v>41</v>
      </c>
      <c r="F57" s="386">
        <v>0.0</v>
      </c>
      <c r="G57" s="53">
        <f t="shared" si="9"/>
        <v>0</v>
      </c>
      <c r="H57" s="428">
        <f t="shared" si="10"/>
        <v>0</v>
      </c>
    </row>
    <row r="58" ht="15.75" customHeight="1">
      <c r="A58" s="391" t="s">
        <v>54</v>
      </c>
      <c r="B58" s="449">
        <v>3.0</v>
      </c>
      <c r="C58" s="393"/>
      <c r="D58" s="430">
        <v>4.0</v>
      </c>
      <c r="E58" s="431" t="s">
        <v>41</v>
      </c>
      <c r="F58" s="398">
        <v>0.0</v>
      </c>
      <c r="G58" s="433">
        <f t="shared" si="9"/>
        <v>0</v>
      </c>
      <c r="H58" s="434">
        <f t="shared" si="10"/>
        <v>0</v>
      </c>
    </row>
    <row r="59" ht="15.75" customHeight="1">
      <c r="A59" s="63" t="s">
        <v>54</v>
      </c>
      <c r="B59" s="274">
        <v>3.0</v>
      </c>
      <c r="C59" s="65"/>
      <c r="D59" s="213">
        <v>5.0</v>
      </c>
      <c r="E59" s="67" t="s">
        <v>41</v>
      </c>
      <c r="F59" s="410">
        <v>0.0</v>
      </c>
      <c r="G59" s="443">
        <f t="shared" si="9"/>
        <v>0</v>
      </c>
      <c r="H59" s="71">
        <f t="shared" si="10"/>
        <v>0</v>
      </c>
    </row>
    <row r="60" ht="15.75" customHeight="1">
      <c r="A60" s="364" t="s">
        <v>56</v>
      </c>
      <c r="B60" s="450" t="s">
        <v>47</v>
      </c>
      <c r="C60" s="445" t="s">
        <v>310</v>
      </c>
      <c r="D60" s="446">
        <v>1.0</v>
      </c>
      <c r="E60" s="447" t="s">
        <v>41</v>
      </c>
      <c r="F60" s="371">
        <v>0.0</v>
      </c>
      <c r="G60" s="448">
        <f t="shared" si="9"/>
        <v>0</v>
      </c>
      <c r="H60" s="448">
        <f t="shared" si="10"/>
        <v>0</v>
      </c>
    </row>
    <row r="61" ht="15.75" customHeight="1">
      <c r="A61" s="45" t="s">
        <v>56</v>
      </c>
      <c r="B61" s="273" t="s">
        <v>47</v>
      </c>
      <c r="C61" s="47"/>
      <c r="D61" s="205">
        <v>2.0</v>
      </c>
      <c r="E61" s="49" t="s">
        <v>41</v>
      </c>
      <c r="F61" s="386">
        <v>0.0</v>
      </c>
      <c r="G61" s="53">
        <f t="shared" si="9"/>
        <v>0</v>
      </c>
      <c r="H61" s="428">
        <f t="shared" si="10"/>
        <v>0</v>
      </c>
    </row>
    <row r="62" ht="15.75" customHeight="1">
      <c r="A62" s="391" t="s">
        <v>56</v>
      </c>
      <c r="B62" s="449" t="s">
        <v>47</v>
      </c>
      <c r="C62" s="393"/>
      <c r="D62" s="430">
        <v>3.0</v>
      </c>
      <c r="E62" s="431" t="s">
        <v>41</v>
      </c>
      <c r="F62" s="398">
        <v>0.0</v>
      </c>
      <c r="G62" s="433">
        <f t="shared" si="9"/>
        <v>0</v>
      </c>
      <c r="H62" s="434">
        <f t="shared" si="10"/>
        <v>0</v>
      </c>
    </row>
    <row r="63" ht="15.75" customHeight="1">
      <c r="A63" s="45" t="s">
        <v>56</v>
      </c>
      <c r="B63" s="273" t="s">
        <v>47</v>
      </c>
      <c r="C63" s="47"/>
      <c r="D63" s="205">
        <v>4.0</v>
      </c>
      <c r="E63" s="49" t="s">
        <v>41</v>
      </c>
      <c r="F63" s="386">
        <v>0.0</v>
      </c>
      <c r="G63" s="53">
        <f t="shared" si="9"/>
        <v>0</v>
      </c>
      <c r="H63" s="428">
        <f t="shared" si="10"/>
        <v>0</v>
      </c>
    </row>
    <row r="64" ht="15.75" customHeight="1">
      <c r="A64" s="435" t="s">
        <v>56</v>
      </c>
      <c r="B64" s="451" t="s">
        <v>47</v>
      </c>
      <c r="C64" s="437"/>
      <c r="D64" s="438">
        <v>5.0</v>
      </c>
      <c r="E64" s="439" t="s">
        <v>41</v>
      </c>
      <c r="F64" s="440">
        <v>0.0</v>
      </c>
      <c r="G64" s="452">
        <f t="shared" si="9"/>
        <v>0</v>
      </c>
      <c r="H64" s="441">
        <f t="shared" si="10"/>
        <v>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G4:I4"/>
    <mergeCell ref="M4:R4"/>
    <mergeCell ref="S4:U4"/>
    <mergeCell ref="Y4:AD4"/>
    <mergeCell ref="AE4:AG4"/>
    <mergeCell ref="AK4:AP4"/>
    <mergeCell ref="AQ4:AS4"/>
    <mergeCell ref="AM6:AM11"/>
    <mergeCell ref="AM12:AM17"/>
    <mergeCell ref="AM18:AM23"/>
    <mergeCell ref="AM24:AM29"/>
    <mergeCell ref="AM30:AM35"/>
    <mergeCell ref="O12:O17"/>
    <mergeCell ref="O18:O23"/>
    <mergeCell ref="O24:O29"/>
    <mergeCell ref="O30:O35"/>
    <mergeCell ref="AA24:AA29"/>
    <mergeCell ref="AA30:AA35"/>
    <mergeCell ref="A4:F4"/>
    <mergeCell ref="C6:C11"/>
    <mergeCell ref="O6:O11"/>
    <mergeCell ref="AA6:AA11"/>
    <mergeCell ref="C12:C17"/>
    <mergeCell ref="AA12:AA17"/>
    <mergeCell ref="AA18:AA23"/>
    <mergeCell ref="C50:C54"/>
    <mergeCell ref="C55:C59"/>
    <mergeCell ref="C60:C64"/>
    <mergeCell ref="C18:C23"/>
    <mergeCell ref="C24:C29"/>
    <mergeCell ref="C30:C35"/>
    <mergeCell ref="A38:F38"/>
    <mergeCell ref="G38:H38"/>
    <mergeCell ref="C40:C44"/>
    <mergeCell ref="C45:C49"/>
  </mergeCells>
  <printOptions/>
  <pageMargins bottom="0.75" footer="0.0" header="0.0" left="0.7" right="0.7" top="0.75"/>
  <pageSetup orientation="landscape"/>
  <drawing r:id="rId1"/>
  <tableParts count="5">
    <tablePart r:id="rId7"/>
    <tablePart r:id="rId8"/>
    <tablePart r:id="rId9"/>
    <tablePart r:id="rId10"/>
    <tablePart r:id="rId1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2026-02-19T12:58:10Z</dcterms:created>
  <dc:creator>Daniel Ok</dc:creator>
</cp:coreProperties>
</file>