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julian.cuadros\Desktop\New 8a Grounds Solicitation Docs\Section J Files\"/>
    </mc:Choice>
  </mc:AlternateContent>
  <bookViews>
    <workbookView xWindow="0" yWindow="10010" windowWidth="19200" windowHeight="2030" firstSheet="3" activeTab="3"/>
  </bookViews>
  <sheets>
    <sheet name="Summary- All Periods" sheetId="4" r:id="rId1"/>
    <sheet name="Base Recurring" sheetId="5" r:id="rId2"/>
    <sheet name="Base Non-Recurring" sheetId="6" r:id="rId3"/>
    <sheet name="Option 1 Recurring " sheetId="8" r:id="rId4"/>
    <sheet name="Option1 Non-Recurring " sheetId="10" r:id="rId5"/>
    <sheet name="Option 2 Recurring" sheetId="11" r:id="rId6"/>
    <sheet name="Option 2 Non-Recurring" sheetId="12" r:id="rId7"/>
    <sheet name="Option 3 Recurring" sheetId="9" r:id="rId8"/>
    <sheet name="Option 3 Non-Recurring" sheetId="13" r:id="rId9"/>
    <sheet name="Option 4 Recurring" sheetId="14" r:id="rId10"/>
    <sheet name="Option 4 Non-Recurring" sheetId="15" r:id="rId11"/>
    <sheet name=" 6 Month Option Recurring " sheetId="16" r:id="rId12"/>
    <sheet name="6 Month Option Non-Recurring" sheetId="17" r:id="rId13"/>
    <sheet name="NAVFAC UOMs" sheetId="26" r:id="rId14"/>
  </sheets>
  <definedNames>
    <definedName name="_xlnm._FilterDatabase" localSheetId="2" hidden="1">'Base Non-Recurring'!$B$1:$B$160</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0" i="16" l="1"/>
  <c r="G279" i="16"/>
  <c r="H277" i="16"/>
  <c r="H282" i="16" s="1"/>
  <c r="G276" i="16"/>
  <c r="G275" i="16"/>
  <c r="G277" i="16" s="1"/>
  <c r="H273" i="16"/>
  <c r="G272" i="16"/>
  <c r="G271" i="16"/>
  <c r="H268" i="16"/>
  <c r="G267" i="16"/>
  <c r="G266" i="16"/>
  <c r="G268" i="16" s="1"/>
  <c r="H256" i="16"/>
  <c r="H258" i="16" s="1"/>
  <c r="G255" i="16"/>
  <c r="G254" i="16"/>
  <c r="G256" i="16" s="1"/>
  <c r="H252" i="16"/>
  <c r="G251" i="16"/>
  <c r="G250" i="16"/>
  <c r="G252" i="16" s="1"/>
  <c r="H247" i="16"/>
  <c r="G246" i="16"/>
  <c r="G245" i="16"/>
  <c r="G247" i="16" s="1"/>
  <c r="H243" i="16"/>
  <c r="G242" i="16"/>
  <c r="G243" i="16" s="1"/>
  <c r="G241" i="16"/>
  <c r="G238" i="16"/>
  <c r="G237" i="16"/>
  <c r="H235" i="16"/>
  <c r="G234" i="16"/>
  <c r="G233" i="16"/>
  <c r="G235" i="16" s="1"/>
  <c r="H227" i="16"/>
  <c r="H226" i="16"/>
  <c r="G225" i="16"/>
  <c r="G224" i="16"/>
  <c r="G223" i="16"/>
  <c r="G222" i="16"/>
  <c r="G221" i="16"/>
  <c r="G220" i="16"/>
  <c r="G218" i="16"/>
  <c r="H216" i="16"/>
  <c r="G215" i="16"/>
  <c r="G214" i="16"/>
  <c r="G213" i="16"/>
  <c r="G212" i="16"/>
  <c r="G211" i="16"/>
  <c r="G210" i="16"/>
  <c r="G208" i="16"/>
  <c r="H206" i="16"/>
  <c r="G205" i="16"/>
  <c r="G204" i="16"/>
  <c r="G203" i="16"/>
  <c r="G202" i="16"/>
  <c r="G201" i="16"/>
  <c r="G200" i="16"/>
  <c r="G198" i="16"/>
  <c r="H196" i="16"/>
  <c r="G195" i="16"/>
  <c r="G194" i="16"/>
  <c r="G193" i="16"/>
  <c r="G192" i="16"/>
  <c r="G191" i="16"/>
  <c r="G190" i="16"/>
  <c r="H184" i="16"/>
  <c r="G183" i="16"/>
  <c r="G182" i="16"/>
  <c r="G181" i="16"/>
  <c r="G180" i="16"/>
  <c r="G179" i="16"/>
  <c r="G178" i="16"/>
  <c r="G177" i="16"/>
  <c r="G176" i="16"/>
  <c r="H174" i="16"/>
  <c r="H185" i="16" s="1"/>
  <c r="G173" i="16"/>
  <c r="G172" i="16"/>
  <c r="G171" i="16"/>
  <c r="G170" i="16"/>
  <c r="G169" i="16"/>
  <c r="G168" i="16"/>
  <c r="G167" i="16"/>
  <c r="G166" i="16"/>
  <c r="G174" i="16" s="1"/>
  <c r="H164" i="16"/>
  <c r="G163" i="16"/>
  <c r="G162" i="16"/>
  <c r="G161" i="16"/>
  <c r="G160" i="16"/>
  <c r="G159" i="16"/>
  <c r="G158" i="16"/>
  <c r="G157" i="16"/>
  <c r="G156" i="16"/>
  <c r="H154" i="16"/>
  <c r="G153" i="16"/>
  <c r="G152" i="16"/>
  <c r="G151" i="16"/>
  <c r="G150" i="16"/>
  <c r="G149" i="16"/>
  <c r="G148" i="16"/>
  <c r="G147" i="16"/>
  <c r="G146" i="16"/>
  <c r="G143" i="16"/>
  <c r="G142" i="16"/>
  <c r="G141" i="16"/>
  <c r="G140" i="16"/>
  <c r="G139" i="16"/>
  <c r="G138" i="16"/>
  <c r="G137" i="16"/>
  <c r="G136" i="16"/>
  <c r="H134" i="16"/>
  <c r="G132" i="16"/>
  <c r="G131" i="16"/>
  <c r="G130" i="16"/>
  <c r="G129" i="16"/>
  <c r="G128" i="16"/>
  <c r="G127" i="16"/>
  <c r="G126" i="16"/>
  <c r="H124" i="16"/>
  <c r="G122" i="16"/>
  <c r="G121" i="16"/>
  <c r="G120" i="16"/>
  <c r="G124" i="16" s="1"/>
  <c r="G119" i="16"/>
  <c r="G118" i="16"/>
  <c r="G117" i="16"/>
  <c r="G116" i="16"/>
  <c r="H114" i="16"/>
  <c r="G112" i="16"/>
  <c r="G111" i="16"/>
  <c r="G110" i="16"/>
  <c r="G109" i="16"/>
  <c r="G108" i="16"/>
  <c r="G107" i="16"/>
  <c r="G106" i="16"/>
  <c r="H101" i="16"/>
  <c r="G100" i="16"/>
  <c r="G99" i="16"/>
  <c r="G98" i="16"/>
  <c r="G97" i="16"/>
  <c r="G96" i="16"/>
  <c r="G95" i="16"/>
  <c r="G94" i="16"/>
  <c r="H91" i="16"/>
  <c r="G90" i="16"/>
  <c r="G89" i="16"/>
  <c r="G88" i="16"/>
  <c r="G87" i="16"/>
  <c r="G86" i="16"/>
  <c r="G85" i="16"/>
  <c r="G84" i="16"/>
  <c r="H80" i="16"/>
  <c r="G79" i="16"/>
  <c r="G78" i="16"/>
  <c r="G77" i="16"/>
  <c r="G76" i="16"/>
  <c r="G75" i="16"/>
  <c r="G74" i="16"/>
  <c r="G73" i="16"/>
  <c r="G72" i="16"/>
  <c r="G80" i="16" s="1"/>
  <c r="H70" i="16"/>
  <c r="G69" i="16"/>
  <c r="G68" i="16"/>
  <c r="G67" i="16"/>
  <c r="G66" i="16"/>
  <c r="G65" i="16"/>
  <c r="G64" i="16"/>
  <c r="G63" i="16"/>
  <c r="G62" i="16"/>
  <c r="H60" i="16"/>
  <c r="G59" i="16"/>
  <c r="G58" i="16"/>
  <c r="G57" i="16"/>
  <c r="G56" i="16"/>
  <c r="G55" i="16"/>
  <c r="G54" i="16"/>
  <c r="G53" i="16"/>
  <c r="G52" i="16"/>
  <c r="H50" i="16"/>
  <c r="G49" i="16"/>
  <c r="G48" i="16"/>
  <c r="G47" i="16"/>
  <c r="G46" i="16"/>
  <c r="G45" i="16"/>
  <c r="G44" i="16"/>
  <c r="G43" i="16"/>
  <c r="G42" i="16"/>
  <c r="H40" i="16"/>
  <c r="G39" i="16"/>
  <c r="G38" i="16"/>
  <c r="G37" i="16"/>
  <c r="G36" i="16"/>
  <c r="G35" i="16"/>
  <c r="G34" i="16"/>
  <c r="G33" i="16"/>
  <c r="G32" i="16"/>
  <c r="H30" i="16"/>
  <c r="G29" i="16"/>
  <c r="G28" i="16"/>
  <c r="G27" i="16"/>
  <c r="G26" i="16"/>
  <c r="G25" i="16"/>
  <c r="G24" i="16"/>
  <c r="G23" i="16"/>
  <c r="G30" i="16" s="1"/>
  <c r="H20" i="16"/>
  <c r="H81" i="16" s="1"/>
  <c r="G19" i="16"/>
  <c r="G18" i="16"/>
  <c r="G17" i="16"/>
  <c r="G16" i="16"/>
  <c r="G15" i="16"/>
  <c r="G14" i="16"/>
  <c r="G13" i="16"/>
  <c r="G12" i="16"/>
  <c r="G280" i="14"/>
  <c r="G279" i="14"/>
  <c r="H277" i="14"/>
  <c r="H282" i="14" s="1"/>
  <c r="G276" i="14"/>
  <c r="G275" i="14"/>
  <c r="G277" i="14" s="1"/>
  <c r="H273" i="14"/>
  <c r="G272" i="14"/>
  <c r="G271" i="14"/>
  <c r="G273" i="14" s="1"/>
  <c r="H268" i="14"/>
  <c r="G267" i="14"/>
  <c r="G266" i="14"/>
  <c r="G268" i="14" s="1"/>
  <c r="H256" i="14"/>
  <c r="H258" i="14" s="1"/>
  <c r="G256" i="14"/>
  <c r="G255" i="14"/>
  <c r="G254" i="14"/>
  <c r="H252" i="14"/>
  <c r="G251" i="14"/>
  <c r="G250" i="14"/>
  <c r="G252" i="14" s="1"/>
  <c r="H247" i="14"/>
  <c r="G246" i="14"/>
  <c r="G245" i="14"/>
  <c r="G247" i="14" s="1"/>
  <c r="H243" i="14"/>
  <c r="G243" i="14"/>
  <c r="G242" i="14"/>
  <c r="G241" i="14"/>
  <c r="G238" i="14"/>
  <c r="G237" i="14"/>
  <c r="H235" i="14"/>
  <c r="G234" i="14"/>
  <c r="G233" i="14"/>
  <c r="G235" i="14" s="1"/>
  <c r="H227" i="14"/>
  <c r="H226" i="14"/>
  <c r="G225" i="14"/>
  <c r="G224" i="14"/>
  <c r="G223" i="14"/>
  <c r="G222" i="14"/>
  <c r="G221" i="14"/>
  <c r="G220" i="14"/>
  <c r="G218" i="14"/>
  <c r="G226" i="14" s="1"/>
  <c r="H216" i="14"/>
  <c r="G215" i="14"/>
  <c r="G216" i="14" s="1"/>
  <c r="G214" i="14"/>
  <c r="G213" i="14"/>
  <c r="G212" i="14"/>
  <c r="G211" i="14"/>
  <c r="G210" i="14"/>
  <c r="G208" i="14"/>
  <c r="H206" i="14"/>
  <c r="G205" i="14"/>
  <c r="G204" i="14"/>
  <c r="G203" i="14"/>
  <c r="G202" i="14"/>
  <c r="G206" i="14" s="1"/>
  <c r="G201" i="14"/>
  <c r="G200" i="14"/>
  <c r="G198" i="14"/>
  <c r="H196" i="14"/>
  <c r="G195" i="14"/>
  <c r="G194" i="14"/>
  <c r="G193" i="14"/>
  <c r="G192" i="14"/>
  <c r="G191" i="14"/>
  <c r="G190" i="14"/>
  <c r="G196" i="14" s="1"/>
  <c r="H184" i="14"/>
  <c r="G183" i="14"/>
  <c r="G182" i="14"/>
  <c r="G181" i="14"/>
  <c r="G180" i="14"/>
  <c r="G179" i="14"/>
  <c r="G178" i="14"/>
  <c r="G177" i="14"/>
  <c r="G176" i="14"/>
  <c r="G184" i="14" s="1"/>
  <c r="G185" i="14" s="1"/>
  <c r="H174" i="14"/>
  <c r="H185" i="14" s="1"/>
  <c r="G173" i="14"/>
  <c r="G172" i="14"/>
  <c r="G171" i="14"/>
  <c r="G170" i="14"/>
  <c r="G169" i="14"/>
  <c r="G168" i="14"/>
  <c r="G167" i="14"/>
  <c r="G166" i="14"/>
  <c r="G174" i="14" s="1"/>
  <c r="H164" i="14"/>
  <c r="G163" i="14"/>
  <c r="G164" i="14" s="1"/>
  <c r="G162" i="14"/>
  <c r="G161" i="14"/>
  <c r="G160" i="14"/>
  <c r="G159" i="14"/>
  <c r="G158" i="14"/>
  <c r="G157" i="14"/>
  <c r="G156" i="14"/>
  <c r="H154" i="14"/>
  <c r="G153" i="14"/>
  <c r="G152" i="14"/>
  <c r="G151" i="14"/>
  <c r="G154" i="14" s="1"/>
  <c r="G150" i="14"/>
  <c r="G149" i="14"/>
  <c r="G148" i="14"/>
  <c r="G147" i="14"/>
  <c r="G146" i="14"/>
  <c r="G143" i="14"/>
  <c r="G142" i="14"/>
  <c r="G141" i="14"/>
  <c r="G140" i="14"/>
  <c r="G139" i="14"/>
  <c r="G138" i="14"/>
  <c r="G137" i="14"/>
  <c r="G136" i="14"/>
  <c r="H134" i="14"/>
  <c r="G132" i="14"/>
  <c r="G131" i="14"/>
  <c r="G130" i="14"/>
  <c r="G129" i="14"/>
  <c r="G128" i="14"/>
  <c r="G127" i="14"/>
  <c r="G126" i="14"/>
  <c r="G134" i="14" s="1"/>
  <c r="H124" i="14"/>
  <c r="G124" i="14"/>
  <c r="G122" i="14"/>
  <c r="G121" i="14"/>
  <c r="G120" i="14"/>
  <c r="G119" i="14"/>
  <c r="G118" i="14"/>
  <c r="G117" i="14"/>
  <c r="G116" i="14"/>
  <c r="H114" i="14"/>
  <c r="G112" i="14"/>
  <c r="G111" i="14"/>
  <c r="G110" i="14"/>
  <c r="G114" i="14" s="1"/>
  <c r="G109" i="14"/>
  <c r="G108" i="14"/>
  <c r="G107" i="14"/>
  <c r="G106" i="14"/>
  <c r="H101" i="14"/>
  <c r="G100" i="14"/>
  <c r="G99" i="14"/>
  <c r="G98" i="14"/>
  <c r="G97" i="14"/>
  <c r="G96" i="14"/>
  <c r="G95" i="14"/>
  <c r="G101" i="14" s="1"/>
  <c r="G94" i="14"/>
  <c r="H91" i="14"/>
  <c r="G90" i="14"/>
  <c r="G89" i="14"/>
  <c r="G88" i="14"/>
  <c r="G87" i="14"/>
  <c r="G86" i="14"/>
  <c r="G85" i="14"/>
  <c r="G84" i="14"/>
  <c r="G91" i="14" s="1"/>
  <c r="H80" i="14"/>
  <c r="G79" i="14"/>
  <c r="G78" i="14"/>
  <c r="G77" i="14"/>
  <c r="G76" i="14"/>
  <c r="G75" i="14"/>
  <c r="G74" i="14"/>
  <c r="G73" i="14"/>
  <c r="G72" i="14"/>
  <c r="G80" i="14" s="1"/>
  <c r="G81" i="14" s="1"/>
  <c r="H70" i="14"/>
  <c r="H81" i="14" s="1"/>
  <c r="G70" i="14"/>
  <c r="G69" i="14"/>
  <c r="G68" i="14"/>
  <c r="G67" i="14"/>
  <c r="G66" i="14"/>
  <c r="G65" i="14"/>
  <c r="G64" i="14"/>
  <c r="G63" i="14"/>
  <c r="G62" i="14"/>
  <c r="H60" i="14"/>
  <c r="G59" i="14"/>
  <c r="G58" i="14"/>
  <c r="G60" i="14" s="1"/>
  <c r="G57" i="14"/>
  <c r="G56" i="14"/>
  <c r="G55" i="14"/>
  <c r="G54" i="14"/>
  <c r="G53" i="14"/>
  <c r="G52" i="14"/>
  <c r="H50" i="14"/>
  <c r="G49" i="14"/>
  <c r="G48" i="14"/>
  <c r="G47" i="14"/>
  <c r="G46" i="14"/>
  <c r="G50" i="14" s="1"/>
  <c r="G45" i="14"/>
  <c r="G44" i="14"/>
  <c r="G43" i="14"/>
  <c r="G42" i="14"/>
  <c r="H40" i="14"/>
  <c r="G39" i="14"/>
  <c r="G38" i="14"/>
  <c r="G37" i="14"/>
  <c r="G36" i="14"/>
  <c r="G35" i="14"/>
  <c r="G34" i="14"/>
  <c r="G40" i="14" s="1"/>
  <c r="G33" i="14"/>
  <c r="G32" i="14"/>
  <c r="H30" i="14"/>
  <c r="G29" i="14"/>
  <c r="G28" i="14"/>
  <c r="G27" i="14"/>
  <c r="G26" i="14"/>
  <c r="G25" i="14"/>
  <c r="G24" i="14"/>
  <c r="G23" i="14"/>
  <c r="G30" i="14" s="1"/>
  <c r="H20" i="14"/>
  <c r="G19" i="14"/>
  <c r="G18" i="14"/>
  <c r="G17" i="14"/>
  <c r="G16" i="14"/>
  <c r="G15" i="14"/>
  <c r="G14" i="14"/>
  <c r="G13" i="14"/>
  <c r="G12" i="14"/>
  <c r="G20" i="14" s="1"/>
  <c r="G280" i="9"/>
  <c r="G279" i="9"/>
  <c r="H277" i="9"/>
  <c r="H282" i="9" s="1"/>
  <c r="G276" i="9"/>
  <c r="G275" i="9"/>
  <c r="G277" i="9" s="1"/>
  <c r="H273" i="9"/>
  <c r="G272" i="9"/>
  <c r="G271" i="9"/>
  <c r="G273" i="9" s="1"/>
  <c r="H268" i="9"/>
  <c r="G267" i="9"/>
  <c r="G266" i="9"/>
  <c r="G268" i="9" s="1"/>
  <c r="H256" i="9"/>
  <c r="H258" i="9" s="1"/>
  <c r="G256" i="9"/>
  <c r="G255" i="9"/>
  <c r="G254" i="9"/>
  <c r="H252" i="9"/>
  <c r="G251" i="9"/>
  <c r="G250" i="9"/>
  <c r="G252" i="9" s="1"/>
  <c r="H247" i="9"/>
  <c r="G246" i="9"/>
  <c r="G245" i="9"/>
  <c r="G247" i="9" s="1"/>
  <c r="H243" i="9"/>
  <c r="G243" i="9"/>
  <c r="G242" i="9"/>
  <c r="G241" i="9"/>
  <c r="G238" i="9"/>
  <c r="G237" i="9"/>
  <c r="H235" i="9"/>
  <c r="G234" i="9"/>
  <c r="G233" i="9"/>
  <c r="G235" i="9" s="1"/>
  <c r="H227" i="9"/>
  <c r="H228" i="9" s="1"/>
  <c r="H226" i="9"/>
  <c r="G225" i="9"/>
  <c r="G224" i="9"/>
  <c r="G223" i="9"/>
  <c r="G222" i="9"/>
  <c r="G221" i="9"/>
  <c r="G220" i="9"/>
  <c r="G218" i="9"/>
  <c r="G226" i="9" s="1"/>
  <c r="H216" i="9"/>
  <c r="G216" i="9"/>
  <c r="G215" i="9"/>
  <c r="G214" i="9"/>
  <c r="G213" i="9"/>
  <c r="G212" i="9"/>
  <c r="G211" i="9"/>
  <c r="G210" i="9"/>
  <c r="G208" i="9"/>
  <c r="H206" i="9"/>
  <c r="G205" i="9"/>
  <c r="G204" i="9"/>
  <c r="G203" i="9"/>
  <c r="G202" i="9"/>
  <c r="G206" i="9" s="1"/>
  <c r="G201" i="9"/>
  <c r="G200" i="9"/>
  <c r="G198" i="9"/>
  <c r="H196" i="9"/>
  <c r="G195" i="9"/>
  <c r="G194" i="9"/>
  <c r="G193" i="9"/>
  <c r="G192" i="9"/>
  <c r="G191" i="9"/>
  <c r="G190" i="9"/>
  <c r="G196" i="9" s="1"/>
  <c r="H184" i="9"/>
  <c r="G183" i="9"/>
  <c r="G182" i="9"/>
  <c r="G181" i="9"/>
  <c r="G180" i="9"/>
  <c r="G179" i="9"/>
  <c r="G178" i="9"/>
  <c r="G177" i="9"/>
  <c r="G176" i="9"/>
  <c r="G184" i="9" s="1"/>
  <c r="G185" i="9" s="1"/>
  <c r="H174" i="9"/>
  <c r="H185" i="9" s="1"/>
  <c r="G173" i="9"/>
  <c r="G172" i="9"/>
  <c r="G171" i="9"/>
  <c r="G170" i="9"/>
  <c r="G169" i="9"/>
  <c r="G168" i="9"/>
  <c r="G167" i="9"/>
  <c r="G166" i="9"/>
  <c r="G174" i="9" s="1"/>
  <c r="H164" i="9"/>
  <c r="G164" i="9"/>
  <c r="G163" i="9"/>
  <c r="G162" i="9"/>
  <c r="G161" i="9"/>
  <c r="G160" i="9"/>
  <c r="G159" i="9"/>
  <c r="G158" i="9"/>
  <c r="G157" i="9"/>
  <c r="G156" i="9"/>
  <c r="H154" i="9"/>
  <c r="G153" i="9"/>
  <c r="G152" i="9"/>
  <c r="G151" i="9"/>
  <c r="G154" i="9" s="1"/>
  <c r="G150" i="9"/>
  <c r="G149" i="9"/>
  <c r="G148" i="9"/>
  <c r="G147" i="9"/>
  <c r="G146" i="9"/>
  <c r="G143" i="9"/>
  <c r="G142" i="9"/>
  <c r="G141" i="9"/>
  <c r="G140" i="9"/>
  <c r="G139" i="9"/>
  <c r="G138" i="9"/>
  <c r="G137" i="9"/>
  <c r="G136" i="9"/>
  <c r="H134" i="9"/>
  <c r="G132" i="9"/>
  <c r="G131" i="9"/>
  <c r="G130" i="9"/>
  <c r="G129" i="9"/>
  <c r="G128" i="9"/>
  <c r="G127" i="9"/>
  <c r="G126" i="9"/>
  <c r="G134" i="9" s="1"/>
  <c r="H124" i="9"/>
  <c r="G124" i="9"/>
  <c r="G122" i="9"/>
  <c r="G121" i="9"/>
  <c r="G120" i="9"/>
  <c r="G119" i="9"/>
  <c r="G118" i="9"/>
  <c r="G117" i="9"/>
  <c r="G116" i="9"/>
  <c r="H114" i="9"/>
  <c r="G112" i="9"/>
  <c r="G111" i="9"/>
  <c r="G110" i="9"/>
  <c r="G114" i="9" s="1"/>
  <c r="G109" i="9"/>
  <c r="G108" i="9"/>
  <c r="G107" i="9"/>
  <c r="G106" i="9"/>
  <c r="H101" i="9"/>
  <c r="G100" i="9"/>
  <c r="G99" i="9"/>
  <c r="G98" i="9"/>
  <c r="G97" i="9"/>
  <c r="G96" i="9"/>
  <c r="G95" i="9"/>
  <c r="G101" i="9" s="1"/>
  <c r="G94" i="9"/>
  <c r="H91" i="9"/>
  <c r="G90" i="9"/>
  <c r="G89" i="9"/>
  <c r="G88" i="9"/>
  <c r="G87" i="9"/>
  <c r="G86" i="9"/>
  <c r="G85" i="9"/>
  <c r="G84" i="9"/>
  <c r="G91" i="9" s="1"/>
  <c r="H80" i="9"/>
  <c r="G79" i="9"/>
  <c r="G78" i="9"/>
  <c r="G77" i="9"/>
  <c r="G76" i="9"/>
  <c r="G75" i="9"/>
  <c r="G74" i="9"/>
  <c r="G73" i="9"/>
  <c r="G72" i="9"/>
  <c r="G80" i="9" s="1"/>
  <c r="H70" i="9"/>
  <c r="H81" i="9" s="1"/>
  <c r="G70" i="9"/>
  <c r="G69" i="9"/>
  <c r="G68" i="9"/>
  <c r="G67" i="9"/>
  <c r="G66" i="9"/>
  <c r="G65" i="9"/>
  <c r="G64" i="9"/>
  <c r="G63" i="9"/>
  <c r="G62" i="9"/>
  <c r="H60" i="9"/>
  <c r="G59" i="9"/>
  <c r="G58" i="9"/>
  <c r="G60" i="9" s="1"/>
  <c r="G57" i="9"/>
  <c r="G56" i="9"/>
  <c r="G55" i="9"/>
  <c r="G54" i="9"/>
  <c r="G53" i="9"/>
  <c r="G52" i="9"/>
  <c r="H50" i="9"/>
  <c r="G49" i="9"/>
  <c r="G48" i="9"/>
  <c r="G47" i="9"/>
  <c r="G46" i="9"/>
  <c r="G50" i="9" s="1"/>
  <c r="G45" i="9"/>
  <c r="G44" i="9"/>
  <c r="G43" i="9"/>
  <c r="G42" i="9"/>
  <c r="H40" i="9"/>
  <c r="G39" i="9"/>
  <c r="G38" i="9"/>
  <c r="G37" i="9"/>
  <c r="G36" i="9"/>
  <c r="G35" i="9"/>
  <c r="G34" i="9"/>
  <c r="G40" i="9" s="1"/>
  <c r="G33" i="9"/>
  <c r="G32" i="9"/>
  <c r="H30" i="9"/>
  <c r="G29" i="9"/>
  <c r="G28" i="9"/>
  <c r="G27" i="9"/>
  <c r="G26" i="9"/>
  <c r="G25" i="9"/>
  <c r="G24" i="9"/>
  <c r="G23" i="9"/>
  <c r="G30" i="9" s="1"/>
  <c r="H20" i="9"/>
  <c r="G19" i="9"/>
  <c r="G18" i="9"/>
  <c r="G17" i="9"/>
  <c r="G16" i="9"/>
  <c r="G15" i="9"/>
  <c r="G14" i="9"/>
  <c r="G13" i="9"/>
  <c r="G12" i="9"/>
  <c r="G20" i="9" s="1"/>
  <c r="G280" i="11"/>
  <c r="G279" i="11"/>
  <c r="H277" i="11"/>
  <c r="H282" i="11" s="1"/>
  <c r="G276" i="11"/>
  <c r="G275" i="11"/>
  <c r="G277" i="11" s="1"/>
  <c r="H273" i="11"/>
  <c r="G272" i="11"/>
  <c r="G271" i="11"/>
  <c r="G273" i="11" s="1"/>
  <c r="H268" i="11"/>
  <c r="G267" i="11"/>
  <c r="G266" i="11"/>
  <c r="G268" i="11" s="1"/>
  <c r="H256" i="11"/>
  <c r="H258" i="11" s="1"/>
  <c r="G256" i="11"/>
  <c r="G255" i="11"/>
  <c r="G254" i="11"/>
  <c r="H252" i="11"/>
  <c r="G251" i="11"/>
  <c r="G250" i="11"/>
  <c r="G252" i="11" s="1"/>
  <c r="H247" i="11"/>
  <c r="G246" i="11"/>
  <c r="G245" i="11"/>
  <c r="G247" i="11" s="1"/>
  <c r="H243" i="11"/>
  <c r="G243" i="11"/>
  <c r="G242" i="11"/>
  <c r="G241" i="11"/>
  <c r="G238" i="11"/>
  <c r="G237" i="11"/>
  <c r="H235" i="11"/>
  <c r="G234" i="11"/>
  <c r="G233" i="11"/>
  <c r="G235" i="11" s="1"/>
  <c r="H227" i="11"/>
  <c r="H228" i="11" s="1"/>
  <c r="H226" i="11"/>
  <c r="G225" i="11"/>
  <c r="G224" i="11"/>
  <c r="G223" i="11"/>
  <c r="G222" i="11"/>
  <c r="G221" i="11"/>
  <c r="G220" i="11"/>
  <c r="G218" i="11"/>
  <c r="G226" i="11" s="1"/>
  <c r="H216" i="11"/>
  <c r="G215" i="11"/>
  <c r="G216" i="11" s="1"/>
  <c r="G214" i="11"/>
  <c r="G213" i="11"/>
  <c r="G212" i="11"/>
  <c r="G211" i="11"/>
  <c r="G210" i="11"/>
  <c r="G208" i="11"/>
  <c r="H206" i="11"/>
  <c r="G205" i="11"/>
  <c r="G204" i="11"/>
  <c r="G203" i="11"/>
  <c r="G202" i="11"/>
  <c r="G206" i="11" s="1"/>
  <c r="G201" i="11"/>
  <c r="G200" i="11"/>
  <c r="G198" i="11"/>
  <c r="H196" i="11"/>
  <c r="G195" i="11"/>
  <c r="G194" i="11"/>
  <c r="G193" i="11"/>
  <c r="G192" i="11"/>
  <c r="G191" i="11"/>
  <c r="G190" i="11"/>
  <c r="G196" i="11" s="1"/>
  <c r="H185" i="11"/>
  <c r="H184" i="11"/>
  <c r="G183" i="11"/>
  <c r="G182" i="11"/>
  <c r="G181" i="11"/>
  <c r="G180" i="11"/>
  <c r="G179" i="11"/>
  <c r="G178" i="11"/>
  <c r="G177" i="11"/>
  <c r="G176" i="11"/>
  <c r="G184" i="11" s="1"/>
  <c r="G185" i="11" s="1"/>
  <c r="H174" i="11"/>
  <c r="G173" i="11"/>
  <c r="G172" i="11"/>
  <c r="G171" i="11"/>
  <c r="G170" i="11"/>
  <c r="G169" i="11"/>
  <c r="G168" i="11"/>
  <c r="G167" i="11"/>
  <c r="G166" i="11"/>
  <c r="G174" i="11" s="1"/>
  <c r="H164" i="11"/>
  <c r="G163" i="11"/>
  <c r="G164" i="11" s="1"/>
  <c r="G162" i="11"/>
  <c r="G161" i="11"/>
  <c r="G160" i="11"/>
  <c r="G159" i="11"/>
  <c r="G158" i="11"/>
  <c r="G157" i="11"/>
  <c r="G156" i="11"/>
  <c r="H154" i="11"/>
  <c r="G153" i="11"/>
  <c r="G152" i="11"/>
  <c r="G151" i="11"/>
  <c r="G154" i="11" s="1"/>
  <c r="G150" i="11"/>
  <c r="G149" i="11"/>
  <c r="G148" i="11"/>
  <c r="G147" i="11"/>
  <c r="G146" i="11"/>
  <c r="G143" i="11"/>
  <c r="G142" i="11"/>
  <c r="G141" i="11"/>
  <c r="G140" i="11"/>
  <c r="G139" i="11"/>
  <c r="G138" i="11"/>
  <c r="G137" i="11"/>
  <c r="G136" i="11"/>
  <c r="H134" i="11"/>
  <c r="G132" i="11"/>
  <c r="G131" i="11"/>
  <c r="G130" i="11"/>
  <c r="G129" i="11"/>
  <c r="G128" i="11"/>
  <c r="G127" i="11"/>
  <c r="G126" i="11"/>
  <c r="G134" i="11" s="1"/>
  <c r="H124" i="11"/>
  <c r="G124" i="11"/>
  <c r="G122" i="11"/>
  <c r="G121" i="11"/>
  <c r="G120" i="11"/>
  <c r="G119" i="11"/>
  <c r="G118" i="11"/>
  <c r="G117" i="11"/>
  <c r="G116" i="11"/>
  <c r="H114" i="11"/>
  <c r="G112" i="11"/>
  <c r="G111" i="11"/>
  <c r="G110" i="11"/>
  <c r="G114" i="11" s="1"/>
  <c r="G109" i="11"/>
  <c r="G108" i="11"/>
  <c r="G107" i="11"/>
  <c r="G106" i="11"/>
  <c r="H101" i="11"/>
  <c r="G100" i="11"/>
  <c r="G99" i="11"/>
  <c r="G98" i="11"/>
  <c r="G97" i="11"/>
  <c r="G96" i="11"/>
  <c r="G95" i="11"/>
  <c r="G101" i="11" s="1"/>
  <c r="G94" i="11"/>
  <c r="H91" i="11"/>
  <c r="G90" i="11"/>
  <c r="G89" i="11"/>
  <c r="G88" i="11"/>
  <c r="G87" i="11"/>
  <c r="G86" i="11"/>
  <c r="G85" i="11"/>
  <c r="G84" i="11"/>
  <c r="G91" i="11" s="1"/>
  <c r="H80" i="11"/>
  <c r="G79" i="11"/>
  <c r="G78" i="11"/>
  <c r="G77" i="11"/>
  <c r="G76" i="11"/>
  <c r="G75" i="11"/>
  <c r="G74" i="11"/>
  <c r="G73" i="11"/>
  <c r="G72" i="11"/>
  <c r="G80" i="11" s="1"/>
  <c r="H70" i="11"/>
  <c r="H81" i="11" s="1"/>
  <c r="G70" i="11"/>
  <c r="G69" i="11"/>
  <c r="G68" i="11"/>
  <c r="G67" i="11"/>
  <c r="G66" i="11"/>
  <c r="G65" i="11"/>
  <c r="G64" i="11"/>
  <c r="G63" i="11"/>
  <c r="G62" i="11"/>
  <c r="H60" i="11"/>
  <c r="G59" i="11"/>
  <c r="G58" i="11"/>
  <c r="G60" i="11" s="1"/>
  <c r="G57" i="11"/>
  <c r="G56" i="11"/>
  <c r="G55" i="11"/>
  <c r="G54" i="11"/>
  <c r="G53" i="11"/>
  <c r="G52" i="11"/>
  <c r="H50" i="11"/>
  <c r="G49" i="11"/>
  <c r="G48" i="11"/>
  <c r="G47" i="11"/>
  <c r="G46" i="11"/>
  <c r="G50" i="11" s="1"/>
  <c r="G45" i="11"/>
  <c r="G44" i="11"/>
  <c r="G43" i="11"/>
  <c r="G42" i="11"/>
  <c r="H40" i="11"/>
  <c r="G39" i="11"/>
  <c r="G38" i="11"/>
  <c r="G37" i="11"/>
  <c r="G36" i="11"/>
  <c r="G35" i="11"/>
  <c r="G34" i="11"/>
  <c r="G40" i="11" s="1"/>
  <c r="G33" i="11"/>
  <c r="G32" i="11"/>
  <c r="H30" i="11"/>
  <c r="G29" i="11"/>
  <c r="G28" i="11"/>
  <c r="G27" i="11"/>
  <c r="G26" i="11"/>
  <c r="G25" i="11"/>
  <c r="G24" i="11"/>
  <c r="G23" i="11"/>
  <c r="G30" i="11" s="1"/>
  <c r="H20" i="11"/>
  <c r="G19" i="11"/>
  <c r="G18" i="11"/>
  <c r="G17" i="11"/>
  <c r="G16" i="11"/>
  <c r="G15" i="11"/>
  <c r="G14" i="11"/>
  <c r="G13" i="11"/>
  <c r="G12" i="11"/>
  <c r="G20" i="11" s="1"/>
  <c r="G280" i="8"/>
  <c r="G279" i="8"/>
  <c r="H277" i="8"/>
  <c r="H282" i="8" s="1"/>
  <c r="H283" i="8" s="1"/>
  <c r="G276" i="8"/>
  <c r="G275" i="8"/>
  <c r="G277" i="8" s="1"/>
  <c r="H273" i="8"/>
  <c r="G273" i="8"/>
  <c r="G272" i="8"/>
  <c r="G271" i="8"/>
  <c r="H268" i="8"/>
  <c r="G267" i="8"/>
  <c r="G266" i="8"/>
  <c r="G268" i="8" s="1"/>
  <c r="H256" i="8"/>
  <c r="H258" i="8" s="1"/>
  <c r="G255" i="8"/>
  <c r="G256" i="8" s="1"/>
  <c r="G254" i="8"/>
  <c r="H252" i="8"/>
  <c r="G251" i="8"/>
  <c r="G250" i="8"/>
  <c r="G252" i="8" s="1"/>
  <c r="H247" i="8"/>
  <c r="G246" i="8"/>
  <c r="G245" i="8"/>
  <c r="G247" i="8" s="1"/>
  <c r="H243" i="8"/>
  <c r="G242" i="8"/>
  <c r="G243" i="8" s="1"/>
  <c r="G241" i="8"/>
  <c r="G238" i="8"/>
  <c r="G237" i="8"/>
  <c r="H235" i="8"/>
  <c r="G234" i="8"/>
  <c r="G233" i="8"/>
  <c r="G235" i="8" s="1"/>
  <c r="H226" i="8"/>
  <c r="H227" i="8" s="1"/>
  <c r="H228" i="8" s="1"/>
  <c r="G226" i="8"/>
  <c r="G225" i="8"/>
  <c r="G224" i="8"/>
  <c r="G223" i="8"/>
  <c r="G222" i="8"/>
  <c r="G221" i="8"/>
  <c r="G220" i="8"/>
  <c r="G218" i="8"/>
  <c r="H216" i="8"/>
  <c r="G215" i="8"/>
  <c r="G214" i="8"/>
  <c r="G216" i="8" s="1"/>
  <c r="G227" i="8" s="1"/>
  <c r="G213" i="8"/>
  <c r="G212" i="8"/>
  <c r="G211" i="8"/>
  <c r="G210" i="8"/>
  <c r="G208" i="8"/>
  <c r="H206" i="8"/>
  <c r="G205" i="8"/>
  <c r="G204" i="8"/>
  <c r="G203" i="8"/>
  <c r="G202" i="8"/>
  <c r="G201" i="8"/>
  <c r="G200" i="8"/>
  <c r="G206" i="8" s="1"/>
  <c r="G198" i="8"/>
  <c r="H196" i="8"/>
  <c r="G195" i="8"/>
  <c r="G194" i="8"/>
  <c r="G193" i="8"/>
  <c r="G192" i="8"/>
  <c r="G191" i="8"/>
  <c r="G190" i="8"/>
  <c r="G196" i="8" s="1"/>
  <c r="H185" i="8"/>
  <c r="H184" i="8"/>
  <c r="G183" i="8"/>
  <c r="G182" i="8"/>
  <c r="G181" i="8"/>
  <c r="G180" i="8"/>
  <c r="G179" i="8"/>
  <c r="G178" i="8"/>
  <c r="G177" i="8"/>
  <c r="G176" i="8"/>
  <c r="G184" i="8" s="1"/>
  <c r="H174" i="8"/>
  <c r="G174" i="8"/>
  <c r="G173" i="8"/>
  <c r="G172" i="8"/>
  <c r="G171" i="8"/>
  <c r="G170" i="8"/>
  <c r="G169" i="8"/>
  <c r="G168" i="8"/>
  <c r="G167" i="8"/>
  <c r="G166" i="8"/>
  <c r="H164" i="8"/>
  <c r="G163" i="8"/>
  <c r="G162" i="8"/>
  <c r="G164" i="8" s="1"/>
  <c r="G161" i="8"/>
  <c r="G160" i="8"/>
  <c r="G159" i="8"/>
  <c r="G158" i="8"/>
  <c r="G157" i="8"/>
  <c r="G156" i="8"/>
  <c r="H154" i="8"/>
  <c r="G153" i="8"/>
  <c r="G152" i="8"/>
  <c r="G151" i="8"/>
  <c r="G150" i="8"/>
  <c r="G149" i="8"/>
  <c r="G154" i="8" s="1"/>
  <c r="G148" i="8"/>
  <c r="G147" i="8"/>
  <c r="G146" i="8"/>
  <c r="G143" i="8"/>
  <c r="G142" i="8"/>
  <c r="G141" i="8"/>
  <c r="G140" i="8"/>
  <c r="G139" i="8"/>
  <c r="G138" i="8"/>
  <c r="G137" i="8"/>
  <c r="G136" i="8"/>
  <c r="H134" i="8"/>
  <c r="G132" i="8"/>
  <c r="G131" i="8"/>
  <c r="G130" i="8"/>
  <c r="G129" i="8"/>
  <c r="G128" i="8"/>
  <c r="G127" i="8"/>
  <c r="G126" i="8"/>
  <c r="G134" i="8" s="1"/>
  <c r="H124" i="8"/>
  <c r="G122" i="8"/>
  <c r="G124" i="8" s="1"/>
  <c r="G121" i="8"/>
  <c r="G120" i="8"/>
  <c r="G119" i="8"/>
  <c r="G118" i="8"/>
  <c r="G117" i="8"/>
  <c r="G116" i="8"/>
  <c r="H114" i="8"/>
  <c r="G112" i="8"/>
  <c r="G111" i="8"/>
  <c r="G110" i="8"/>
  <c r="G109" i="8"/>
  <c r="G108" i="8"/>
  <c r="G114" i="8" s="1"/>
  <c r="G107" i="8"/>
  <c r="G106" i="8"/>
  <c r="H101" i="8"/>
  <c r="G100" i="8"/>
  <c r="G99" i="8"/>
  <c r="G98" i="8"/>
  <c r="G97" i="8"/>
  <c r="G96" i="8"/>
  <c r="G95" i="8"/>
  <c r="G94" i="8"/>
  <c r="G101" i="8" s="1"/>
  <c r="H91" i="8"/>
  <c r="G90" i="8"/>
  <c r="G89" i="8"/>
  <c r="G88" i="8"/>
  <c r="G87" i="8"/>
  <c r="G86" i="8"/>
  <c r="G85" i="8"/>
  <c r="G84" i="8"/>
  <c r="G91" i="8" s="1"/>
  <c r="H80" i="8"/>
  <c r="H81" i="8" s="1"/>
  <c r="G80" i="8"/>
  <c r="G79" i="8"/>
  <c r="G78" i="8"/>
  <c r="G77" i="8"/>
  <c r="G76" i="8"/>
  <c r="G75" i="8"/>
  <c r="G74" i="8"/>
  <c r="G73" i="8"/>
  <c r="G72" i="8"/>
  <c r="H70" i="8"/>
  <c r="G69" i="8"/>
  <c r="G70" i="8" s="1"/>
  <c r="G68" i="8"/>
  <c r="G67" i="8"/>
  <c r="G66" i="8"/>
  <c r="G65" i="8"/>
  <c r="G64" i="8"/>
  <c r="G63" i="8"/>
  <c r="G62" i="8"/>
  <c r="H60" i="8"/>
  <c r="G59" i="8"/>
  <c r="G58" i="8"/>
  <c r="G57" i="8"/>
  <c r="G56" i="8"/>
  <c r="G60" i="8" s="1"/>
  <c r="G55" i="8"/>
  <c r="G54" i="8"/>
  <c r="G53" i="8"/>
  <c r="G52" i="8"/>
  <c r="H50" i="8"/>
  <c r="G49" i="8"/>
  <c r="G48" i="8"/>
  <c r="G47" i="8"/>
  <c r="G46" i="8"/>
  <c r="G45" i="8"/>
  <c r="G44" i="8"/>
  <c r="G50" i="8" s="1"/>
  <c r="G43" i="8"/>
  <c r="G42" i="8"/>
  <c r="H40" i="8"/>
  <c r="G39" i="8"/>
  <c r="G38" i="8"/>
  <c r="G37" i="8"/>
  <c r="G36" i="8"/>
  <c r="G35" i="8"/>
  <c r="G34" i="8"/>
  <c r="G33" i="8"/>
  <c r="G32" i="8"/>
  <c r="G40" i="8" s="1"/>
  <c r="H30" i="8"/>
  <c r="G29" i="8"/>
  <c r="G28" i="8"/>
  <c r="G27" i="8"/>
  <c r="G26" i="8"/>
  <c r="G25" i="8"/>
  <c r="G24" i="8"/>
  <c r="G23" i="8"/>
  <c r="G30" i="8" s="1"/>
  <c r="H20" i="8"/>
  <c r="G20" i="8"/>
  <c r="G19" i="8"/>
  <c r="G18" i="8"/>
  <c r="G17" i="8"/>
  <c r="G16" i="8"/>
  <c r="G15" i="8"/>
  <c r="G14" i="8"/>
  <c r="G13" i="8"/>
  <c r="G12" i="8"/>
  <c r="H277" i="5"/>
  <c r="H268" i="5"/>
  <c r="H256" i="5"/>
  <c r="H247" i="5"/>
  <c r="H243" i="5"/>
  <c r="H235" i="5"/>
  <c r="H226" i="5"/>
  <c r="H216" i="5"/>
  <c r="H206" i="5"/>
  <c r="H134" i="5"/>
  <c r="H124" i="5"/>
  <c r="H114" i="5"/>
  <c r="H101" i="5"/>
  <c r="G271" i="5"/>
  <c r="G272" i="5"/>
  <c r="G273" i="5"/>
  <c r="H273" i="5"/>
  <c r="G275" i="5"/>
  <c r="G276" i="5"/>
  <c r="G277" i="5"/>
  <c r="G279" i="5"/>
  <c r="G280" i="5"/>
  <c r="G282" i="5"/>
  <c r="H282" i="5"/>
  <c r="G91" i="5"/>
  <c r="G84" i="5"/>
  <c r="G85" i="5"/>
  <c r="G86" i="5"/>
  <c r="G87" i="5"/>
  <c r="G88" i="5"/>
  <c r="G89" i="5"/>
  <c r="G90" i="5"/>
  <c r="H91" i="5"/>
  <c r="G94" i="5"/>
  <c r="G95" i="5"/>
  <c r="G96" i="5"/>
  <c r="G97" i="5"/>
  <c r="G98" i="5"/>
  <c r="G99" i="5"/>
  <c r="G100" i="5"/>
  <c r="G106" i="5"/>
  <c r="G107" i="5"/>
  <c r="G108" i="5"/>
  <c r="G109" i="5"/>
  <c r="G110" i="5"/>
  <c r="G111" i="5"/>
  <c r="G112" i="5"/>
  <c r="G116" i="5"/>
  <c r="G117" i="5"/>
  <c r="G118" i="5"/>
  <c r="G119" i="5"/>
  <c r="G120" i="5"/>
  <c r="G121" i="5"/>
  <c r="G122" i="5"/>
  <c r="G126" i="5"/>
  <c r="G127" i="5"/>
  <c r="G128" i="5"/>
  <c r="G129" i="5"/>
  <c r="G130" i="5"/>
  <c r="G131" i="5"/>
  <c r="G132" i="5"/>
  <c r="G136" i="5"/>
  <c r="G137" i="5"/>
  <c r="G138" i="5"/>
  <c r="G139" i="5"/>
  <c r="G140" i="5"/>
  <c r="G141" i="5"/>
  <c r="G142" i="5"/>
  <c r="G143" i="5"/>
  <c r="G146" i="5"/>
  <c r="G147" i="5"/>
  <c r="G148" i="5"/>
  <c r="G149" i="5"/>
  <c r="G150" i="5"/>
  <c r="G151" i="5"/>
  <c r="G152" i="5"/>
  <c r="G153" i="5"/>
  <c r="H154" i="5"/>
  <c r="G156" i="5"/>
  <c r="G157" i="5"/>
  <c r="G158" i="5"/>
  <c r="G159" i="5"/>
  <c r="G160" i="5"/>
  <c r="G161" i="5"/>
  <c r="G162" i="5"/>
  <c r="G163" i="5"/>
  <c r="H164" i="5"/>
  <c r="G166" i="5"/>
  <c r="G167" i="5"/>
  <c r="G168" i="5"/>
  <c r="G169" i="5"/>
  <c r="G170" i="5"/>
  <c r="G171" i="5"/>
  <c r="G172" i="5"/>
  <c r="G173" i="5"/>
  <c r="H174" i="5"/>
  <c r="G176" i="5"/>
  <c r="G177" i="5"/>
  <c r="G178" i="5"/>
  <c r="G179" i="5"/>
  <c r="G180" i="5"/>
  <c r="G181" i="5"/>
  <c r="G182" i="5"/>
  <c r="G183" i="5"/>
  <c r="H184" i="5"/>
  <c r="G190" i="5"/>
  <c r="G191" i="5"/>
  <c r="G192" i="5"/>
  <c r="G193" i="5"/>
  <c r="G194" i="5"/>
  <c r="G195" i="5"/>
  <c r="H196" i="5"/>
  <c r="G198" i="5"/>
  <c r="G200" i="5"/>
  <c r="G201" i="5"/>
  <c r="G202" i="5"/>
  <c r="G203" i="5"/>
  <c r="G204" i="5"/>
  <c r="G205" i="5"/>
  <c r="G208" i="5"/>
  <c r="G216" i="5"/>
  <c r="G210" i="5"/>
  <c r="G211" i="5"/>
  <c r="G212" i="5"/>
  <c r="G213" i="5"/>
  <c r="G214" i="5"/>
  <c r="G215" i="5"/>
  <c r="G218" i="5"/>
  <c r="G220" i="5"/>
  <c r="G221" i="5"/>
  <c r="G222" i="5"/>
  <c r="G223" i="5"/>
  <c r="G224" i="5"/>
  <c r="G225" i="5"/>
  <c r="G233" i="5"/>
  <c r="G235" i="5" s="1"/>
  <c r="G234" i="5"/>
  <c r="G237" i="5"/>
  <c r="G238" i="5"/>
  <c r="G241" i="5"/>
  <c r="G242" i="5"/>
  <c r="G245" i="5"/>
  <c r="G246" i="5"/>
  <c r="G250" i="5"/>
  <c r="G251" i="5"/>
  <c r="G252" i="5"/>
  <c r="H252" i="5"/>
  <c r="G254" i="5"/>
  <c r="G255" i="5"/>
  <c r="G266" i="5"/>
  <c r="G267" i="5"/>
  <c r="G273" i="16" l="1"/>
  <c r="G282" i="16" s="1"/>
  <c r="G226" i="16"/>
  <c r="G216" i="16"/>
  <c r="G206" i="16"/>
  <c r="G196" i="16"/>
  <c r="G184" i="16"/>
  <c r="G164" i="16"/>
  <c r="G154" i="16"/>
  <c r="G134" i="16"/>
  <c r="G114" i="16"/>
  <c r="G101" i="16"/>
  <c r="G91" i="16"/>
  <c r="G70" i="16"/>
  <c r="G60" i="16"/>
  <c r="G50" i="16"/>
  <c r="G40" i="16"/>
  <c r="G20" i="16"/>
  <c r="H228" i="16"/>
  <c r="H283" i="16"/>
  <c r="H284" i="16" s="1"/>
  <c r="G258" i="16"/>
  <c r="G227" i="14"/>
  <c r="G228" i="14" s="1"/>
  <c r="H283" i="14"/>
  <c r="H228" i="14"/>
  <c r="G282" i="14"/>
  <c r="G258" i="14"/>
  <c r="G227" i="9"/>
  <c r="H283" i="9"/>
  <c r="H284" i="9" s="1"/>
  <c r="G81" i="9"/>
  <c r="G282" i="9"/>
  <c r="G283" i="9" s="1"/>
  <c r="G258" i="9"/>
  <c r="G282" i="11"/>
  <c r="G227" i="11"/>
  <c r="H283" i="11"/>
  <c r="H284" i="11" s="1"/>
  <c r="G81" i="11"/>
  <c r="G258" i="11"/>
  <c r="G185" i="8"/>
  <c r="G228" i="8" s="1"/>
  <c r="G282" i="8"/>
  <c r="G81" i="8"/>
  <c r="H284" i="8"/>
  <c r="G258" i="8"/>
  <c r="H227" i="5"/>
  <c r="G226" i="5"/>
  <c r="H185" i="5"/>
  <c r="G247" i="5"/>
  <c r="G268" i="5"/>
  <c r="G154" i="5"/>
  <c r="G196" i="5"/>
  <c r="G256" i="5"/>
  <c r="G114" i="5"/>
  <c r="G101" i="5"/>
  <c r="G206" i="5"/>
  <c r="G227" i="5" s="1"/>
  <c r="G174" i="5"/>
  <c r="G134" i="5"/>
  <c r="G243" i="5"/>
  <c r="G258" i="5" s="1"/>
  <c r="G283" i="5" s="1"/>
  <c r="G164" i="5"/>
  <c r="G124" i="5"/>
  <c r="H258" i="5"/>
  <c r="H283" i="5" s="1"/>
  <c r="G184" i="5"/>
  <c r="G227" i="16" l="1"/>
  <c r="G185" i="16"/>
  <c r="G81" i="16"/>
  <c r="G283" i="16"/>
  <c r="G283" i="14"/>
  <c r="G284" i="14" s="1"/>
  <c r="H284" i="14"/>
  <c r="G228" i="9"/>
  <c r="G284" i="9" s="1"/>
  <c r="G228" i="11"/>
  <c r="G283" i="11"/>
  <c r="G284" i="11" s="1"/>
  <c r="G283" i="8"/>
  <c r="G284" i="8" s="1"/>
  <c r="G185" i="5"/>
  <c r="G228" i="16" l="1"/>
  <c r="G284" i="16" s="1"/>
  <c r="G139" i="17" l="1"/>
  <c r="G139" i="15"/>
  <c r="G139" i="13"/>
  <c r="G139" i="12"/>
  <c r="G139" i="10"/>
  <c r="G139" i="6"/>
  <c r="H30" i="5"/>
  <c r="D137" i="17"/>
  <c r="D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D137" i="15"/>
  <c r="D136" i="15"/>
  <c r="G135" i="15"/>
  <c r="G134" i="15"/>
  <c r="G133" i="15"/>
  <c r="G132" i="15"/>
  <c r="G131" i="15"/>
  <c r="G130" i="15"/>
  <c r="G129" i="15"/>
  <c r="G128" i="15"/>
  <c r="G127" i="15"/>
  <c r="G126" i="15"/>
  <c r="G125" i="15"/>
  <c r="G124" i="15"/>
  <c r="G123" i="15"/>
  <c r="G122" i="15"/>
  <c r="G121" i="15"/>
  <c r="G120" i="15"/>
  <c r="G119" i="15"/>
  <c r="G118" i="15"/>
  <c r="G117" i="15"/>
  <c r="G116" i="15"/>
  <c r="G115" i="15"/>
  <c r="G114" i="15"/>
  <c r="G113" i="15"/>
  <c r="G112" i="15"/>
  <c r="G111" i="15"/>
  <c r="G110" i="15"/>
  <c r="G109" i="15"/>
  <c r="G108" i="15"/>
  <c r="G107" i="15"/>
  <c r="G106" i="15"/>
  <c r="G105" i="15"/>
  <c r="G104" i="15"/>
  <c r="G103" i="15"/>
  <c r="G102" i="15"/>
  <c r="G101" i="15"/>
  <c r="G100" i="15"/>
  <c r="G99" i="15"/>
  <c r="G98" i="15"/>
  <c r="G97" i="15"/>
  <c r="G96" i="15"/>
  <c r="G95" i="15"/>
  <c r="G94" i="15"/>
  <c r="G93" i="15"/>
  <c r="G92" i="15"/>
  <c r="G91" i="15"/>
  <c r="G90" i="15"/>
  <c r="G89" i="15"/>
  <c r="G88" i="15"/>
  <c r="G87" i="15"/>
  <c r="G86" i="15"/>
  <c r="G85" i="15"/>
  <c r="G84" i="15"/>
  <c r="G83" i="15"/>
  <c r="G82" i="15"/>
  <c r="G81" i="15"/>
  <c r="G80" i="15"/>
  <c r="G79" i="15"/>
  <c r="G78" i="15"/>
  <c r="G77" i="15"/>
  <c r="G76" i="15"/>
  <c r="G75" i="15"/>
  <c r="G74" i="15"/>
  <c r="G73" i="15"/>
  <c r="G72" i="15"/>
  <c r="G71" i="15"/>
  <c r="G70" i="15"/>
  <c r="G69" i="15"/>
  <c r="G68" i="15"/>
  <c r="G67" i="15"/>
  <c r="G66" i="15"/>
  <c r="G65" i="15"/>
  <c r="G64" i="15"/>
  <c r="G63" i="15"/>
  <c r="G62" i="15"/>
  <c r="G61" i="15"/>
  <c r="G60" i="15"/>
  <c r="G59" i="15"/>
  <c r="G58" i="15"/>
  <c r="G57" i="15"/>
  <c r="G56" i="15"/>
  <c r="G55" i="15"/>
  <c r="G54" i="15"/>
  <c r="G53" i="15"/>
  <c r="G52" i="15"/>
  <c r="G51" i="15"/>
  <c r="G50" i="15"/>
  <c r="G49" i="15"/>
  <c r="G48" i="15"/>
  <c r="G47" i="15"/>
  <c r="G46" i="15"/>
  <c r="G45" i="15"/>
  <c r="G44" i="15"/>
  <c r="G43" i="15"/>
  <c r="G42" i="15"/>
  <c r="G41" i="15"/>
  <c r="G40" i="15"/>
  <c r="G39" i="15"/>
  <c r="G38" i="15"/>
  <c r="G37" i="15"/>
  <c r="G36" i="15"/>
  <c r="G35" i="15"/>
  <c r="G34" i="15"/>
  <c r="G33" i="15"/>
  <c r="G32" i="15"/>
  <c r="G31" i="15"/>
  <c r="G30" i="15"/>
  <c r="G29" i="15"/>
  <c r="G28" i="15"/>
  <c r="G27" i="15"/>
  <c r="G26" i="15"/>
  <c r="G25" i="15"/>
  <c r="G24" i="15"/>
  <c r="G23" i="15"/>
  <c r="G22" i="15"/>
  <c r="G21" i="15"/>
  <c r="G20" i="15"/>
  <c r="G19" i="15"/>
  <c r="G18" i="15"/>
  <c r="G17" i="15"/>
  <c r="G16" i="15"/>
  <c r="G15" i="15"/>
  <c r="G14" i="15"/>
  <c r="G13" i="15"/>
  <c r="G12" i="15"/>
  <c r="G11" i="15"/>
  <c r="B26" i="4" s="1"/>
  <c r="D137" i="13"/>
  <c r="D136" i="13"/>
  <c r="G135" i="13"/>
  <c r="G134" i="13"/>
  <c r="G133" i="13"/>
  <c r="G132" i="13"/>
  <c r="G131" i="13"/>
  <c r="G130" i="13"/>
  <c r="G129" i="13"/>
  <c r="G128" i="13"/>
  <c r="G127" i="13"/>
  <c r="G126" i="13"/>
  <c r="G125" i="13"/>
  <c r="G124" i="13"/>
  <c r="G123" i="13"/>
  <c r="G122" i="13"/>
  <c r="G121" i="13"/>
  <c r="G120" i="13"/>
  <c r="G119" i="13"/>
  <c r="G118" i="13"/>
  <c r="G117" i="13"/>
  <c r="G116" i="13"/>
  <c r="G115" i="13"/>
  <c r="G114" i="13"/>
  <c r="G113" i="13"/>
  <c r="G112" i="13"/>
  <c r="G111" i="13"/>
  <c r="G110" i="13"/>
  <c r="G109" i="13"/>
  <c r="G108" i="13"/>
  <c r="G107" i="13"/>
  <c r="G106" i="13"/>
  <c r="G105" i="13"/>
  <c r="G104" i="13"/>
  <c r="G103" i="13"/>
  <c r="G102" i="13"/>
  <c r="G101" i="13"/>
  <c r="G100" i="13"/>
  <c r="G99" i="13"/>
  <c r="G98" i="13"/>
  <c r="G97" i="13"/>
  <c r="G96" i="13"/>
  <c r="G95" i="13"/>
  <c r="G94" i="13"/>
  <c r="G93" i="13"/>
  <c r="G92" i="13"/>
  <c r="G91" i="13"/>
  <c r="G90" i="13"/>
  <c r="G89" i="13"/>
  <c r="G88" i="13"/>
  <c r="G87" i="13"/>
  <c r="G86" i="13"/>
  <c r="G85" i="13"/>
  <c r="G84" i="13"/>
  <c r="G83" i="13"/>
  <c r="G82" i="13"/>
  <c r="G81" i="13"/>
  <c r="G80" i="13"/>
  <c r="G79" i="13"/>
  <c r="G78" i="13"/>
  <c r="G77" i="13"/>
  <c r="G76" i="13"/>
  <c r="G75" i="13"/>
  <c r="G74" i="13"/>
  <c r="G73" i="13"/>
  <c r="G72" i="13"/>
  <c r="G71" i="13"/>
  <c r="G70" i="13"/>
  <c r="G69" i="13"/>
  <c r="G68" i="13"/>
  <c r="G67" i="13"/>
  <c r="G66" i="13"/>
  <c r="G65" i="13"/>
  <c r="G64" i="13"/>
  <c r="G63" i="13"/>
  <c r="G62" i="13"/>
  <c r="G61" i="13"/>
  <c r="G60" i="13"/>
  <c r="G59" i="13"/>
  <c r="G58" i="13"/>
  <c r="G57" i="13"/>
  <c r="G56" i="13"/>
  <c r="G55" i="13"/>
  <c r="G54" i="13"/>
  <c r="G53" i="13"/>
  <c r="G52" i="13"/>
  <c r="G51" i="13"/>
  <c r="G50" i="13"/>
  <c r="G49" i="13"/>
  <c r="G48" i="13"/>
  <c r="G47" i="13"/>
  <c r="G46" i="13"/>
  <c r="G45" i="13"/>
  <c r="G44" i="13"/>
  <c r="G43" i="13"/>
  <c r="G42" i="13"/>
  <c r="G41" i="13"/>
  <c r="G40" i="13"/>
  <c r="G39" i="13"/>
  <c r="G38" i="13"/>
  <c r="G37" i="13"/>
  <c r="G36" i="13"/>
  <c r="G35" i="13"/>
  <c r="G34" i="13"/>
  <c r="G33" i="13"/>
  <c r="G32" i="13"/>
  <c r="G31" i="13"/>
  <c r="G30" i="13"/>
  <c r="G29" i="13"/>
  <c r="G28" i="13"/>
  <c r="G27" i="13"/>
  <c r="G26" i="13"/>
  <c r="G25" i="13"/>
  <c r="G24" i="13"/>
  <c r="G23" i="13"/>
  <c r="G22" i="13"/>
  <c r="G21" i="13"/>
  <c r="G20" i="13"/>
  <c r="G19" i="13"/>
  <c r="G18" i="13"/>
  <c r="G17" i="13"/>
  <c r="G16" i="13"/>
  <c r="G15" i="13"/>
  <c r="G14" i="13"/>
  <c r="G13" i="13"/>
  <c r="G12" i="13"/>
  <c r="G11" i="13"/>
  <c r="B25" i="4" s="1"/>
  <c r="D137" i="12"/>
  <c r="D136" i="12"/>
  <c r="G135" i="12"/>
  <c r="G134" i="12"/>
  <c r="G133" i="12"/>
  <c r="G132" i="12"/>
  <c r="G131" i="12"/>
  <c r="G130" i="12"/>
  <c r="G129" i="12"/>
  <c r="G128" i="12"/>
  <c r="G127" i="12"/>
  <c r="G126" i="12"/>
  <c r="G125" i="12"/>
  <c r="G124" i="12"/>
  <c r="G123" i="12"/>
  <c r="G122" i="12"/>
  <c r="G121" i="12"/>
  <c r="G120" i="12"/>
  <c r="G119" i="12"/>
  <c r="G118" i="12"/>
  <c r="G117" i="12"/>
  <c r="G116" i="12"/>
  <c r="G115" i="12"/>
  <c r="G114" i="12"/>
  <c r="G113" i="12"/>
  <c r="G112" i="12"/>
  <c r="G111" i="12"/>
  <c r="G110" i="12"/>
  <c r="G109" i="12"/>
  <c r="G108" i="12"/>
  <c r="G107" i="12"/>
  <c r="G106" i="12"/>
  <c r="G105" i="12"/>
  <c r="G104" i="12"/>
  <c r="G103" i="12"/>
  <c r="G102" i="12"/>
  <c r="G101" i="12"/>
  <c r="G100" i="12"/>
  <c r="G99" i="12"/>
  <c r="G98" i="12"/>
  <c r="G97" i="12"/>
  <c r="G96" i="12"/>
  <c r="G95" i="12"/>
  <c r="G94" i="12"/>
  <c r="G93" i="12"/>
  <c r="G92" i="12"/>
  <c r="G91" i="12"/>
  <c r="G90" i="12"/>
  <c r="G89" i="12"/>
  <c r="G88" i="12"/>
  <c r="G87" i="12"/>
  <c r="G86" i="12"/>
  <c r="G85" i="12"/>
  <c r="G84" i="12"/>
  <c r="G83" i="12"/>
  <c r="G82" i="12"/>
  <c r="G81" i="12"/>
  <c r="G80" i="12"/>
  <c r="G79" i="12"/>
  <c r="G78" i="12"/>
  <c r="G77" i="12"/>
  <c r="G76" i="12"/>
  <c r="G75" i="12"/>
  <c r="G74" i="12"/>
  <c r="G73" i="12"/>
  <c r="G72" i="12"/>
  <c r="G71" i="12"/>
  <c r="G70" i="12"/>
  <c r="G69" i="12"/>
  <c r="G68" i="12"/>
  <c r="G67" i="12"/>
  <c r="G66" i="12"/>
  <c r="G65" i="12"/>
  <c r="G64" i="12"/>
  <c r="G63" i="12"/>
  <c r="G62" i="12"/>
  <c r="G61" i="12"/>
  <c r="G60" i="12"/>
  <c r="G59" i="12"/>
  <c r="G58" i="12"/>
  <c r="G57" i="12"/>
  <c r="G56" i="12"/>
  <c r="G55" i="12"/>
  <c r="G54" i="12"/>
  <c r="G53" i="12"/>
  <c r="G52" i="12"/>
  <c r="G51" i="12"/>
  <c r="G50" i="12"/>
  <c r="G49" i="12"/>
  <c r="G48" i="12"/>
  <c r="G47" i="12"/>
  <c r="G46" i="12"/>
  <c r="G45" i="12"/>
  <c r="G44" i="12"/>
  <c r="G43" i="12"/>
  <c r="G42" i="12"/>
  <c r="G41" i="12"/>
  <c r="G40" i="12"/>
  <c r="G39" i="12"/>
  <c r="G38" i="12"/>
  <c r="G37" i="12"/>
  <c r="G36" i="12"/>
  <c r="G35" i="12"/>
  <c r="G34" i="12"/>
  <c r="G33" i="12"/>
  <c r="G32" i="12"/>
  <c r="G31" i="12"/>
  <c r="G30" i="12"/>
  <c r="G29" i="12"/>
  <c r="G28" i="12"/>
  <c r="G27" i="12"/>
  <c r="G26" i="12"/>
  <c r="G25" i="12"/>
  <c r="G24" i="12"/>
  <c r="G23" i="12"/>
  <c r="G22" i="12"/>
  <c r="G21" i="12"/>
  <c r="G20" i="12"/>
  <c r="G19" i="12"/>
  <c r="G18" i="12"/>
  <c r="G17" i="12"/>
  <c r="G16" i="12"/>
  <c r="G15" i="12"/>
  <c r="G14" i="12"/>
  <c r="G13" i="12"/>
  <c r="G12" i="12"/>
  <c r="G11" i="12"/>
  <c r="B24" i="4" s="1"/>
  <c r="D137" i="10"/>
  <c r="D136" i="10"/>
  <c r="G135" i="10"/>
  <c r="G134" i="10"/>
  <c r="G133" i="10"/>
  <c r="G132" i="10"/>
  <c r="G131" i="10"/>
  <c r="G130" i="10"/>
  <c r="G129" i="10"/>
  <c r="G128" i="10"/>
  <c r="G127" i="10"/>
  <c r="G126" i="10"/>
  <c r="G125" i="10"/>
  <c r="G124" i="10"/>
  <c r="G123" i="10"/>
  <c r="G122" i="10"/>
  <c r="G121" i="10"/>
  <c r="G120" i="10"/>
  <c r="G119" i="10"/>
  <c r="G118" i="10"/>
  <c r="G117" i="10"/>
  <c r="G116" i="10"/>
  <c r="G115" i="10"/>
  <c r="G114" i="10"/>
  <c r="G113" i="10"/>
  <c r="G112" i="10"/>
  <c r="G111" i="10"/>
  <c r="G110" i="10"/>
  <c r="G109" i="10"/>
  <c r="G108" i="10"/>
  <c r="G107" i="10"/>
  <c r="G106" i="10"/>
  <c r="G105" i="10"/>
  <c r="G104" i="10"/>
  <c r="G103" i="10"/>
  <c r="G102" i="10"/>
  <c r="G101" i="10"/>
  <c r="G100" i="10"/>
  <c r="G99" i="10"/>
  <c r="G98" i="10"/>
  <c r="G97" i="10"/>
  <c r="G96" i="10"/>
  <c r="G95" i="10"/>
  <c r="G94" i="10"/>
  <c r="G93" i="10"/>
  <c r="G92" i="10"/>
  <c r="G91" i="10"/>
  <c r="G90" i="10"/>
  <c r="G89" i="10"/>
  <c r="G88" i="10"/>
  <c r="G87" i="10"/>
  <c r="G86" i="10"/>
  <c r="G85" i="10"/>
  <c r="G84" i="10"/>
  <c r="G83" i="10"/>
  <c r="G82" i="10"/>
  <c r="G81" i="10"/>
  <c r="G80" i="10"/>
  <c r="G79" i="10"/>
  <c r="G78" i="10"/>
  <c r="G77" i="10"/>
  <c r="G76" i="10"/>
  <c r="G75" i="10"/>
  <c r="G74" i="10"/>
  <c r="G73" i="10"/>
  <c r="G72" i="10"/>
  <c r="G71" i="10"/>
  <c r="G70" i="10"/>
  <c r="G69" i="10"/>
  <c r="G68" i="10"/>
  <c r="G67" i="10"/>
  <c r="G66" i="10"/>
  <c r="G65" i="10"/>
  <c r="G64" i="10"/>
  <c r="G63" i="10"/>
  <c r="G62" i="10"/>
  <c r="G61" i="10"/>
  <c r="G60" i="10"/>
  <c r="G59" i="10"/>
  <c r="G58" i="10"/>
  <c r="G57" i="10"/>
  <c r="G56" i="10"/>
  <c r="G55" i="10"/>
  <c r="G54" i="10"/>
  <c r="G53" i="10"/>
  <c r="G52" i="10"/>
  <c r="G51" i="10"/>
  <c r="G50" i="10"/>
  <c r="G49" i="10"/>
  <c r="G48" i="10"/>
  <c r="G47" i="10"/>
  <c r="G46" i="10"/>
  <c r="G45" i="10"/>
  <c r="G44" i="10"/>
  <c r="G43" i="10"/>
  <c r="G42" i="10"/>
  <c r="G41" i="10"/>
  <c r="G40" i="10"/>
  <c r="G39" i="10"/>
  <c r="G38" i="10"/>
  <c r="G37" i="10"/>
  <c r="G36" i="10"/>
  <c r="G35" i="10"/>
  <c r="G34" i="10"/>
  <c r="G33" i="10"/>
  <c r="G32" i="10"/>
  <c r="G31" i="10"/>
  <c r="G30" i="10"/>
  <c r="G29" i="10"/>
  <c r="G28" i="10"/>
  <c r="G27" i="10"/>
  <c r="G26" i="10"/>
  <c r="G25" i="10"/>
  <c r="G24" i="10"/>
  <c r="G23" i="10"/>
  <c r="G22" i="10"/>
  <c r="G21" i="10"/>
  <c r="G20" i="10"/>
  <c r="G19" i="10"/>
  <c r="G18" i="10"/>
  <c r="G17" i="10"/>
  <c r="G16" i="10"/>
  <c r="G15" i="10"/>
  <c r="G14" i="10"/>
  <c r="G13" i="10"/>
  <c r="G12" i="10"/>
  <c r="G11" i="10"/>
  <c r="B23" i="4" s="1"/>
  <c r="D137" i="6"/>
  <c r="D136" i="6"/>
  <c r="G135" i="6"/>
  <c r="G134" i="6"/>
  <c r="G133" i="6"/>
  <c r="G132" i="6"/>
  <c r="G131" i="6"/>
  <c r="G130" i="6"/>
  <c r="G129" i="6"/>
  <c r="G128" i="6"/>
  <c r="G127" i="6"/>
  <c r="G126" i="6"/>
  <c r="G125" i="6"/>
  <c r="G124" i="6"/>
  <c r="G123" i="6"/>
  <c r="G122" i="6"/>
  <c r="G121" i="6"/>
  <c r="G120" i="6"/>
  <c r="G119" i="6"/>
  <c r="G118" i="6"/>
  <c r="G117" i="6"/>
  <c r="G116" i="6"/>
  <c r="G115" i="6"/>
  <c r="G114" i="6"/>
  <c r="G113" i="6"/>
  <c r="G112" i="6"/>
  <c r="G111" i="6"/>
  <c r="G110" i="6"/>
  <c r="G109" i="6"/>
  <c r="G108" i="6"/>
  <c r="G107" i="6"/>
  <c r="G106" i="6"/>
  <c r="G105" i="6"/>
  <c r="G104" i="6"/>
  <c r="G103" i="6"/>
  <c r="G102" i="6"/>
  <c r="G101" i="6"/>
  <c r="G100" i="6"/>
  <c r="G99" i="6"/>
  <c r="G98" i="6"/>
  <c r="G97" i="6"/>
  <c r="G96" i="6"/>
  <c r="G95" i="6"/>
  <c r="G94" i="6"/>
  <c r="G93" i="6"/>
  <c r="G92" i="6"/>
  <c r="G91" i="6"/>
  <c r="G90" i="6"/>
  <c r="G89" i="6"/>
  <c r="G88" i="6"/>
  <c r="G87" i="6"/>
  <c r="G86" i="6"/>
  <c r="G85" i="6"/>
  <c r="G84" i="6"/>
  <c r="G83" i="6"/>
  <c r="G82" i="6"/>
  <c r="G81" i="6"/>
  <c r="G80" i="6"/>
  <c r="G79" i="6"/>
  <c r="G78" i="6"/>
  <c r="G77" i="6"/>
  <c r="G76" i="6"/>
  <c r="G75" i="6"/>
  <c r="G74" i="6"/>
  <c r="G73" i="6"/>
  <c r="G72" i="6"/>
  <c r="G71" i="6"/>
  <c r="G70" i="6"/>
  <c r="G69" i="6"/>
  <c r="G68" i="6"/>
  <c r="G67" i="6"/>
  <c r="G66" i="6"/>
  <c r="G65" i="6"/>
  <c r="G64" i="6"/>
  <c r="G63" i="6"/>
  <c r="G62" i="6"/>
  <c r="G61" i="6"/>
  <c r="G60" i="6"/>
  <c r="G59" i="6"/>
  <c r="G58" i="6"/>
  <c r="G57" i="6"/>
  <c r="G56" i="6"/>
  <c r="G55" i="6"/>
  <c r="G54" i="6"/>
  <c r="G53" i="6"/>
  <c r="G52" i="6"/>
  <c r="G51" i="6"/>
  <c r="G50" i="6"/>
  <c r="G49" i="6"/>
  <c r="G48" i="6"/>
  <c r="G47" i="6"/>
  <c r="G46" i="6"/>
  <c r="G45" i="6"/>
  <c r="G44" i="6"/>
  <c r="G43" i="6"/>
  <c r="G42" i="6"/>
  <c r="G41" i="6"/>
  <c r="G40" i="6"/>
  <c r="G39" i="6"/>
  <c r="G38" i="6"/>
  <c r="G37" i="6"/>
  <c r="G36" i="6"/>
  <c r="G35" i="6"/>
  <c r="G34" i="6"/>
  <c r="G33" i="6"/>
  <c r="G32" i="6"/>
  <c r="G31" i="6"/>
  <c r="G30" i="6"/>
  <c r="G29" i="6"/>
  <c r="G28" i="6"/>
  <c r="G27" i="6"/>
  <c r="G26" i="6"/>
  <c r="G25" i="6"/>
  <c r="G24" i="6"/>
  <c r="G23" i="6"/>
  <c r="G22" i="6"/>
  <c r="G21" i="6"/>
  <c r="G20" i="6"/>
  <c r="G19" i="6"/>
  <c r="G18" i="6"/>
  <c r="G17" i="6"/>
  <c r="G16" i="6"/>
  <c r="G15" i="6"/>
  <c r="G14" i="6"/>
  <c r="G13" i="6"/>
  <c r="G12" i="6"/>
  <c r="H80" i="5"/>
  <c r="H70" i="5"/>
  <c r="H60" i="5"/>
  <c r="H50" i="5"/>
  <c r="H40" i="5"/>
  <c r="G23" i="5"/>
  <c r="G12" i="5"/>
  <c r="G79" i="5"/>
  <c r="G78" i="5"/>
  <c r="G77" i="5"/>
  <c r="G76" i="5"/>
  <c r="G75" i="5"/>
  <c r="G74" i="5"/>
  <c r="G73" i="5"/>
  <c r="G72" i="5"/>
  <c r="G69" i="5"/>
  <c r="G68" i="5"/>
  <c r="G67" i="5"/>
  <c r="G66" i="5"/>
  <c r="G65" i="5"/>
  <c r="G64" i="5"/>
  <c r="G63" i="5"/>
  <c r="G62" i="5"/>
  <c r="G59" i="5"/>
  <c r="G58" i="5"/>
  <c r="G57" i="5"/>
  <c r="G56" i="5"/>
  <c r="G55" i="5"/>
  <c r="G54" i="5"/>
  <c r="G53" i="5"/>
  <c r="G52" i="5"/>
  <c r="G49" i="5"/>
  <c r="G48" i="5"/>
  <c r="G47" i="5"/>
  <c r="G46" i="5"/>
  <c r="G45" i="5"/>
  <c r="G44" i="5"/>
  <c r="G43" i="5"/>
  <c r="G42" i="5"/>
  <c r="G39" i="5"/>
  <c r="G38" i="5"/>
  <c r="G37" i="5"/>
  <c r="G36" i="5"/>
  <c r="G35" i="5"/>
  <c r="G34" i="5"/>
  <c r="G33" i="5"/>
  <c r="G32" i="5"/>
  <c r="G29" i="5"/>
  <c r="G28" i="5"/>
  <c r="G27" i="5"/>
  <c r="G26" i="5"/>
  <c r="G25" i="5"/>
  <c r="G24" i="5"/>
  <c r="G30" i="5" s="1"/>
  <c r="H20" i="5"/>
  <c r="G13" i="5"/>
  <c r="G14" i="5"/>
  <c r="G15" i="5"/>
  <c r="G16" i="5"/>
  <c r="G17" i="5"/>
  <c r="G18" i="5"/>
  <c r="G19" i="5"/>
  <c r="G50" i="5" l="1"/>
  <c r="G40" i="5"/>
  <c r="G70" i="5"/>
  <c r="G81" i="5" s="1"/>
  <c r="G228" i="5" s="1"/>
  <c r="G284" i="5" s="1"/>
  <c r="G80" i="5"/>
  <c r="G60" i="5"/>
  <c r="G20" i="5"/>
  <c r="H81" i="5"/>
  <c r="H228" i="5" s="1"/>
  <c r="H284" i="5" s="1"/>
  <c r="B27" i="4"/>
  <c r="B16" i="4"/>
  <c r="B15" i="4"/>
  <c r="B14" i="4"/>
  <c r="B13" i="4"/>
  <c r="B12" i="4"/>
  <c r="B11" i="4" l="1"/>
  <c r="B17" i="4" s="1"/>
  <c r="G11" i="6" l="1"/>
  <c r="B22" i="4" l="1"/>
  <c r="B28" i="4" s="1"/>
  <c r="B37" i="4"/>
  <c r="B36" i="4"/>
  <c r="B35" i="4" l="1"/>
  <c r="B34" i="4" l="1"/>
  <c r="B33" i="4" l="1"/>
  <c r="B38" i="4" l="1"/>
  <c r="B39" i="4" s="1"/>
</calcChain>
</file>

<file path=xl/sharedStrings.xml><?xml version="1.0" encoding="utf-8"?>
<sst xmlns="http://schemas.openxmlformats.org/spreadsheetml/2006/main" count="9615" uniqueCount="3658">
  <si>
    <t>Attachment J-0200000-10</t>
  </si>
  <si>
    <t>Exhibit Line Item Numbers</t>
  </si>
  <si>
    <r>
      <rPr>
        <b/>
        <sz val="10"/>
        <color theme="1"/>
        <rFont val="Calibri"/>
        <scheme val="minor"/>
      </rPr>
      <t>Solicitation/Contract No.: N40080-25-R-4580</t>
    </r>
  </si>
  <si>
    <t>Regional Grounds and Pavement Clearance</t>
  </si>
  <si>
    <t>ELIN SUMMARY TABLE</t>
  </si>
  <si>
    <t>Summary - Recurring Work</t>
  </si>
  <si>
    <t>Period of Performance</t>
  </si>
  <si>
    <t>Total Price</t>
  </si>
  <si>
    <t>Base Period</t>
  </si>
  <si>
    <t>Option Period 1</t>
  </si>
  <si>
    <t>Option Period 2</t>
  </si>
  <si>
    <t>Option Period 3</t>
  </si>
  <si>
    <t>Option Period 4</t>
  </si>
  <si>
    <t>6 Month Option</t>
  </si>
  <si>
    <t xml:space="preserve"> </t>
  </si>
  <si>
    <t>Total:</t>
  </si>
  <si>
    <t>Summary - Non-recurring Work</t>
  </si>
  <si>
    <t>Summary - Recurring and Non-recurring Work</t>
  </si>
  <si>
    <t>Line Item 0001 - Recurring Work - Base Period</t>
  </si>
  <si>
    <t>Provide Prices for Recurring Work in accordance with Section C, Spec Item 3</t>
  </si>
  <si>
    <t>ELIN/Sub-ELINs A100 through A700</t>
  </si>
  <si>
    <t>ELIN/
Sub-ELIN</t>
  </si>
  <si>
    <t xml:space="preserve">Annex/Sub-annex
</t>
  </si>
  <si>
    <t>Spec Item</t>
  </si>
  <si>
    <t>Description</t>
  </si>
  <si>
    <t>Quantity</t>
  </si>
  <si>
    <t>Unit of Measure</t>
  </si>
  <si>
    <t>Unit Price</t>
  </si>
  <si>
    <t>1503050- Grounds Maintenance</t>
  </si>
  <si>
    <t>A100</t>
  </si>
  <si>
    <t>PWD Washingtion</t>
  </si>
  <si>
    <t>A101</t>
  </si>
  <si>
    <t>Washington Navy Yard (WNY)(Region Funded)- Grounds Maintennace</t>
  </si>
  <si>
    <t>A101 AA</t>
  </si>
  <si>
    <t>MO</t>
  </si>
  <si>
    <t>A101 AB</t>
  </si>
  <si>
    <t>WNY- Improved Grounds (Standard Lawn)- Reserved</t>
  </si>
  <si>
    <t>A101 AC</t>
  </si>
  <si>
    <t>WNY- Improved Grounds (Standard Field)- Reserved</t>
  </si>
  <si>
    <t>A101 AD</t>
  </si>
  <si>
    <t>WNY- Operational Areas- Reserved</t>
  </si>
  <si>
    <t>A101 AE</t>
  </si>
  <si>
    <t>A101 AF</t>
  </si>
  <si>
    <t>A101 AG</t>
  </si>
  <si>
    <t>WNY- Destructive Weather-Reserved</t>
  </si>
  <si>
    <t>A101 AH</t>
  </si>
  <si>
    <t>WNY- Interior Plant Maintenance-Reserved</t>
  </si>
  <si>
    <t>Washington Navy Yard (WNY)(Regiona Funded) (A101) Subtotal</t>
  </si>
  <si>
    <t>A102</t>
  </si>
  <si>
    <t>Arlington Service Center (ASC)(Region Funded)- Grounds Maintenance</t>
  </si>
  <si>
    <t>A102 AA</t>
  </si>
  <si>
    <t>ASC- Improved Grounds (Prestige)- Reserved</t>
  </si>
  <si>
    <t>A102 AB</t>
  </si>
  <si>
    <t>A102 AC</t>
  </si>
  <si>
    <t>A102 AD</t>
  </si>
  <si>
    <t>ASC- Operational Areas- Reserved</t>
  </si>
  <si>
    <t>A102 AE</t>
  </si>
  <si>
    <t>ASC- Storm Drain Systems- Reserved</t>
  </si>
  <si>
    <t>A102 AF</t>
  </si>
  <si>
    <t>A102 AG</t>
  </si>
  <si>
    <t>ASC- Destructive Weather- Reserved</t>
  </si>
  <si>
    <t>A102 AH</t>
  </si>
  <si>
    <t>ASC- Interior Plant Maintenance-Reserved</t>
  </si>
  <si>
    <t xml:space="preserve"> Arlington (ASC)(Region Funded) (A102) Subtotal</t>
  </si>
  <si>
    <t>A103</t>
  </si>
  <si>
    <t>Naval Observatory (USNO) (Region Funded)-  Grounds Maintenance</t>
  </si>
  <si>
    <t>A103 AA</t>
  </si>
  <si>
    <t>USNO- Improved Grounds (Prestige)- Reserved</t>
  </si>
  <si>
    <t>A103 AB</t>
  </si>
  <si>
    <t>A103 AC</t>
  </si>
  <si>
    <t>USNO- Improved Grounds (Standard Field)- Reserved</t>
  </si>
  <si>
    <t>A103 AD</t>
  </si>
  <si>
    <t>USNO- Operational Areas- Reserved</t>
  </si>
  <si>
    <t>A103 AE</t>
  </si>
  <si>
    <t>USNO- Storm Drain Systems-Reserved</t>
  </si>
  <si>
    <t>A103 AF</t>
  </si>
  <si>
    <t>A103 AG</t>
  </si>
  <si>
    <t>USNO- Destructive Weather-Reserved</t>
  </si>
  <si>
    <t>A103 AH</t>
  </si>
  <si>
    <t>USNO- Interior Plant Maintenance- Reserved</t>
  </si>
  <si>
    <t>Naval Observatory (USNO) (Region Funded) (A103) Subtotal</t>
  </si>
  <si>
    <t>A104</t>
  </si>
  <si>
    <t>VPR (Quarters A) (Region Funded)- Grounds Maintenance</t>
  </si>
  <si>
    <t>A104 AA</t>
  </si>
  <si>
    <t>VPR (Quarters A)- Improved Grounds (Prestige)</t>
  </si>
  <si>
    <t>A104 AB</t>
  </si>
  <si>
    <t>VPR (Quarters A)- Improved Grounds (Standard Lawn)- Reserved</t>
  </si>
  <si>
    <t>A104 AC</t>
  </si>
  <si>
    <t>VPR (Quarters A)- Improved Grounds (Standard Field)- Reserved</t>
  </si>
  <si>
    <t>A104 AD</t>
  </si>
  <si>
    <t>VPR (Quarters A)- Operational Areas- Reserved</t>
  </si>
  <si>
    <t>A104 AE</t>
  </si>
  <si>
    <t>VPR (Quarters A)- Storm Drain Systems- Reserved</t>
  </si>
  <si>
    <t>A104 AF</t>
  </si>
  <si>
    <t>VPR (Quarters A)- Debris Removal- Reserved</t>
  </si>
  <si>
    <t>A104 AG</t>
  </si>
  <si>
    <t>VPR (Quarters A)- Destructive Weather- Reserved</t>
  </si>
  <si>
    <t>A104 AH</t>
  </si>
  <si>
    <t>VPR (Quarters A)- Interior Plant Maintenance- Reserved</t>
  </si>
  <si>
    <t>VPR (Quarters A) (Region Funded) (A104) Subtotal</t>
  </si>
  <si>
    <t>A105</t>
  </si>
  <si>
    <t>Naval Research Lab (NRL)-  Grounds Maintenance</t>
  </si>
  <si>
    <t>A105 AA</t>
  </si>
  <si>
    <t>A105 AB</t>
  </si>
  <si>
    <t>A105 AC</t>
  </si>
  <si>
    <t>NRL- Improved Grounds (Standard Field)- Reserved</t>
  </si>
  <si>
    <t>A105 AD</t>
  </si>
  <si>
    <t>A105 AE</t>
  </si>
  <si>
    <t>NRL- Storm Drain Systems- Reserved</t>
  </si>
  <si>
    <t>A105 AF</t>
  </si>
  <si>
    <t>A105 AG</t>
  </si>
  <si>
    <t>NRL- Destructive Weather- Reserved</t>
  </si>
  <si>
    <t>A105 AH</t>
  </si>
  <si>
    <t>NRL- Interior Plant Maintenance- Reserved</t>
  </si>
  <si>
    <t>Naval Research Lab (NRL) (A105) Subtotal</t>
  </si>
  <si>
    <t>A106</t>
  </si>
  <si>
    <t>NSWC Carderock- Grounds Maintenance</t>
  </si>
  <si>
    <t>A106 AA</t>
  </si>
  <si>
    <t>A106 AB</t>
  </si>
  <si>
    <t>A106 AC</t>
  </si>
  <si>
    <t>NSWC Carderock- Improved Grounds (Standard Field)- Reserved</t>
  </si>
  <si>
    <t>A106 AD</t>
  </si>
  <si>
    <t>A106 AE</t>
  </si>
  <si>
    <t>A106 AF</t>
  </si>
  <si>
    <t>A106 AG</t>
  </si>
  <si>
    <t>NSWC Carderock- Destructive Weather- Reserved</t>
  </si>
  <si>
    <t>A106 AH</t>
  </si>
  <si>
    <t>NSWC Carderock- Interior Plant Maintenance- Reserved</t>
  </si>
  <si>
    <t>NSWC Carderock (A106) Subtotal</t>
  </si>
  <si>
    <t>A107</t>
  </si>
  <si>
    <t>Marine Barracks Washington (MBW)-  Grounds Maintenance</t>
  </si>
  <si>
    <t>A107 AA</t>
  </si>
  <si>
    <t>A107 AB</t>
  </si>
  <si>
    <t>MBW- Improved Grounds (Standard Lawn)- Reserved</t>
  </si>
  <si>
    <t>A107 AC</t>
  </si>
  <si>
    <t>MBW- Improved Grounds (Standard Field)- Reserved</t>
  </si>
  <si>
    <t>A107 AD</t>
  </si>
  <si>
    <t>MBW- Operational Areas- Reserved</t>
  </si>
  <si>
    <t>A107 AE</t>
  </si>
  <si>
    <t>MBW- Storm Drain Systems- Reserved</t>
  </si>
  <si>
    <t>A107 AF</t>
  </si>
  <si>
    <t>A107 AG</t>
  </si>
  <si>
    <t>MBW- Destructive Weather- Reserved</t>
  </si>
  <si>
    <t>A107 AH</t>
  </si>
  <si>
    <t>MBW- Interior Plant Maintenance- Reserved</t>
  </si>
  <si>
    <t>Marine Barracks Washington (MBW) (A107) Subtotal</t>
  </si>
  <si>
    <t>PWD Washingtion Subtotal</t>
  </si>
  <si>
    <t>A200</t>
  </si>
  <si>
    <t>B300</t>
  </si>
  <si>
    <t>A400</t>
  </si>
  <si>
    <t>A500</t>
  </si>
  <si>
    <t>A600</t>
  </si>
  <si>
    <t>PWD Quantico</t>
  </si>
  <si>
    <t>A601</t>
  </si>
  <si>
    <t>A601 AA</t>
  </si>
  <si>
    <t>MCSC- Improved Grounds (Prestige)- Reserved</t>
  </si>
  <si>
    <t>A601 AB</t>
  </si>
  <si>
    <t>A601 AC</t>
  </si>
  <si>
    <t>MCSC- Improved Grounds (Standard Field)- Reserved</t>
  </si>
  <si>
    <t>A601 AD</t>
  </si>
  <si>
    <t>MCSC- Operational Areas- Reserved</t>
  </si>
  <si>
    <t>A601 AE</t>
  </si>
  <si>
    <t>MCSC- Storm Drain Systems- Reserved</t>
  </si>
  <si>
    <t>A601 AF</t>
  </si>
  <si>
    <t>A601 AG</t>
  </si>
  <si>
    <t>MCSC- Destructive Weather- Reserved</t>
  </si>
  <si>
    <t>A601 AH</t>
  </si>
  <si>
    <t>MCSC- Interior Plant Maintenance- Reserved</t>
  </si>
  <si>
    <t>MCSC (A601) Subtotal</t>
  </si>
  <si>
    <t>A602</t>
  </si>
  <si>
    <t>A602 AA</t>
  </si>
  <si>
    <t>Manpower- Improved Grounds (Prestige)- Reserved</t>
  </si>
  <si>
    <t>A602 AB</t>
  </si>
  <si>
    <t>A602 AC</t>
  </si>
  <si>
    <t>Manpower- Improved Grounds (Standard Field)- Reserved</t>
  </si>
  <si>
    <t>A602 AD</t>
  </si>
  <si>
    <t>Manpower- Operational Areas- Reserved</t>
  </si>
  <si>
    <t>A602 AE</t>
  </si>
  <si>
    <t>Manpower- Storm Drain Systems- Reserved</t>
  </si>
  <si>
    <t>A602 AF</t>
  </si>
  <si>
    <t>A602 AG</t>
  </si>
  <si>
    <t>Manpower- Destructive Weather- Reserved</t>
  </si>
  <si>
    <t>A602 AH</t>
  </si>
  <si>
    <t>Manpower- Interior Plant Maintenance- Reserved</t>
  </si>
  <si>
    <t>Manpower (A602) Subtotal</t>
  </si>
  <si>
    <t>A603</t>
  </si>
  <si>
    <t>A603 AA</t>
  </si>
  <si>
    <t>A603 AB</t>
  </si>
  <si>
    <t>MCCOG- Improved Grounds (Standard Lawn)- Reserved</t>
  </si>
  <si>
    <t>A603 AC</t>
  </si>
  <si>
    <t>MCCOG- Improved Grounds (Standard Field)- Reserved</t>
  </si>
  <si>
    <t>A603 AD</t>
  </si>
  <si>
    <t>MCCOG- Operational Areas- Reserved</t>
  </si>
  <si>
    <t>A603 AE</t>
  </si>
  <si>
    <t>MCCOG- Storm Drain Systems- Reserved</t>
  </si>
  <si>
    <t>A603 AF</t>
  </si>
  <si>
    <t>A603 AG</t>
  </si>
  <si>
    <t>MCCOG- Destructive Weather- Reserved</t>
  </si>
  <si>
    <t>A603 AH</t>
  </si>
  <si>
    <t>MCCOG- Interior Plant Maintenance- Reserved</t>
  </si>
  <si>
    <t>MCCOG (A603) Subtotal</t>
  </si>
  <si>
    <t>A604</t>
  </si>
  <si>
    <t>A604 AA</t>
  </si>
  <si>
    <t>A604 AB</t>
  </si>
  <si>
    <t>NMCL- Improved Grounds (Standard Lawn)- Reserved</t>
  </si>
  <si>
    <t>A604 AC</t>
  </si>
  <si>
    <t>NMCL- Improved Grounds (Standard Field)- Reserved</t>
  </si>
  <si>
    <t>A604 AD</t>
  </si>
  <si>
    <t>NMCL- Operational Areas- Reserved</t>
  </si>
  <si>
    <t>A604 AE</t>
  </si>
  <si>
    <t>NMCL- Storm Drain Systems- Reserved</t>
  </si>
  <si>
    <t>A604 AF</t>
  </si>
  <si>
    <t>A604 AG</t>
  </si>
  <si>
    <t>NMCL- Destructive Weather- Reserved</t>
  </si>
  <si>
    <t>A604 AH</t>
  </si>
  <si>
    <t>NMCL- Interior Plant Maintenance- Reserved</t>
  </si>
  <si>
    <t>NMCL (A604) Subtotal</t>
  </si>
  <si>
    <t>A605</t>
  </si>
  <si>
    <t>A605 AA</t>
  </si>
  <si>
    <t>VET (DHA)- Improved Grounds (Prestige)- Reserved</t>
  </si>
  <si>
    <t>A605 AB</t>
  </si>
  <si>
    <t>A605 AC</t>
  </si>
  <si>
    <t>VET (DHA)- Improved Grounds (Standard Field)- Reserved</t>
  </si>
  <si>
    <t>A605 AD</t>
  </si>
  <si>
    <t>VET (DHA)- Operational Areas- Reserved</t>
  </si>
  <si>
    <t>A605 AE</t>
  </si>
  <si>
    <t>VET (DHA)- Storm Drain Systems- Reserved</t>
  </si>
  <si>
    <t>A605 AF</t>
  </si>
  <si>
    <t>A605 AG</t>
  </si>
  <si>
    <t>VET (DHA)- Destructive Weather- Reserved</t>
  </si>
  <si>
    <t>A605 AH</t>
  </si>
  <si>
    <t>VET (DHA)- Interior Plant Maintenance- Reserved</t>
  </si>
  <si>
    <t>VET (DHA) (A605) Subtotal</t>
  </si>
  <si>
    <t>A606</t>
  </si>
  <si>
    <t>A606 AA</t>
  </si>
  <si>
    <t>A606 AB</t>
  </si>
  <si>
    <t>MCIA- Improved Grounds (Standard Lawn)- Reserved</t>
  </si>
  <si>
    <t>A606 AC</t>
  </si>
  <si>
    <t>MCIA- Improved Grounds (Standard Field)- Reserved</t>
  </si>
  <si>
    <t>A606 AD</t>
  </si>
  <si>
    <t>MCIA- Operational Areas- Reserved</t>
  </si>
  <si>
    <t>A606 AE</t>
  </si>
  <si>
    <t>MCIA- Storm Drain Systems- Reserved</t>
  </si>
  <si>
    <t>A606 AF</t>
  </si>
  <si>
    <t>A606 AG</t>
  </si>
  <si>
    <t>MCIA- Destructive Weather- Reserved</t>
  </si>
  <si>
    <t>A606 AH</t>
  </si>
  <si>
    <t>MCIA- Interior Plant Maintenance- Reserved</t>
  </si>
  <si>
    <t>MCIA (A606) Subtotal</t>
  </si>
  <si>
    <t>A607</t>
  </si>
  <si>
    <t>A607 AA</t>
  </si>
  <si>
    <t>A607 AB</t>
  </si>
  <si>
    <t>MCCDC- Improved Grounds (Standard Lawn)- Reserved</t>
  </si>
  <si>
    <t>A607 AC</t>
  </si>
  <si>
    <t>MCCDC- Improved Grounds (Standard Field)- Reserved</t>
  </si>
  <si>
    <t>A607 AD</t>
  </si>
  <si>
    <t>MCCDC- Operational Areas- Reserved</t>
  </si>
  <si>
    <t>A607 AE</t>
  </si>
  <si>
    <t>MCCDC- Storm Drain Systems- Reserved</t>
  </si>
  <si>
    <t>A607 AF</t>
  </si>
  <si>
    <t>A607 AG</t>
  </si>
  <si>
    <t>MCCDC- Destructive Weather- Reserved</t>
  </si>
  <si>
    <t>A607 AH</t>
  </si>
  <si>
    <t>MCCDC- Interior Plant Maintenance- Reserved</t>
  </si>
  <si>
    <t>MCCDC (A607) Subtotal</t>
  </si>
  <si>
    <t>A608</t>
  </si>
  <si>
    <t>OCS - Grounds Maintenance</t>
  </si>
  <si>
    <t>A608 AA</t>
  </si>
  <si>
    <t>A608 AB</t>
  </si>
  <si>
    <t>OCS- Improved Grounds (Standard Lawn)- Reserved</t>
  </si>
  <si>
    <t>A608 AC</t>
  </si>
  <si>
    <t>OCS- Improved Grounds (Standard Field)- Reserved</t>
  </si>
  <si>
    <t>A608 AD</t>
  </si>
  <si>
    <t>OCS- Operational Areas- Reserved</t>
  </si>
  <si>
    <t>A608 AE</t>
  </si>
  <si>
    <t>OCS- Storm Drain Systems- Reserved</t>
  </si>
  <si>
    <t>A608 AF</t>
  </si>
  <si>
    <t>A608 AG</t>
  </si>
  <si>
    <t>OCS- Destructive Weather- Reserved</t>
  </si>
  <si>
    <t>A608 AH</t>
  </si>
  <si>
    <t>OCS- Interior Plant Maintenance- Reserved</t>
  </si>
  <si>
    <t>OCS (A608) Subtotal</t>
  </si>
  <si>
    <t>PWD Quantico Subtotal</t>
  </si>
  <si>
    <t>A700</t>
  </si>
  <si>
    <t>PWD Bethesda</t>
  </si>
  <si>
    <t>A701</t>
  </si>
  <si>
    <t>A701 AA</t>
  </si>
  <si>
    <t>A701 AB</t>
  </si>
  <si>
    <t>A701 AC</t>
  </si>
  <si>
    <t>NSAB- Improved Grounds (Standard Field)- Reserved</t>
  </si>
  <si>
    <t>A701 AD</t>
  </si>
  <si>
    <t>NSAB- Operational Areas- Reserved</t>
  </si>
  <si>
    <t>A701 AE</t>
  </si>
  <si>
    <t>A701 AF</t>
  </si>
  <si>
    <t>A701 AG</t>
  </si>
  <si>
    <t>NSAB- Destructive Weather- Reserved</t>
  </si>
  <si>
    <t>A701 AH</t>
  </si>
  <si>
    <t>NSAB- Interior Plant Maintenance- Reserved</t>
  </si>
  <si>
    <t>A702</t>
  </si>
  <si>
    <t>A702 AA</t>
  </si>
  <si>
    <t>A702 AB</t>
  </si>
  <si>
    <t>WRNMCC- Improved Grounds (Standard Lawn)- Reserved</t>
  </si>
  <si>
    <t>A702 AC</t>
  </si>
  <si>
    <t>WRNMCC- Improved Grounds (Standard Field)- Reserved</t>
  </si>
  <si>
    <t>A702 AD</t>
  </si>
  <si>
    <t>WRNMCC- Operational Areas- Reserved</t>
  </si>
  <si>
    <t>A702 AE</t>
  </si>
  <si>
    <t>A702 AF</t>
  </si>
  <si>
    <t>A702 AG</t>
  </si>
  <si>
    <t>WRNMCC- Destructive Weather- Reserved</t>
  </si>
  <si>
    <t>A702 AH</t>
  </si>
  <si>
    <t>WRNMCC (A702) Subtotal</t>
  </si>
  <si>
    <t>A703</t>
  </si>
  <si>
    <t>A703 AA</t>
  </si>
  <si>
    <t>A703 AB</t>
  </si>
  <si>
    <t>AFRI/USSHS- Improved Grounds (Standard Lawn)- Reserved</t>
  </si>
  <si>
    <t>A703 AC</t>
  </si>
  <si>
    <t>AFRI/USSHS- Improved Grounds (Standard Field)- Reserved</t>
  </si>
  <si>
    <t>A703 AD</t>
  </si>
  <si>
    <t>AFRI/USSHS- Operational Areas- Reserved</t>
  </si>
  <si>
    <t>A703 AE</t>
  </si>
  <si>
    <t>AFRI/USSHS- Storm Drain Systems- Reserved</t>
  </si>
  <si>
    <t>A703 AF</t>
  </si>
  <si>
    <t>A703 AG</t>
  </si>
  <si>
    <t>AFRI/USSHS- Destructive Weather- Reserved</t>
  </si>
  <si>
    <t>A703 AH</t>
  </si>
  <si>
    <t>AFRI/USSHS) (A703) Subtotal</t>
  </si>
  <si>
    <t>A704</t>
  </si>
  <si>
    <t>A704 AA</t>
  </si>
  <si>
    <t>A704 AB</t>
  </si>
  <si>
    <t>Dalecarlia- Improved Grounds (Standard Lawn)- Reserved</t>
  </si>
  <si>
    <t>A704 AC</t>
  </si>
  <si>
    <t>Dalecarlia- Improved Grounds (Standard Field)- Reserved</t>
  </si>
  <si>
    <t>A704 AD</t>
  </si>
  <si>
    <t>Dalecarlia- Operational Areas- Reserved</t>
  </si>
  <si>
    <t>A704 AE</t>
  </si>
  <si>
    <t>Dalecarlia- Storm Drain Systems- Reserved</t>
  </si>
  <si>
    <t>A704 AF</t>
  </si>
  <si>
    <t>A704 AG</t>
  </si>
  <si>
    <t>Dalecarlia- Destructive Weather- Reserved</t>
  </si>
  <si>
    <t>A704 AH</t>
  </si>
  <si>
    <t>Dalecarlia- Interior Plant Maintenance- Reserved</t>
  </si>
  <si>
    <t>Dalecarlia (20% Regon /80% WRNMMC Funded) (A704) Subtotal</t>
  </si>
  <si>
    <t>PWD Bethesda Subtotal</t>
  </si>
  <si>
    <t>A110</t>
  </si>
  <si>
    <t>A110 AA</t>
  </si>
  <si>
    <t>WNY- Pavement Sweeping Services</t>
  </si>
  <si>
    <t>A110 AB</t>
  </si>
  <si>
    <t>WNY- Snow and Ice Removal Services</t>
  </si>
  <si>
    <t>Washington Navy Yard (WNY) (A110) Subtotal</t>
  </si>
  <si>
    <t>A111</t>
  </si>
  <si>
    <t>A111 AA</t>
  </si>
  <si>
    <t>ASC- Pavement Sweeping Services</t>
  </si>
  <si>
    <t>A111 AB</t>
  </si>
  <si>
    <t>ASC- Snow and Ice Removal Services</t>
  </si>
  <si>
    <t xml:space="preserve"> Arlington (ASC) (A111) Subtotal</t>
  </si>
  <si>
    <t>A112</t>
  </si>
  <si>
    <t>A112 AA</t>
  </si>
  <si>
    <t>A112 AB</t>
  </si>
  <si>
    <t>Naval Observatory (USNO) (Region Funded) (A112) Subtotal</t>
  </si>
  <si>
    <t>A113</t>
  </si>
  <si>
    <t>A113 AA</t>
  </si>
  <si>
    <t>A113 AB</t>
  </si>
  <si>
    <t>VPR (Quarters A)- Snow and Ice Removal Services</t>
  </si>
  <si>
    <t>VPR (Quarters A) (Region Funded) (A113) Subtotal</t>
  </si>
  <si>
    <t>A114</t>
  </si>
  <si>
    <t>A115</t>
  </si>
  <si>
    <t>A115 AA</t>
  </si>
  <si>
    <t>NSWC Carderock- Pavement Sweeping Services</t>
  </si>
  <si>
    <t>A115 AB</t>
  </si>
  <si>
    <t>NSWC Carderock- Snow and Ice Removal Services</t>
  </si>
  <si>
    <t>NSWC Carderock (A115) Subtotal</t>
  </si>
  <si>
    <t>A116</t>
  </si>
  <si>
    <t>A116 AA</t>
  </si>
  <si>
    <t>NSF Carderock (Region Funded)- Pavement Sweeping Services</t>
  </si>
  <si>
    <t>A116 AB</t>
  </si>
  <si>
    <t>NSF Carderock (Region Funded) (A116) Subtotal</t>
  </si>
  <si>
    <t>A117</t>
  </si>
  <si>
    <t>A300</t>
  </si>
  <si>
    <t>A710</t>
  </si>
  <si>
    <t>A710 AA</t>
  </si>
  <si>
    <t>A710 AB</t>
  </si>
  <si>
    <t>NSAB- Snow and Ice Removal Services</t>
  </si>
  <si>
    <t>A711</t>
  </si>
  <si>
    <t>A711 AA</t>
  </si>
  <si>
    <t>WRNMCC- Pavement Sweeping Services</t>
  </si>
  <si>
    <t>A711 AB</t>
  </si>
  <si>
    <t>WRNMCC (A711) Subtotal</t>
  </si>
  <si>
    <t>A712</t>
  </si>
  <si>
    <t>A712 AA</t>
  </si>
  <si>
    <t>AFRI/USSHS- Pavement Sweeping Services</t>
  </si>
  <si>
    <t>A712 AB</t>
  </si>
  <si>
    <t>AFRI/USSHS) (A712) Subtotal</t>
  </si>
  <si>
    <t>A713</t>
  </si>
  <si>
    <t>A713 AA</t>
  </si>
  <si>
    <t>Dalecarlia- Pavement Sweeping Services</t>
  </si>
  <si>
    <t>A713 AB</t>
  </si>
  <si>
    <t>Dalecarlia (20% Regon /80% WRNMMC Funded) (A713) Subtotal</t>
  </si>
  <si>
    <t>Solicitation/Contract No.: N40080-25-R-4580</t>
  </si>
  <si>
    <t>Line Item 0002 - Non-Recurring Work - Base Period</t>
  </si>
  <si>
    <t>Provide Prices for Recurring Work in accordance with Section C, Spec Item 4</t>
  </si>
  <si>
    <t>ELIN A900 through A1026</t>
  </si>
  <si>
    <t>ELIN</t>
  </si>
  <si>
    <t>Product Name (120 Characters)</t>
  </si>
  <si>
    <t>Description Extended</t>
  </si>
  <si>
    <t>Estimated Quantity</t>
  </si>
  <si>
    <t>Unit of Issue</t>
  </si>
  <si>
    <t>A900</t>
  </si>
  <si>
    <t>Underbrushing</t>
  </si>
  <si>
    <t xml:space="preserve">All brush, weeds, and small trees (3 inches and below in diameter at ground level) shall be cut back to within 1 inch of ground level.  Work shall be completed within 10 calendar days. </t>
  </si>
  <si>
    <t>SY</t>
  </si>
  <si>
    <t>A901</t>
  </si>
  <si>
    <t>Field Mowing</t>
  </si>
  <si>
    <t xml:space="preserve">Vegetation shall be mowed in accordance with J-1503050-04.  All debris shall be removed upon completion of mowing.  Work shall be completed within 20 calendar days. </t>
  </si>
  <si>
    <t>AC</t>
  </si>
  <si>
    <t>A902</t>
  </si>
  <si>
    <t>Special Event Grass Cutting</t>
  </si>
  <si>
    <t xml:space="preserve">Grass shall be mowed and trimmed to a uniform height.  Clippings and debris shall be removed.    Complete all work within 3 calendar days.  </t>
  </si>
  <si>
    <t>A903</t>
  </si>
  <si>
    <t>Special Event Edging</t>
  </si>
  <si>
    <t xml:space="preserve">Edging to provide a uniform edged cut.  All clippings shall be removed.  Complete all work within 3 calendar days.  </t>
  </si>
  <si>
    <t>LF</t>
  </si>
  <si>
    <t>A904</t>
  </si>
  <si>
    <t>Special Event Raking</t>
  </si>
  <si>
    <t>Rake and remove leaves, pine straw and pinecones, limbs, and other debris from the specified area.  All debris shall be removed the same day as raked.  Work to be completed in 5 calendar days.</t>
  </si>
  <si>
    <t>A905</t>
  </si>
  <si>
    <t>Large Tree and Stump Removal</t>
  </si>
  <si>
    <t>Remove trees above 18 inches in diameter measured at 4.5 feet above ground level.  Remove  stumps  to 12 inches below ground level and remove roots to 4 inches below level ground extending to six feet from tree.  Treat to prevent regrowth.  Backfill all excavated holes and replant with the same type of vegetation as surrounding area. Work shall be completed within 10 calendar days.</t>
  </si>
  <si>
    <t>EA</t>
  </si>
  <si>
    <t>A906</t>
  </si>
  <si>
    <t>Medium Tree and Stump Removal</t>
  </si>
  <si>
    <t xml:space="preserve"> Remove trees 6 to 18 inches in diameter measured at 4.5 feet above ground level.  Remove  stumps  to 12 inches below ground level and remove roots to 4 inches below level ground extending to six feet from tree.  Treat to prevent regrowth.  Backfill all excavated holes and replant with the same type of vegetation as surrounding area. Work shall be completed within 7 calendar days.</t>
  </si>
  <si>
    <t>A907</t>
  </si>
  <si>
    <t>Small Tree and Stump Removal</t>
  </si>
  <si>
    <t>Remove trees 6 to 18 inches in diameter measured at 4.5 feet above ground level.  Remove  stumps  to 12 inches below ground level and remove roots to 4 inches below level ground extending to six feet from tree.  Treat to prevent regrowth.  Backfill all excavated holes and replant with the same type of vegetation as surrounding area. Work shall be completed within 7 calendar days.</t>
  </si>
  <si>
    <t>A908</t>
  </si>
  <si>
    <t>Large Shrub and Stump Removal</t>
  </si>
  <si>
    <t xml:space="preserve">Remove shrubs above 15-gallon and/or above 48 inches high.  Remove stumps to 6 inches below ground level and remove all exposed roots.  Treat to prevent regrowth.  Backfill all excavated holes and replant with the same type of vegetation as surrounding area.  </t>
  </si>
  <si>
    <t>A909</t>
  </si>
  <si>
    <t>Medium Shrub and Stump Removal</t>
  </si>
  <si>
    <t xml:space="preserve">Remove shrubs between 5 and 15-gallon and/or between 18 and 48 inches high.  Remove stumps to 6 inches below ground level and remove all exposed roots.  Treat to prevent regrowth.  Backfill all excavated holes and replant with the same type of vegetation as surrounding area.  Shrubs are sized based on the standard growing plant container capacity and plant height above ground level. Work shall be </t>
  </si>
  <si>
    <t>A910</t>
  </si>
  <si>
    <t>Small Shrub and Stump Removal</t>
  </si>
  <si>
    <t xml:space="preserve">Remove shrubs up to 5-gallon and/or up to 18 inches high.  Remove stumps to 6 inches below ground level and remove all exposed roots.  Treat to prevent regrowth.  Backfill all excavated holes and replant with the same type of vegetation as surrounding area.  Shrubs are sized based on the standard growing plant container capacity and plant height above ground level. Work shall be completed within 3 calendar days. </t>
  </si>
  <si>
    <t>A911</t>
  </si>
  <si>
    <t>Large Tree Pruning</t>
  </si>
  <si>
    <t xml:space="preserve">Prune trees above 15 feet high according to their natural growth characteristics leaving them well shaped and balanced, and to promote proper health and growth.  Retain typical growth habit of individual plant with as much height and spread as is practical.  Pruning shall be accomplished by or under the guidance of a certified Arborist. Work shall be completed within 1 calendar day. </t>
  </si>
  <si>
    <t>A912</t>
  </si>
  <si>
    <t>Small Tree Pruning</t>
  </si>
  <si>
    <t xml:space="preserve">Prune trees less than 15 feet high according to their natural growth characteristics leaving them well shaped and balanced, and to promote proper health and growth.  Retain typical growth habit of individual plant with as much height and spread as is practical.  Pruning shall be accomplished by or under the guidance of a certified Arborist. Work shall be completed within 1 calendar day. </t>
  </si>
  <si>
    <t>A913</t>
  </si>
  <si>
    <t>Soil Analysis</t>
  </si>
  <si>
    <t xml:space="preserve">Perform soil analysis and provide a written report and recommendations of the results within 5 calendar days.  Seven to ten soil samples from various locations, blended or combined for each analysis, are required.  The Contractor shall repair any damages to grounds caused by analysis operations. </t>
  </si>
  <si>
    <t>A914</t>
  </si>
  <si>
    <t>Grassing</t>
  </si>
  <si>
    <t xml:space="preserve">Areas shall be filled with topsoil to a minimum depth of 2 inches, raked, uniformly fertilized, seeded, and watered to establish a healthy grassed covering.  If existing topsoil is sufficient in depth, scarify prior to application of fertilizer and seed.  Newly seeded areas shall be covered with straw mulch, then watered.  Matting or other suitable erosion control material shall be placed in steep terrain areas and along natural and man-made drainage ways.  Establishment shall include watering and providing other continuing care as necessary to firmly establish new grass growth and ensure proper development.  Grassed areas that die or fail to develop noticeable growth for a period of one year after seeding shall be re-grassed by the Contractor at no additional cost to the Government.  Seed species shall be identified in the task order. Work shall be completed within 10 calendar days. </t>
  </si>
  <si>
    <t>A915</t>
  </si>
  <si>
    <t>Tree Planting</t>
  </si>
  <si>
    <t xml:space="preserve">This line item is for time and labor to plant a tree.  Plant materials shall be ordered on a separate task order.  Planting procedures shall be in accordance with accepted nursery standards.  The Contractor shall water and provide continuing care to ensure new plants develop properly.  Trees shall be planted in accordance with accepted horticultural standards, including fertilization, mulching, and watering.  Trees shall be guyed and staked in at least three directions.  Tree species shall be specified in the task order.  All plants that die or fail to develop noticeable growth within one year of planting shall be replaced by the Contractor with plants of like size and type, at no additional cost to the Government. Work shall be completed within 5 calendar days. </t>
  </si>
  <si>
    <t>A916</t>
  </si>
  <si>
    <t>Small Shrub Planting</t>
  </si>
  <si>
    <t>A917</t>
  </si>
  <si>
    <t>Large Shrub Planting</t>
  </si>
  <si>
    <t xml:space="preserve">This line item is for time and labor to plant a large shrub.  Plant materials will be ordered on a separate task order.  Planting procedures shall be in accordance with accepted nursery standards.  The Contractor shall water and provide continuing care to ensure new plants develop properly.  Shrubs established shall be of the 5-gallon size.  Shrubs shall be planted in accordance with accepted horticultural standards, including fertilization, mulching, and watering. Shrub species shall be specified in the task order. All plants that die or fail to develop noticeable growth within 90 days of planting shall be replaced by the Contractor with plants of like size and type, at no additional cost to the Government. Work shall be completed within 5 calendar days. </t>
  </si>
  <si>
    <t>A918</t>
  </si>
  <si>
    <t>Bedding / Ornamental Plants</t>
  </si>
  <si>
    <t>All plants shall be nursery grown and bear certification indicating species, common name, and grade.  Plants shall be 4 inch pot size, healthy, living specimens considered number one grade stock.  Planting procedures shall be in accordance with accepted nursery standards.  The Contractor shall water and provide continuing care to ensure new plants develop properly.  Annuals/perennials shall be planted in accordance with accepted horticultural standards, including fertilization, mulching, and watering.  Annuals / perennials species shall be specified in the task order.  All plants that die or fail to develop noticeable growth within 90 days of planting shall be replaced by the Contractor with plants of like size and type, at no additional cost to the Government.  Work shall be completed within 5 calendar days.</t>
  </si>
  <si>
    <t>A919</t>
  </si>
  <si>
    <t>Sodding</t>
  </si>
  <si>
    <t xml:space="preserve">Sod shall be of species specified on task order.  It shall be dense, uniform, weed free, and have good sod strength and minimum thatch.  Sod shall be laid on properly prepared topsoil.  Sod joints shall be staggered and butted together.  On slopes, the sod blocks shall be installed in a manner that prevents slippage.  Completed installation shall be smooth and uniform in appearance.  The Contractor shall water and provide continuing care for sodded areas as necessary to firmly establish new grass growth and development.  The Contactor shall replace all grass that dies or fails to develop noticeable growth within 90 days of sodding at no additional cost to the Government.  Work shall be completed within 20 calendar days. </t>
  </si>
  <si>
    <t>A920</t>
  </si>
  <si>
    <t>Sprigging</t>
  </si>
  <si>
    <t xml:space="preserve">Sprigs shall be fresh, healthy, living stems (stolons or rhizomes with 50 percent or more of the stems being rhizomes) and attached roots.  Sprig root species shall be specified in the task order.  Sprigs shall be obtained from approved sources and shall be free of material that might be detrimental to the development of the turf.  Distribution shall be sufficiently uniform to ensure the appropriate spacing of sprigs, but not to exceed 12 inches.  The Contactor shall replace all grass that dies or fails to develop noticeable growth within 90 days of sprigging at no additional cost to the Government.  Work shall be completed within 20 calendar days. </t>
  </si>
  <si>
    <t>A921</t>
  </si>
  <si>
    <t>Fertilize Lawns and Grassed Areas</t>
  </si>
  <si>
    <t>Vegetation shall be fertilized in a manner that promotes health, growth, color, and appearance.  Fertilizer shall be applied in accordance with the manufacturer's printed instructions.  Organic fertilizer shall be used as the standard.  The Contractor shall comply with the Integrated Pest Management Plan (IPMP).  Work shall be completed within 10 calendar days.</t>
  </si>
  <si>
    <t>A922</t>
  </si>
  <si>
    <t>Fertilize Trees</t>
  </si>
  <si>
    <t>Trees shall be fertilized in a manner that promotes health, growth, color, and appearance.  Fertilizer shall be applied in accordance with the manufacturer's printed instructions.  Organic fertilizer shall be used as the standard.  The Contractor shall comply with the Integrated Pest Management Plan (IPMP).  Work shall be completed within 10 calendar days.</t>
  </si>
  <si>
    <t>A923</t>
  </si>
  <si>
    <t>Fertilize Planting Beds</t>
  </si>
  <si>
    <t>Planting beds shall be fertilized in a manner that promotes health, growth, color, and appearance.  Fertilizer shall be applied in accordance with the manufacturer's printed instructions.  Organic fertilizer shall be used as the standard.  The Contractor shall comply with the Integrated Pest Management Plan (IPMP).  Work shall be completed within 10 calendar days.</t>
  </si>
  <si>
    <t>A924</t>
  </si>
  <si>
    <t>Fertilize Shrubs</t>
  </si>
  <si>
    <t>A925</t>
  </si>
  <si>
    <t>Dethatch and Aerate</t>
  </si>
  <si>
    <t>Services shall be performed to ensure the health, growth, and appearance of lawns.  Dethatched areas shall be overseeded to provide a healthy appearance.   Work shall be completed within 14 calendar days.</t>
  </si>
  <si>
    <t>A926</t>
  </si>
  <si>
    <t>Aerate</t>
  </si>
  <si>
    <t xml:space="preserve">Grass shall be aerated to promote health and growth. Work shall be completed within 10 calendar days. </t>
  </si>
  <si>
    <t>A927</t>
  </si>
  <si>
    <t>Shrub Pruning</t>
  </si>
  <si>
    <t xml:space="preserve">The Contractor shall prune stand-alone shrubs and hedges according to their natural growth characteristics leaving them well shaped and balanced, and to promote proper health and growth.  Retain typical growth habit of individual plant with as much height and spread as is practical.  Pruning shall be accomplished by or under the guidance of a certified Arborist. Work shall be completed within 3 calendar days. </t>
  </si>
  <si>
    <t>A928</t>
  </si>
  <si>
    <t>Hedge Pruning</t>
  </si>
  <si>
    <t xml:space="preserve">The Contractor shall prune continuous hedges according to their natural growth characteristics leaving them well shaped and balanced, and to promote proper health and growth.  Retain typical growth habit of individual plant with as much height and spread as is practical.  Pruning shall be accomplished by or under the guidance of a certified Arborist. Work shall be completed within 3 calendar days. </t>
  </si>
  <si>
    <t>A929</t>
  </si>
  <si>
    <t>Erosion Control</t>
  </si>
  <si>
    <t xml:space="preserve">Soil erosion damage shall be repaired by filling in washed out/bare areas with soil matching the surrounding area and ground elevation (after compacting).  The area shall be raked, fertilized, seeded, covered with straw, matting, or other material suitable to correct the effects of erosion.  Areas shall be cared for until vegetation is firmly established.  Erosion Control shall be completed within 10 calendar days. </t>
  </si>
  <si>
    <t>CY</t>
  </si>
  <si>
    <t>A930</t>
  </si>
  <si>
    <t>Control Undesired Vegetation</t>
  </si>
  <si>
    <t xml:space="preserve">Remove weeds and other undesirable vegetation using manual methods.. Work shall be completed within 10 calendar days. </t>
  </si>
  <si>
    <t>A931</t>
  </si>
  <si>
    <t>Debris Removal</t>
  </si>
  <si>
    <t>Remove and properly dispose of natural debris (tree limbs, leaves, dry brush, rodent habitats, dead animals, etc.), and stray man-made trash/debris. Work shall be completed within 10 calendar days.</t>
  </si>
  <si>
    <t>A932</t>
  </si>
  <si>
    <t>Mulching</t>
  </si>
  <si>
    <t>Remove the existing mulch, removing weeds, dead shrubbery and other debris from the area to be mulched. The Contractor shall install a breathable mesh fabric over the entire area to be mulched. Low areas that retain water throughout the flowerbed shall be leveled and graded, using screened topsoil. The Contractor shall provide shredded hardwood mulch to a minimum depth of three inches (3”), ensuring the underside of all plantings and shrubs have a protective barrier against frost and diseases and to stimulate plant growth. Work shall be completed within 10 calendar days.</t>
  </si>
  <si>
    <t>A933</t>
  </si>
  <si>
    <t>Cutting of Grass Covered Magazines</t>
  </si>
  <si>
    <t>Vegetation shall be mowed to a height of 6". All debris shall be removed prior to mowing and disposed off the installation upon completion of mowing. Only walk-behind mowers and hand-held equipment shall be used. All equipment shall be non-sparking. Work shall be completed within 20 calendar days.</t>
  </si>
  <si>
    <t>A934</t>
  </si>
  <si>
    <t>Emergency and Special Event Services</t>
  </si>
  <si>
    <t>Upon notification the contractor shall perform emergency or special event grounds maintenance and landscape services as required. These services may be required to be performed outside of normal duty hours.  Upon notification of an emergency, the contract manager shall respond within one (1) hour to meet with government quality assurance personnel to receive emergency service requirements.  Upon receiving notification, the contractor shall begin emergency work within two hours. Special event services may consist of the same items as the basic Firm Fixed Price (FFP) services within the contract.   The contractor will be notified as soon as a special event requirement is known.  This consists of, but is not limited to, unannounced visits, distinguished visitors, VIPs and other events that will cause numerous schedule changes and alterations for performances on the ceremonial areas.</t>
  </si>
  <si>
    <t>HR</t>
  </si>
  <si>
    <t>A935</t>
  </si>
  <si>
    <t>Cut / Bush Hog FIFTEEN (15) foot Utility Line Right of Ways</t>
  </si>
  <si>
    <t>All trees, shrubs, brush, undergrowth, vines, and other vegetation shall be bush hogged or cleared by other means a minimum of seven and one half (7.5) feet each side and all the way up, from ground to sky, (growing within right of way) of centerline of utility poles except as specified otherwise by the Contracting Officer.  The Contractor is responsible for all expenses incurred from collection and disposal of debris and shall dispose of all debris off Government property.</t>
  </si>
  <si>
    <t>A936</t>
  </si>
  <si>
    <t>Cut / Bush Hog Thirty (30) foot Utility Line Right of Way</t>
  </si>
  <si>
    <t>All trees, shrubs, brush, undergrowth, vines, and other vegetation shall be bush hogged or cleared by other means a minimum of fifteen (15) feet each side and all the way up, from ground to sky, (growing within right of way) of centerline of utility poles except as specified otherwise by the Contracting Officer.  The Contractor is responsible for all expenses incurred from collection and disposal of debris and shall dispose of all debris off Government property.</t>
  </si>
  <si>
    <t>A937</t>
  </si>
  <si>
    <t>Cut / Bush Hog Fifteen (15) foot Road Shoulder Right of Way</t>
  </si>
  <si>
    <t>A938</t>
  </si>
  <si>
    <t>Cut / Bush Hog Eight (8) foot Road Shoulder Right of Way</t>
  </si>
  <si>
    <t>All trees, shrubs, brush, undergrowth, vines, and other vegetation shall be bush hogged or cleared by other means a minimum of eight (8) feet one side of the road shoulder, but no farther than the original wood line, from the ground to twenty (20) feet in height.  Trees which originate beyond the eight (8) feet area and yet have branches that extend into the cut zone shall not be so drastically cut that the tree will not survive.  The Contractor is responsible for all expenses incurred from collection and disposal of debris and shall dispose of all debris off Government property.</t>
  </si>
  <si>
    <t>A939</t>
  </si>
  <si>
    <t>Utility Power Line Tree Topping (Cutting)</t>
  </si>
  <si>
    <t>All trees, as specified, shall have branches and trunks topped (cut) a minimum of ten (10) feet below power lines, except as specified otherwise by the Contracting Officer.  The Contractor is responsible for all expenses incurred from collection and disposal of debris and shall dispose of all debris off Government property.</t>
  </si>
  <si>
    <t>A940</t>
  </si>
  <si>
    <t>Trim Trees Near Power Lines</t>
  </si>
  <si>
    <t>All trees that touch or come within five (5) feet of touching power lines shall be trimmed back a minimum of ten (10) feet from power lines, all the way up, ground to sky, except as specified otherwise by the Contracting Officer.  Trimming of trees shall include the removal of dead and diseased foliage, branches, and limbs.  The Contractor is responsible for all expenses incurred from collection and disposal of debris and shall dispose of all debris off Government property.</t>
  </si>
  <si>
    <t>A941</t>
  </si>
  <si>
    <t>Removal of Hazardous Trees</t>
  </si>
  <si>
    <t>Any tree twelve (12) inches or greater in diameter, hanging twenty-four (24) inches or more over buildings, power lines, or other structures shall be considered a hazardous tree, and shall be cut at ground level.  Subsurface roots need not be removed.  Tree diameter will be measured four (4) feet above the ground.  The Contractor is responsible for all expenses incurred from collection and disposal of debris and shall dispose of all debris off Government property.</t>
  </si>
  <si>
    <t>A942</t>
  </si>
  <si>
    <t>Clear Overhanging Branches that Encroach into Rights of Way</t>
  </si>
  <si>
    <t>The Contractor shall be responsible for removal of all tree branches, limbs, or vines that encroach from outside the right of ways into the right of way area.  The Contractor shall cut and remove the encroaching limb, branch, or vine to a point, which is outside the right of way.  The Line Item shall be ordered by the area length at ground level on the outside parameter of the right of way.  The Contractor is responsible for all expenses incurred from collection and disposal of debris and shall dispose of all debris off Government property.</t>
  </si>
  <si>
    <t>A943</t>
  </si>
  <si>
    <t>Grind Tree Stumps</t>
  </si>
  <si>
    <t>Stumps shall be ground smooth and resulting depressions shall be filled with fill dirt and topsoil and appropriately seeded.  Subsurface roots need not be removed.</t>
  </si>
  <si>
    <t>A944</t>
  </si>
  <si>
    <t>Remove Tree Limbs</t>
  </si>
  <si>
    <t>The Contractor shall remove limbs as specified.  The length will be determined by the length of the main supporting limb actually cut to remove the limb.   The Contractor is responsible for all expenses incurred from collection and disposal of debris and shall dispose of all debris off Government property.</t>
  </si>
  <si>
    <t>A945</t>
  </si>
  <si>
    <t>Land Clearing</t>
  </si>
  <si>
    <t>The Contractor shall be responsible for land clearing and grubbing to a depth of eight (8) inches below the ground surface of trees, stumps, roots, and brush.  The Contractor shall grade, level, and fill all resulting irregularities of surface contour.  The result of the Contractor's work shall be an area cleared to a depth of eight (8) inches below the soil surface, free of foreign debris, including rocks with a diameter greater than twelve (12) inches.   The Contractor is responsible for all expenses incurred from collection and disposal of debris and shall dispose of all debris off Government property.</t>
  </si>
  <si>
    <t>SF</t>
  </si>
  <si>
    <t>A946</t>
  </si>
  <si>
    <t>Emergency Response Service Call</t>
  </si>
  <si>
    <t>The Contractor shall be prepared to answer emergency service calls when contacted by a Government Representative to remove fallen trees or trees that are considered a potential danger to property or life.  Emergency response service calls can be initiated at any time and the Contractor shall respond within four (4) hours.  The Contractor is responsible for all expenses incurred from collection and disposal of debris and shall dispose of all debris off Government property.</t>
  </si>
  <si>
    <t>A947</t>
  </si>
  <si>
    <t>Remove Debris from Stormwater Ponds</t>
  </si>
  <si>
    <t>The Contractor shall be responsible for the removal and disposal of all debris from stormwater ponds.  This line item may not be used for ponds which have a depth that exceeds four (4) feet of standing water at its deepest point during a dry spell.  The Contractor is responsible for all expenses incurred from raking, collection, and disposal of debris and shall dispose of all debris off Government property.</t>
  </si>
  <si>
    <t>A948</t>
  </si>
  <si>
    <t>Destructive Weather - Washington Navy Yard</t>
  </si>
  <si>
    <t>The Contractor shall provide all tools material and labor to respond to pending threat of destructive weather. The Contractor shall supply the labor to place prefilled sand bags and fill replacement bags for one that become unserviceable. Fill, transport and place bags as needed in a manor to limit water intrusion to low lying facilities.</t>
  </si>
  <si>
    <t>CREW HRS</t>
  </si>
  <si>
    <t>A949</t>
  </si>
  <si>
    <t>Destructive Weather Restoration - Washington Navy Yard</t>
  </si>
  <si>
    <t>The Contractor shall provide all tools material and labor to respond to restoration efforts after a destructive weather event. Efforts shall include but not limited to damaged tree limb removal, collection of twigs, leaves, and various debris within the perimeter of the Washington Naval Yard.</t>
  </si>
  <si>
    <t>A950</t>
  </si>
  <si>
    <t>Maintain LID – Bioretention/rain garden</t>
  </si>
  <si>
    <t xml:space="preserve">The Contractor shall perform maintenance and inspections of bioretention cells and rain gardens; which includes: removal of debris, unclogging of inlets, remove weeds, re-mulch cells, replace dead plants with like species and comparable size (to meet the planting plan).  Contractor shall perform work within 15 days of request. </t>
  </si>
  <si>
    <t>A951</t>
  </si>
  <si>
    <t>Maintain LID – swale</t>
  </si>
  <si>
    <t xml:space="preserve">The Contractor shall perform maintenance and inspection of dry, wet, and bio-swales.  This includes: Checking and removing sediment accumulation, debris removal and disposal, mowing of dry swales, inspection of structures for spalling and deterioration, and replacement of planting and rip rap (as necessary).   The Contractor shall perform the work within 15 days of request. </t>
  </si>
  <si>
    <t>A952</t>
  </si>
  <si>
    <t>Maintain LID – green roof</t>
  </si>
  <si>
    <t xml:space="preserve">The Contractor shall perform maintenance and inspection of green roofs.  This includes periodic irrigation, weeding, replanting, and removal of debris from outlets.  Contractor shall perform the work within 15 days of request. </t>
  </si>
  <si>
    <t>A953</t>
  </si>
  <si>
    <t>Maintain LID- permeable pavement</t>
  </si>
  <si>
    <t xml:space="preserve">The Contractor shall sweep and vacuum permeable pavement system to reduce sediment accumulation.  Inlets and drains must be cleared of debris.  Replace chips and stones from openings as necessary.  The Contractor shall perform this work within 20 days of request. </t>
  </si>
  <si>
    <t>A954</t>
  </si>
  <si>
    <t>Maintain LID – surface sand filter</t>
  </si>
  <si>
    <t xml:space="preserve">The Contractor shall perform maintenance and inspection of surface sand filters.  This includes; replacement of plants as necessary, mowing, debris and trash removal, and inspection of structural components.  The Contractor shall perform this work within 15 days of request. </t>
  </si>
  <si>
    <t>A955</t>
  </si>
  <si>
    <t>Remove Bird Droppings</t>
  </si>
  <si>
    <t xml:space="preserve">The Contractor shall remove bird droppings from sidewalks, steps, and handicapped ramps.   The Contractor shall perform this work within 15 days of request. </t>
  </si>
  <si>
    <t>A956</t>
  </si>
  <si>
    <t>Turf and Ornamental Bed Weed Control</t>
  </si>
  <si>
    <t>Provide labor and materials to control weeds in turf areas and in ornamental plant beds. Work shall conform to Pest Group Sheet 02. Respond within 5 working days and achieve control within 21 calendar days.</t>
  </si>
  <si>
    <t>1,000 SF</t>
  </si>
  <si>
    <t>A957</t>
  </si>
  <si>
    <t>Turf and Ornamental Pest Control</t>
  </si>
  <si>
    <t>Provide labor and materials to control arthropod pests in turf and on ornamental plantings. Work shall conform to Pest Group Sheet 03. Respond within 5 working days and achieve control within 7 calendar days.</t>
  </si>
  <si>
    <t>A958</t>
  </si>
  <si>
    <t>Bare Grounds Weed Control</t>
  </si>
  <si>
    <t>Provide labor and materials to provide bare ground weed control in cracks in sidewalks and paved surfaces, at fenceline locations, in transformer vaults, around fire hydrants, and similar locations.  Work shall conform to Pest Group Sheet 01. Respond within 5 working days and achieve control within 14 calendar days.</t>
  </si>
  <si>
    <t>A959</t>
  </si>
  <si>
    <t>Pavement Sweeping Services</t>
  </si>
  <si>
    <t xml:space="preserve"> The Contractor shall sweep paved surfaces indicated.  Work shall be completed within 5 calendar days of order.</t>
  </si>
  <si>
    <t>A960</t>
  </si>
  <si>
    <t>Pre-Treatment /
Post Treatment -WNY</t>
  </si>
  <si>
    <t>The Contractor shall provide pre-treatment and post-treatment.  Pretreatment of an event is the act of applying anti-icing agent to site, and post treatment is patrolling and treating existing ice buildup. Anti-Icing/pre-treating before an event may occur the day of the storm or a day before the storm.  Post-treatment shall consist of performing a surveillance of the entire site and applying the approved ice melt to sidewalks, steps roadways, garages and parking lot areas after a storm has stopped.  Once site is treated for existing ice buildup, the “post storm treatment” portion is completed.  Note:  If temps do not drop below freezing or there is mixed rain/snow, pretreatment and post treatment may not be effective.  Contractor shall respond within 2 hours of notification. Work shall be completed within 1 calendar day of order.Snow and Ice removal, Light event, 1"-4" deep.  The Contractor shall remove ice/snow from runways, taxiways, parking areas, sidewalks, and roads required for operations, safety, fire protection access, and vehicular and pedestrian traffic.  Contractor shall respond within 2 hours of notification. Work shall be completed within 1 calendar day of order.</t>
  </si>
  <si>
    <t>A961</t>
  </si>
  <si>
    <t>De-Icing Operations / 
Re-freeze - WNY</t>
  </si>
  <si>
    <t xml:space="preserve">The Contractor shall be provide, store, and spread approved deicing materials.  The Contractor shall provide sand, salt, or other Environmental approved deicing material for streets, roads, and parking lots identified. Deicing material (i.e. Calcium Chloride, Magnesium Chloride) will be utilized in place of salt/sand mixture for all concrete surfaces. Contractor shall respond within 2 hours of notification. Work shall be completed within 1 calendar day of order. </t>
  </si>
  <si>
    <t>A962</t>
  </si>
  <si>
    <t>Ice / Snow Removal 
0-1" - WNY</t>
  </si>
  <si>
    <t xml:space="preserve">Snow and Ice removal, Light event, 0"-1" deep.  The Contractor shall remove ice/snow from runways, taxiways, parking areas, sidewalks, and roads required for operations, safety, fire protection access, and vehicular and pedestrian traffic.  Plowing of snowfall and applying of deicing materials during event. Contractor shall respond within 2 hours of notification. Work shall be completed within 1 calendar day of order. </t>
  </si>
  <si>
    <t>A963</t>
  </si>
  <si>
    <t>Ice / Snow Removal - Light  (1"-4")   -    WNY</t>
  </si>
  <si>
    <t>Snow and Ice removal, Light event, 1"-4" deep.  The Contractor shall remove ice/snow from runways, taxiways, parking areas, sidewalks, and roads required for operations, safety, fire protection access, and vehicular and pedestrian traffic.  Contractor shall respond within 2 hours of notification. Work shall be completed within 1 calendar day of order.</t>
  </si>
  <si>
    <t>A964</t>
  </si>
  <si>
    <t>Ice / Snow Removal - Moderate (4"-10") -   WNY</t>
  </si>
  <si>
    <t>Snow and Ice removal, Moderate event,  4"-10" deep.  The Contractor shall remove ice/snow from runways, taxiways, parking areas, sidewalks, and roads required for operations, safety, fire protection access, and vehicular and pedestrian traffic.  Contractor shall respond within 2 hours of notification.  Work shall be completed within 1 calendar day of order.</t>
  </si>
  <si>
    <t>A965</t>
  </si>
  <si>
    <t>Ice / Snow Removal - Heavy (10"-15") - WNY</t>
  </si>
  <si>
    <t>Snow and Ice removal, Heavy event,  10"-15" deep.  The Contractor shall remove ice/snow from runways, taxiways, parking areas, sidewalks, and roads required for operations, safety, fire protection access, and vehicular and pedestrian traffic.  Work shall be completed within 1 calendar day of order.</t>
  </si>
  <si>
    <t>A966</t>
  </si>
  <si>
    <t>Ice / Snow Removal - Heavy (&gt;15") - WNY</t>
  </si>
  <si>
    <t>Snow and Ice removal, Heavy event, greater than 15" deep.  The Contractor shall remove ice/snow from runways, taxiways, parking areas, sidewalks, and roads required for operations, safety, fire protection access, and vehicular and pedestrian traffic.  Work shall be completed within 1 calendar day of order.</t>
  </si>
  <si>
    <t>A967</t>
  </si>
  <si>
    <t>Pre-Treatment /
Post Treatment - USNO</t>
  </si>
  <si>
    <t>A968</t>
  </si>
  <si>
    <t>De-Icing Operations / 
Re-freeze - USNO</t>
  </si>
  <si>
    <t>A969</t>
  </si>
  <si>
    <t>Ice / Snow Removal 
0-1" - USNO</t>
  </si>
  <si>
    <t>A970</t>
  </si>
  <si>
    <t>Ice / Snow Removal - Light  (1"-4")   -    USNO</t>
  </si>
  <si>
    <t>A971</t>
  </si>
  <si>
    <t>Ice / Snow Removal - Moderate (4"-10") -   USNO</t>
  </si>
  <si>
    <t>A972</t>
  </si>
  <si>
    <t>Ice / Snow Removal - Heavy (10"- 15") - USNO</t>
  </si>
  <si>
    <t>A973</t>
  </si>
  <si>
    <t>Ice / Snow Removal - Heavy (&gt;15") - USNO</t>
  </si>
  <si>
    <t>Snow and Ice removal, Heavy event,  greater than 15" deep.  The Contractor shall remove ice/snow from runways, taxiways, parking areas, sidewalks, and roads required for operations, safety, fire protection access, and vehicular and pedestrian traffic.  Work shall be completed within 1 calendar day of order.</t>
  </si>
  <si>
    <t>A974</t>
  </si>
  <si>
    <t>Pre-Treatment /
Post Treatment - VPR</t>
  </si>
  <si>
    <t>A975</t>
  </si>
  <si>
    <t>De-Icing Operations / 
Re-freeze - VPR</t>
  </si>
  <si>
    <t>A976</t>
  </si>
  <si>
    <t>Ice / Snow Removal 
0-1" - VPR</t>
  </si>
  <si>
    <t>A977</t>
  </si>
  <si>
    <t>Ice / Snow Removal - Light  (1"-4")   -    VPR</t>
  </si>
  <si>
    <t>A978</t>
  </si>
  <si>
    <t>Ice / Snow Removal - Moderate (4"-10") -   VPR</t>
  </si>
  <si>
    <t>A979</t>
  </si>
  <si>
    <t>Ice / Snow Removal - Heavy (10"- 15") - VPR</t>
  </si>
  <si>
    <t>A980</t>
  </si>
  <si>
    <t>Ice / Snow Removal - Heavy (&gt;15") - VPR</t>
  </si>
  <si>
    <t>A981</t>
  </si>
  <si>
    <t>Pre-Treatment /
Post Treatment - NSWC Carderock</t>
  </si>
  <si>
    <t>A982</t>
  </si>
  <si>
    <t>De-Icing Operations / 
Re-freeze -NSWC Carderock</t>
  </si>
  <si>
    <t>A983</t>
  </si>
  <si>
    <t>Ice / Snow Removal 
0-1" - NSWC Carderock</t>
  </si>
  <si>
    <t>A984</t>
  </si>
  <si>
    <t>Ice / Snow Removal - Light  (1"-4")   -    NSWC Carderock</t>
  </si>
  <si>
    <t>A985</t>
  </si>
  <si>
    <t>Ice / Snow Removal - Moderate (4"-10") -   NSWC Carderock</t>
  </si>
  <si>
    <t>A986</t>
  </si>
  <si>
    <t>Ice / Snow Removal - Heavy (10"- 15") - NSWC Carderock</t>
  </si>
  <si>
    <t>A987</t>
  </si>
  <si>
    <t>Ice / Snow Removal - Heavy (&gt;15") - NSWC Carderock</t>
  </si>
  <si>
    <t>A988</t>
  </si>
  <si>
    <t>Pre-Treatment /
Post Treatment - Carderock Region</t>
  </si>
  <si>
    <t>A989</t>
  </si>
  <si>
    <t>De-Icing Operations / 
Re-freeze - Carderock Region</t>
  </si>
  <si>
    <t>A990</t>
  </si>
  <si>
    <t>Ice / Snow Removal 
0-1" - NSWC Carderock Region</t>
  </si>
  <si>
    <t>A991</t>
  </si>
  <si>
    <t>Ice / Snow Removal - Light  (1"-4")   -    Carderock Region</t>
  </si>
  <si>
    <t>A992</t>
  </si>
  <si>
    <t>Ice / Snow Removal - Moderate (4"-10") -   Carderock Region</t>
  </si>
  <si>
    <t>A993</t>
  </si>
  <si>
    <t>Ice / Snow Removal - Heavy (10"- 15") - Carderock Region</t>
  </si>
  <si>
    <t>A994</t>
  </si>
  <si>
    <t>Ice / Snow Removal - Heavy (&gt;15") - Carderock Region</t>
  </si>
  <si>
    <t>A995</t>
  </si>
  <si>
    <t>Pre-Treatment /
Post Treatment - Arlington Region</t>
  </si>
  <si>
    <t>A996</t>
  </si>
  <si>
    <t>De-Icing Operations / 
Re-freeze - Arlington Region</t>
  </si>
  <si>
    <t>A997</t>
  </si>
  <si>
    <t>Ice / Snow Removal 
0-1" - Arlington Region</t>
  </si>
  <si>
    <t>A998</t>
  </si>
  <si>
    <t>Ice / Snow Removal - Light  (1"-4")   -    Arlington Region</t>
  </si>
  <si>
    <t>A999</t>
  </si>
  <si>
    <t>Ice / Snow Removal - Moderate (4"-10") -   Arlington Region</t>
  </si>
  <si>
    <t>A1000</t>
  </si>
  <si>
    <t>Ice / Snow Removal - Heavy (10"- 15") - Arlington Region</t>
  </si>
  <si>
    <t>A1001</t>
  </si>
  <si>
    <t>Ice / Snow Removal - Heavy (&gt;15") - Arlington Region</t>
  </si>
  <si>
    <t>A1002</t>
  </si>
  <si>
    <t>Ice / Snow Pre-Treatment (Roads and Sidewalks) -    NSAB</t>
  </si>
  <si>
    <t>Chemical deicing material(s) shall be placed on roadway surfaces to prevent ice/snow from accumulating on roadways and to ensure roadways are safe and passable. Deicing material shall be placed on all paved parking areas (to include the top level of parking garages) to ensure areas are safe and passable. Contractor shall respond within 2 hours of notification. Pre-Treatment shall be completed prior to ice/snow precipitation.  Services provided will be provided in accordance with attachment J-1503060-33</t>
  </si>
  <si>
    <t>A1003</t>
  </si>
  <si>
    <t>Ice / Snow Post-Treatment (Roads and Sidewalks) -    NSAB</t>
  </si>
  <si>
    <t>Deicing material(s) shall be placed on roads, parking areas, sidewalks, and building entrances following the cessation of ice/snow precipitation event. Services provided will be provided in accordance with attachment J-1503060-33</t>
  </si>
  <si>
    <t>A1004</t>
  </si>
  <si>
    <t>Ice / Snow Removal - Light   &lt;1"   -    NSAB</t>
  </si>
  <si>
    <t>Snow and Ice removal, Light event, less than 1". The Contractor shall remove ice/snow from runways, taxiways, parking areas, sidewalks, and roads required for operations, safety, fire protection access, and vehicular and pedestrian traffic. Work shall be completed within 1 calendar day of order.</t>
  </si>
  <si>
    <t>A1005</t>
  </si>
  <si>
    <t>Ice / Snow Removal - Light  (1"-4")   -    NSAB</t>
  </si>
  <si>
    <t>Snow and Ice removal, Light event, 1"-4" deep.  The Contractor shall remove ice/snow from runways, taxiways, parking areas, sidewalks, and roads required for operations, safety, fire protection access, and vehicular and pedestrian traffic. No accumulations over 3" from 0530 to 1900, Monday - Friday. Contractor shall respond within 2 hours of notification. Work shall be completed within 1 calendar day of order.</t>
  </si>
  <si>
    <t>A1006</t>
  </si>
  <si>
    <t>Ice / Snow Removal - Moderate (4"-10") -   NSAB</t>
  </si>
  <si>
    <t>Snow and Ice removal, Moderate event, 4"-10" deep.  The Contractor shall remove ice/snow from runways, taxiways, parking areas, sidewalks, and roads required for operations, safety, fire protection access, and vehicular and pedestrian traffic. No accumulations over 3" from 0530 to 1900, Monday - Friday. Contractor shall respond within 2 hours of notification. Work shall be completed within 1 calendar day of order.</t>
  </si>
  <si>
    <t>A1007</t>
  </si>
  <si>
    <t>Ice / Snow Removal - Heavy (10"-15") - NSAB</t>
  </si>
  <si>
    <t>Snow and Ice removal, Heavy event, 10"-15" deep.  The Contractor shall remove ice/snow from runways, taxiways, parking areas, sidewalks, and roads required for operations, safety, fire protection access, and vehicular and pedestrian traffic. No accumulations over 3" from 0530 to 1900, Monday - Friday. Work shall be completed within 1 calendar day of order.</t>
  </si>
  <si>
    <t>A1008</t>
  </si>
  <si>
    <t>Ice / Snow Removal - Heavy (&gt;15") - NSAB</t>
  </si>
  <si>
    <t>Snow and Ice removal, Heavy event, greater than 15" deep.  The Contractor shall remove ice/snow from runways, taxiways, parking areas, sidewalks, and roads required for operations, safety, fire protection access, and vehicular and pedestrian traffic. No accumulations over 3" from 0530 to 1900, Monday - Friday. Work shall be completed within 1 calendar day of order.</t>
  </si>
  <si>
    <t>A1009</t>
  </si>
  <si>
    <t>Ice / Snow Pre-Treatment (Roads and Sidewalks) - WRNMMC</t>
  </si>
  <si>
    <t>A1010</t>
  </si>
  <si>
    <t>Ice / Snow Post-Treatment (Roads and Sidewalks) - WRNMMC</t>
  </si>
  <si>
    <t>A1011</t>
  </si>
  <si>
    <t>Ice / Snow Removal - Light   &lt;1"   -    WRNMMC</t>
  </si>
  <si>
    <t>Snow and Ice removal, Light event, less than 1". The Contractor shall  provide continuous removal of ice/snow from runways, taxiways, parking areas, sidewalks, and roads required for operations, safety, fire protection access, and vehicular and pedestrian traffic.  Contractor shall follow frequency and service priority levels provided on map J-1503060-33.</t>
  </si>
  <si>
    <t>A1012</t>
  </si>
  <si>
    <t>Ice / Snow Removal - Light  (1"-4")   -    WRNMMC</t>
  </si>
  <si>
    <t>Snow and Ice removal, Light event, 1"-4" deep.  The Contractor shall  provide continuous removal of ice/snow from runways, taxiways, parking areas, sidewalks, and roads required for operations, safety, fire protection access, and vehicular and pedestrian traffic.  Contractor shall respond within 2 hours of notification. Contractor shall follow frequency and service priority levels provided on map J-1503060-33.</t>
  </si>
  <si>
    <t>A1013</t>
  </si>
  <si>
    <t>Ice / Snow Removal - Moderate (4"-10") -   WRNMMC</t>
  </si>
  <si>
    <t>Snow and Ice removal, Moderate event,  4"-10" deep.  The Contractor shall provide continuous removal of ice/snow from runways, taxiways, parking areas, sidewalks, and roads required for operations, safety, fire protection access, and vehicular and pedestrian traffic.  Contractor shall respond within 2 hours of notification.  Contractor shall follow frequency and service priority levels provided on map J-1503060-33.</t>
  </si>
  <si>
    <t>A1014</t>
  </si>
  <si>
    <t>Ice / Snow Removal - Heavy (10"-15") - WRNMMC</t>
  </si>
  <si>
    <t>Snow and Ice removal, Heavy event,  10"-15" deep.  The Contractor shall provide continuous removal of ice/snow from runways, taxiways, parking areas, sidewalks, and roads required for operations, safety, fire protection access, and vehicular and pedestrian traffic.  Contractor shall follow frequency and service priority levels provided on map J-1503060-33.</t>
  </si>
  <si>
    <t>A1015</t>
  </si>
  <si>
    <t>Ice / Snow Removal - Heavy (&gt;15") - WRNMMC</t>
  </si>
  <si>
    <t>Snow and Ice removal, Heavy event,  greater than 15" deep.  The Contractor shall  provide continuous removal of ice/snow from runways, taxiways, parking areas, sidewalks, and roads required for operations, safety, fire protection access, and vehicular and pedestrian traffic.  Contractor shall follow frequency and service priority levels provided on map J-1503060-33.</t>
  </si>
  <si>
    <t>A1016</t>
  </si>
  <si>
    <t>Deicing Services, WRNMMC</t>
  </si>
  <si>
    <t>The Contractor shall provide up to 12 hours of continuous deicing services to ensure designated paved surfaces are safe and passable in all Priority 1. The Contractor shall perform continuous deicing services for the roads, parking areas, sidewalks, and building entrances for all Priority 1 areas shown on the Site Maps for NSA Bethesda (provided in J-1503060-06).  Building entrances include walkways, steps, exterior stairways, and porches. The Contractor shall evenly apply a deicing compound and/or sand/salt abrasive to the full surface area immediately following snow and ice removal. Only Government approved deicing materials shall be used. Contractor shall apply the amount of compound produce per manufacturer recommendations. Designated paved surfaces are safe and accessible to operations, fire protection, and vehicular and pedestrian traffic. Deicing equipment operators have proper qualifications and licensing. Designated paved surfaces are safe for passage.</t>
  </si>
  <si>
    <t>A1017</t>
  </si>
  <si>
    <t>Ice / Snow Pre-Treatment (Roads and Sidewalks) - Dalecarlia</t>
  </si>
  <si>
    <t>Chemical deicing material(s) shall be placed on roadway surfaces to prevent ice/snow from accumulating on roadways and to ensure roadways are safe and passable. Deicing material shall be placed on all paved parking areas (to include the top level of parking garages) to ensure areas are safe and passable. Contractor shall respond within 2 hours of notification. Pre-Treatment shall be completed prior to ice/snow precipitation.  Services provided will be provided in accordance with attachment J-1503060-06(f4)</t>
  </si>
  <si>
    <t>A1018</t>
  </si>
  <si>
    <t>Ice / Snow Post-Treatment (Roads and Sidewalks) - Dalecarlia</t>
  </si>
  <si>
    <t>Deicing material(s) shall be placed on roads, parking areas, sidewalks, and building entrances following the cessation of ice/snow precipitation event. Services provided will be provided in accordance with attachment J-1503060-06(f4)</t>
  </si>
  <si>
    <t>A1019</t>
  </si>
  <si>
    <t>Ice / Snow Removal - Light   &lt;1"   -    Dalecarlia</t>
  </si>
  <si>
    <t>A1020</t>
  </si>
  <si>
    <t>Ice / Snow Removal - Light  (1"-4")   -    Dalecarlia</t>
  </si>
  <si>
    <t>A1021</t>
  </si>
  <si>
    <t>Ice / Snow Removal - Moderate (4"-10") -   Dalecarlia</t>
  </si>
  <si>
    <t>Snow and Ice removal, Moderate event,  4"-10" deep.  The Contractor shall remove ice/snow from runways, taxiways, parking areas, sidewalks, and roads required for operations, safety, fire protection access, and vehicular and pedestrian traffic. No accumulations over 3" from 0530 to 1900, Monday - Friday. Contractor shall respond within 2 hours of notification. Work shall be completed within 1 calendar day of order.</t>
  </si>
  <si>
    <t>A1022</t>
  </si>
  <si>
    <t>Ice / Snow Removal - Heavy (10"-15") - Dalecarlia</t>
  </si>
  <si>
    <t>Snow and Ice removal, Heavy event,  10"-15" deep.  The Contractor shall remove ice/snow from runways, taxiways, parking areas, sidewalks, and roads required for operations, safety, fire protection access, and vehicular and pedestrian traffic. No accumulations over 3" from 0530 to 1900, Monday - Friday. Work shall be completed within 1 calendar day of order.</t>
  </si>
  <si>
    <t>A1023</t>
  </si>
  <si>
    <t>Ice / Snow Removal - Heavy (&gt;15") - Dalecarlia</t>
  </si>
  <si>
    <t>Snow and Ice removal, Heavy event,  greater than 15" deep.  The Contractor shall remove ice/snow from runways, taxiways, parking areas, sidewalks, and roads required for operations, safety, fire protection access, and vehicular and pedestrian traffic. No accumulations over 3" from 0530 to 1900, Monday - Friday. Work shall be completed within 1 calendar day of order.</t>
  </si>
  <si>
    <t>A1024</t>
  </si>
  <si>
    <t>Ice / Snow De-Icing Navy Exchange (Parking Garage, Roads and Sidewalks)</t>
  </si>
  <si>
    <t>Deicing material(s) shall be evenly placed to the full surface area of roads, parking areas, sidewalks, and building entrances following the cessation of ice/snow precipitation or freezing event. Building entrances include walkways, steps, exterior stairways, and porches. Only Government approved deicing materials shall be used and per manufacturer recommendation. Services provided will be provided in accordance with attachment J-1503060-05(f) Performance Criteria.</t>
  </si>
  <si>
    <t>A1025</t>
  </si>
  <si>
    <t>Unit Priced Labor Work -  MUST BE NEGOTIATED BY KO</t>
  </si>
  <si>
    <r>
      <t xml:space="preserve">Provide labor to perform all Unit Priced Labor work subject to the Service Contract Act per the scope and delivery schedule specified in the order.
A Fixed Burden Rate shall be established and entered in Unit Price  column. </t>
    </r>
    <r>
      <rPr>
        <b/>
        <sz val="10"/>
        <rFont val="Calibri"/>
        <family val="2"/>
        <scheme val="minor"/>
      </rPr>
      <t xml:space="preserve">The existing rate in Unit Price is soley listed for demostration purposes. </t>
    </r>
    <r>
      <rPr>
        <sz val="10"/>
        <rFont val="Calibri"/>
        <family val="2"/>
        <scheme val="minor"/>
      </rPr>
      <t xml:space="preserve">Unit Price must be adjusted for bid evaluation. Quantities shall not exceed ELIN Total Cost.
</t>
    </r>
  </si>
  <si>
    <t>A1026</t>
  </si>
  <si>
    <t>Material Costs-  MUST BE NEGOTIATED BY KO</t>
  </si>
  <si>
    <r>
      <t xml:space="preserve">Provide all materials and equipment to perform Unit Priced Labor work per the scope and delivery schedule specified in the order. </t>
    </r>
    <r>
      <rPr>
        <b/>
        <sz val="10"/>
        <rFont val="Calibri"/>
        <family val="2"/>
        <scheme val="minor"/>
      </rPr>
      <t xml:space="preserve">Use only with ELIN A1027
</t>
    </r>
    <r>
      <rPr>
        <sz val="10"/>
        <rFont val="Calibri"/>
        <family val="2"/>
        <scheme val="minor"/>
      </rPr>
      <t xml:space="preserve">Material Unit Cost shall be established and entered in Unit Price  column. </t>
    </r>
    <r>
      <rPr>
        <b/>
        <sz val="10"/>
        <rFont val="Calibri"/>
        <family val="2"/>
        <scheme val="minor"/>
      </rPr>
      <t xml:space="preserve">The existing rate in Unit Price is soley listed for demostration purposes. </t>
    </r>
    <r>
      <rPr>
        <sz val="10"/>
        <rFont val="Calibri"/>
        <family val="2"/>
        <scheme val="minor"/>
      </rPr>
      <t>Unit Price must be adjusted for bid evaluation. Quantities shall not exceed ELIN Total Cost.</t>
    </r>
  </si>
  <si>
    <t>A1027</t>
  </si>
  <si>
    <t>Clean Gutters and/or roof drains - NSWC - Indian Head</t>
  </si>
  <si>
    <t>The Contractor shall clean out drains and gutters. Services shall be performed at NSWC - Indian Head and Stump Neck.</t>
  </si>
  <si>
    <t xml:space="preserve">Total Indefinte Quantity Price Base Period (A900 - A1026) </t>
  </si>
  <si>
    <t>ELIN/Sub-ELINs B100 through B700</t>
  </si>
  <si>
    <t>B100</t>
  </si>
  <si>
    <t>B101</t>
  </si>
  <si>
    <t>B101 AA</t>
  </si>
  <si>
    <t>B101 AB</t>
  </si>
  <si>
    <t>B101 AC</t>
  </si>
  <si>
    <t>B101 AD</t>
  </si>
  <si>
    <t>B101 AE</t>
  </si>
  <si>
    <t>B101 AF</t>
  </si>
  <si>
    <t>B101 AG</t>
  </si>
  <si>
    <t>B101 AH</t>
  </si>
  <si>
    <t>Washington Navy Yard (WNY)(Regiona Funded) (B101) Subtotal</t>
  </si>
  <si>
    <t>B102</t>
  </si>
  <si>
    <t>B102 AA</t>
  </si>
  <si>
    <t>B102 AB</t>
  </si>
  <si>
    <t>B102 AC</t>
  </si>
  <si>
    <t>B102 AD</t>
  </si>
  <si>
    <t>B102 AE</t>
  </si>
  <si>
    <t>B102 AF</t>
  </si>
  <si>
    <t>B102 AG</t>
  </si>
  <si>
    <t>B102 AH</t>
  </si>
  <si>
    <t xml:space="preserve"> Arlington (ASC)(Region Funded) (B102) Subtotal</t>
  </si>
  <si>
    <t>B103</t>
  </si>
  <si>
    <t>B103 AA</t>
  </si>
  <si>
    <t>B103 AB</t>
  </si>
  <si>
    <t>B103 AC</t>
  </si>
  <si>
    <t>B103 AD</t>
  </si>
  <si>
    <t>B103 AE</t>
  </si>
  <si>
    <t>B103 AF</t>
  </si>
  <si>
    <t>B103 AG</t>
  </si>
  <si>
    <t>B103 AH</t>
  </si>
  <si>
    <t>Naval Observatory (USNO) (Region Funded) (B103) Subtotal</t>
  </si>
  <si>
    <t>B104</t>
  </si>
  <si>
    <t>B104 AA</t>
  </si>
  <si>
    <t>B104 AB</t>
  </si>
  <si>
    <t>B104 AC</t>
  </si>
  <si>
    <t>B104 AD</t>
  </si>
  <si>
    <t>B104 AE</t>
  </si>
  <si>
    <t>B104 AF</t>
  </si>
  <si>
    <t>B104 AG</t>
  </si>
  <si>
    <t>B104 AH</t>
  </si>
  <si>
    <t>VPR (Quarters A) (Region Funded) (B104) Subtotal</t>
  </si>
  <si>
    <t>B105</t>
  </si>
  <si>
    <t>B105 AA</t>
  </si>
  <si>
    <t>B105 AB</t>
  </si>
  <si>
    <t>B105 AC</t>
  </si>
  <si>
    <t>B105 AD</t>
  </si>
  <si>
    <t>B105 AE</t>
  </si>
  <si>
    <t>B105 AF</t>
  </si>
  <si>
    <t>B105 AG</t>
  </si>
  <si>
    <t>B105 AH</t>
  </si>
  <si>
    <t>Naval Research Lab (NRL) (B105) Subtotal</t>
  </si>
  <si>
    <t>B106</t>
  </si>
  <si>
    <t>B106 AA</t>
  </si>
  <si>
    <t>B106 AB</t>
  </si>
  <si>
    <t>B106 AC</t>
  </si>
  <si>
    <t>B106 AD</t>
  </si>
  <si>
    <t>B106 AE</t>
  </si>
  <si>
    <t>B106 AF</t>
  </si>
  <si>
    <t>B106 AG</t>
  </si>
  <si>
    <t>B106 AH</t>
  </si>
  <si>
    <t>NSWC Carderock (B106) Subtotal</t>
  </si>
  <si>
    <t>B107</t>
  </si>
  <si>
    <t>B107 AA</t>
  </si>
  <si>
    <t>B107 AB</t>
  </si>
  <si>
    <t>B107 AC</t>
  </si>
  <si>
    <t>B107 AD</t>
  </si>
  <si>
    <t>B107 AE</t>
  </si>
  <si>
    <t>B107 AF</t>
  </si>
  <si>
    <t>B107 AG</t>
  </si>
  <si>
    <t>B107 AH</t>
  </si>
  <si>
    <t>Marine Barracks Washington (MBW) (B107) Subtotal</t>
  </si>
  <si>
    <t>B200</t>
  </si>
  <si>
    <t>B400</t>
  </si>
  <si>
    <t>B500</t>
  </si>
  <si>
    <t>B600</t>
  </si>
  <si>
    <t>B601</t>
  </si>
  <si>
    <t>B601 AA</t>
  </si>
  <si>
    <t>B601 AB</t>
  </si>
  <si>
    <t>B601 AC</t>
  </si>
  <si>
    <t>B601 AD</t>
  </si>
  <si>
    <t>B601 AE</t>
  </si>
  <si>
    <t>B601 AF</t>
  </si>
  <si>
    <t>B601 AG</t>
  </si>
  <si>
    <t>B601 AH</t>
  </si>
  <si>
    <t>MCSC (B601) Subtotal</t>
  </si>
  <si>
    <t>B602</t>
  </si>
  <si>
    <t>B602 AA</t>
  </si>
  <si>
    <t>B602 AB</t>
  </si>
  <si>
    <t>B602 AC</t>
  </si>
  <si>
    <t>B602 AD</t>
  </si>
  <si>
    <t>B602 AE</t>
  </si>
  <si>
    <t>B602 AF</t>
  </si>
  <si>
    <t>B602 AG</t>
  </si>
  <si>
    <t>B602 AH</t>
  </si>
  <si>
    <t>Manpower (B602) Subtotal</t>
  </si>
  <si>
    <t>B603</t>
  </si>
  <si>
    <t>B603 AA</t>
  </si>
  <si>
    <t>B603 AB</t>
  </si>
  <si>
    <t>B603 AC</t>
  </si>
  <si>
    <t>B603 AD</t>
  </si>
  <si>
    <t>B603 AE</t>
  </si>
  <si>
    <t>B603 AF</t>
  </si>
  <si>
    <t>B603 AG</t>
  </si>
  <si>
    <t>B603 AH</t>
  </si>
  <si>
    <t>MCCOG (B603) Subtotal</t>
  </si>
  <si>
    <t>B604</t>
  </si>
  <si>
    <t>B604 AA</t>
  </si>
  <si>
    <t>B604 AB</t>
  </si>
  <si>
    <t>B604 AC</t>
  </si>
  <si>
    <t>B604 AD</t>
  </si>
  <si>
    <t>B604 AE</t>
  </si>
  <si>
    <t>B604 AF</t>
  </si>
  <si>
    <t>B604 AG</t>
  </si>
  <si>
    <t>B604 AH</t>
  </si>
  <si>
    <t>NMCL (B604) Subtotal</t>
  </si>
  <si>
    <t>B605</t>
  </si>
  <si>
    <t>B605 AA</t>
  </si>
  <si>
    <t>B605 AB</t>
  </si>
  <si>
    <t>B605 AC</t>
  </si>
  <si>
    <t>B605 AD</t>
  </si>
  <si>
    <t>B605 AE</t>
  </si>
  <si>
    <t>B605 AF</t>
  </si>
  <si>
    <t>B605 AG</t>
  </si>
  <si>
    <t>B605 AH</t>
  </si>
  <si>
    <t>VET (DHA) (B605) Subtotal</t>
  </si>
  <si>
    <t>B606</t>
  </si>
  <si>
    <t>B606 AA</t>
  </si>
  <si>
    <t>B606 AB</t>
  </si>
  <si>
    <t>B606 AC</t>
  </si>
  <si>
    <t>B606 AD</t>
  </si>
  <si>
    <t>B606 AE</t>
  </si>
  <si>
    <t>B606 AF</t>
  </si>
  <si>
    <t>B606 AG</t>
  </si>
  <si>
    <t>B606 AH</t>
  </si>
  <si>
    <t>MCIA (B606) Subtotal</t>
  </si>
  <si>
    <t>B607</t>
  </si>
  <si>
    <t>B607 AA</t>
  </si>
  <si>
    <t>B607 AB</t>
  </si>
  <si>
    <t>B607 AC</t>
  </si>
  <si>
    <t>B607 AD</t>
  </si>
  <si>
    <t>B607 AE</t>
  </si>
  <si>
    <t>B607 AF</t>
  </si>
  <si>
    <t>B607 AG</t>
  </si>
  <si>
    <t>B607 AH</t>
  </si>
  <si>
    <t>MCCDC (B607) Subtotal</t>
  </si>
  <si>
    <t>B608</t>
  </si>
  <si>
    <t>B608 AA</t>
  </si>
  <si>
    <t>B608 AB</t>
  </si>
  <si>
    <t>B608 AC</t>
  </si>
  <si>
    <t>B608 AD</t>
  </si>
  <si>
    <t>B608 AE</t>
  </si>
  <si>
    <t>B608 AF</t>
  </si>
  <si>
    <t>B608 AG</t>
  </si>
  <si>
    <t>B608 AH</t>
  </si>
  <si>
    <t>OCS (B608) Subtotal</t>
  </si>
  <si>
    <t>B700</t>
  </si>
  <si>
    <t>B701</t>
  </si>
  <si>
    <t>B701 AA</t>
  </si>
  <si>
    <t>B701 AB</t>
  </si>
  <si>
    <t>B701 AC</t>
  </si>
  <si>
    <t>B701 AD</t>
  </si>
  <si>
    <t>B701 AE</t>
  </si>
  <si>
    <t>B701 AF</t>
  </si>
  <si>
    <t>B701 AG</t>
  </si>
  <si>
    <t>B701 AH</t>
  </si>
  <si>
    <t>B702</t>
  </si>
  <si>
    <t>B702 AA</t>
  </si>
  <si>
    <t>B702 AB</t>
  </si>
  <si>
    <t>B702 AC</t>
  </si>
  <si>
    <t>B702 AD</t>
  </si>
  <si>
    <t>B702 AE</t>
  </si>
  <si>
    <t>B702 AF</t>
  </si>
  <si>
    <t>B702 AG</t>
  </si>
  <si>
    <t>B702 AH</t>
  </si>
  <si>
    <t>WRNMCC (B702) Subtotal</t>
  </si>
  <si>
    <t>B703</t>
  </si>
  <si>
    <t>B703 AA</t>
  </si>
  <si>
    <t>B703 AB</t>
  </si>
  <si>
    <t>B703 AC</t>
  </si>
  <si>
    <t>B703 AD</t>
  </si>
  <si>
    <t>B703 AE</t>
  </si>
  <si>
    <t>B703 AF</t>
  </si>
  <si>
    <t>B703 AG</t>
  </si>
  <si>
    <t>B703 AH</t>
  </si>
  <si>
    <t>AFRI/USSHS) (B703) Subtotal</t>
  </si>
  <si>
    <t>B704</t>
  </si>
  <si>
    <t>B704 AA</t>
  </si>
  <si>
    <t>B704 AB</t>
  </si>
  <si>
    <t>B704 AC</t>
  </si>
  <si>
    <t>B704 AD</t>
  </si>
  <si>
    <t>B704 AE</t>
  </si>
  <si>
    <t>B704 AF</t>
  </si>
  <si>
    <t>B704 AG</t>
  </si>
  <si>
    <t>B704 AH</t>
  </si>
  <si>
    <t>Dalecarlia (20% Regon /80% WRNMMC Funded) (B704) Subtotal</t>
  </si>
  <si>
    <t>B117</t>
  </si>
  <si>
    <t>B710</t>
  </si>
  <si>
    <t>B710 AA</t>
  </si>
  <si>
    <t>B710 AB</t>
  </si>
  <si>
    <t>B711</t>
  </si>
  <si>
    <t>B711 AA</t>
  </si>
  <si>
    <t>B711 AB</t>
  </si>
  <si>
    <t>WRNMCC (B711) Subtotal</t>
  </si>
  <si>
    <t>B712</t>
  </si>
  <si>
    <t>B712 AA</t>
  </si>
  <si>
    <t>B712 AB</t>
  </si>
  <si>
    <t>AFRI/USSHS) (B712) Subtotal</t>
  </si>
  <si>
    <t>B713</t>
  </si>
  <si>
    <t>B713 AA</t>
  </si>
  <si>
    <t>B713 AB</t>
  </si>
  <si>
    <t>Dalecarlia (20% Regon /80% WRNMMC Funded) (B713) Subtotal</t>
  </si>
  <si>
    <t>Line Item 0002 - Non-Recurring Work - Option Period 1</t>
  </si>
  <si>
    <t>ELIN B900 through B1026</t>
  </si>
  <si>
    <t>B900</t>
  </si>
  <si>
    <t>B901</t>
  </si>
  <si>
    <t>B902</t>
  </si>
  <si>
    <t>B903</t>
  </si>
  <si>
    <t>B904</t>
  </si>
  <si>
    <t>B905</t>
  </si>
  <si>
    <t>B906</t>
  </si>
  <si>
    <t>B907</t>
  </si>
  <si>
    <t>B908</t>
  </si>
  <si>
    <t>B909</t>
  </si>
  <si>
    <t>B910</t>
  </si>
  <si>
    <t>B911</t>
  </si>
  <si>
    <t>B912</t>
  </si>
  <si>
    <t>B913</t>
  </si>
  <si>
    <t>B914</t>
  </si>
  <si>
    <t>B915</t>
  </si>
  <si>
    <t>B916</t>
  </si>
  <si>
    <t>B917</t>
  </si>
  <si>
    <t>B918</t>
  </si>
  <si>
    <t>B919</t>
  </si>
  <si>
    <t>B920</t>
  </si>
  <si>
    <t>B921</t>
  </si>
  <si>
    <t>B922</t>
  </si>
  <si>
    <t>B923</t>
  </si>
  <si>
    <t>B924</t>
  </si>
  <si>
    <t>B925</t>
  </si>
  <si>
    <t>B926</t>
  </si>
  <si>
    <t>B927</t>
  </si>
  <si>
    <t>B928</t>
  </si>
  <si>
    <t>B929</t>
  </si>
  <si>
    <t>B930</t>
  </si>
  <si>
    <t>B931</t>
  </si>
  <si>
    <t>B932</t>
  </si>
  <si>
    <t>B933</t>
  </si>
  <si>
    <t>B934</t>
  </si>
  <si>
    <t>B935</t>
  </si>
  <si>
    <t>B936</t>
  </si>
  <si>
    <t>B937</t>
  </si>
  <si>
    <t>B938</t>
  </si>
  <si>
    <t>B939</t>
  </si>
  <si>
    <t>B940</t>
  </si>
  <si>
    <t>B941</t>
  </si>
  <si>
    <t>B942</t>
  </si>
  <si>
    <t>B943</t>
  </si>
  <si>
    <t>B944</t>
  </si>
  <si>
    <t>B945</t>
  </si>
  <si>
    <t>B946</t>
  </si>
  <si>
    <t>B947</t>
  </si>
  <si>
    <t>B948</t>
  </si>
  <si>
    <t>B949</t>
  </si>
  <si>
    <t>B950</t>
  </si>
  <si>
    <t>B951</t>
  </si>
  <si>
    <t>B952</t>
  </si>
  <si>
    <t>B953</t>
  </si>
  <si>
    <t>B954</t>
  </si>
  <si>
    <t>B955</t>
  </si>
  <si>
    <t>B956</t>
  </si>
  <si>
    <t>B957</t>
  </si>
  <si>
    <t>B958</t>
  </si>
  <si>
    <t>B959</t>
  </si>
  <si>
    <t>B960</t>
  </si>
  <si>
    <t>B961</t>
  </si>
  <si>
    <t>B962</t>
  </si>
  <si>
    <t>B963</t>
  </si>
  <si>
    <t>B964</t>
  </si>
  <si>
    <t>B965</t>
  </si>
  <si>
    <t>B966</t>
  </si>
  <si>
    <t>B967</t>
  </si>
  <si>
    <t>B968</t>
  </si>
  <si>
    <t>B969</t>
  </si>
  <si>
    <t>B970</t>
  </si>
  <si>
    <t>B971</t>
  </si>
  <si>
    <t>B972</t>
  </si>
  <si>
    <t>B973</t>
  </si>
  <si>
    <t>B974</t>
  </si>
  <si>
    <t>B975</t>
  </si>
  <si>
    <t>B976</t>
  </si>
  <si>
    <t>B977</t>
  </si>
  <si>
    <t>B978</t>
  </si>
  <si>
    <t>B979</t>
  </si>
  <si>
    <t>B980</t>
  </si>
  <si>
    <t>B981</t>
  </si>
  <si>
    <t>B982</t>
  </si>
  <si>
    <t>B983</t>
  </si>
  <si>
    <t>B984</t>
  </si>
  <si>
    <t>B985</t>
  </si>
  <si>
    <t>B986</t>
  </si>
  <si>
    <t>B987</t>
  </si>
  <si>
    <t>B988</t>
  </si>
  <si>
    <t>B989</t>
  </si>
  <si>
    <t>B990</t>
  </si>
  <si>
    <t>B991</t>
  </si>
  <si>
    <t>B992</t>
  </si>
  <si>
    <t>B993</t>
  </si>
  <si>
    <t>B994</t>
  </si>
  <si>
    <t>B995</t>
  </si>
  <si>
    <t>B996</t>
  </si>
  <si>
    <t>B997</t>
  </si>
  <si>
    <t>B998</t>
  </si>
  <si>
    <t>B999</t>
  </si>
  <si>
    <t>B1000</t>
  </si>
  <si>
    <t>B1001</t>
  </si>
  <si>
    <t>B1002</t>
  </si>
  <si>
    <t>B1003</t>
  </si>
  <si>
    <t>B1004</t>
  </si>
  <si>
    <t>B1005</t>
  </si>
  <si>
    <t>B1006</t>
  </si>
  <si>
    <t>B1007</t>
  </si>
  <si>
    <t>B1008</t>
  </si>
  <si>
    <t>B1009</t>
  </si>
  <si>
    <t>B1010</t>
  </si>
  <si>
    <t>B1011</t>
  </si>
  <si>
    <t>B1012</t>
  </si>
  <si>
    <t>B1013</t>
  </si>
  <si>
    <t>B1014</t>
  </si>
  <si>
    <t>B1015</t>
  </si>
  <si>
    <t>B1016</t>
  </si>
  <si>
    <t>B1017</t>
  </si>
  <si>
    <t>B1018</t>
  </si>
  <si>
    <t>B1019</t>
  </si>
  <si>
    <t>B1020</t>
  </si>
  <si>
    <t>B1021</t>
  </si>
  <si>
    <t>B1022</t>
  </si>
  <si>
    <t>B1023</t>
  </si>
  <si>
    <t>B1024</t>
  </si>
  <si>
    <t>B1025</t>
  </si>
  <si>
    <t>B1026</t>
  </si>
  <si>
    <t>B1027</t>
  </si>
  <si>
    <t xml:space="preserve">Total Indefinte Quantity Price Option Period 1 (B900 - B1026) </t>
  </si>
  <si>
    <t>ELIN/Sub-ELINs C100 through C700</t>
  </si>
  <si>
    <t>C100</t>
  </si>
  <si>
    <t>C101</t>
  </si>
  <si>
    <t>C101 AA</t>
  </si>
  <si>
    <t>C101 AB</t>
  </si>
  <si>
    <t>C101 AC</t>
  </si>
  <si>
    <t>C101 AD</t>
  </si>
  <si>
    <t>C101 AE</t>
  </si>
  <si>
    <t>C101 AF</t>
  </si>
  <si>
    <t>C101 AG</t>
  </si>
  <si>
    <t>C101 AH</t>
  </si>
  <si>
    <t>Washington Navy Yard (WNY)(Regiona Funded) (C101) Subtotal</t>
  </si>
  <si>
    <t>C102</t>
  </si>
  <si>
    <t>C102 AA</t>
  </si>
  <si>
    <t>C102 AB</t>
  </si>
  <si>
    <t>C102 AC</t>
  </si>
  <si>
    <t>C102 AD</t>
  </si>
  <si>
    <t>C102 AE</t>
  </si>
  <si>
    <t>C102 AF</t>
  </si>
  <si>
    <t>C102 AG</t>
  </si>
  <si>
    <t>C102 AH</t>
  </si>
  <si>
    <t xml:space="preserve"> Arlington (ASC)(Region Funded) (C102) Subtotal</t>
  </si>
  <si>
    <t>C103</t>
  </si>
  <si>
    <t>C103 AA</t>
  </si>
  <si>
    <t>C103 AB</t>
  </si>
  <si>
    <t>C103 AC</t>
  </si>
  <si>
    <t>C103 AD</t>
  </si>
  <si>
    <t>C103 AE</t>
  </si>
  <si>
    <t>C103 AF</t>
  </si>
  <si>
    <t>C103 AG</t>
  </si>
  <si>
    <t>C103 AH</t>
  </si>
  <si>
    <t>Naval Observatory (USNO) (Region Funded) (C103) Subtotal</t>
  </si>
  <si>
    <t>C104</t>
  </si>
  <si>
    <t>C104 AA</t>
  </si>
  <si>
    <t>C104 AB</t>
  </si>
  <si>
    <t>C104 AC</t>
  </si>
  <si>
    <t>C104 AD</t>
  </si>
  <si>
    <t>C104 AE</t>
  </si>
  <si>
    <t>C104 AF</t>
  </si>
  <si>
    <t>C104 AG</t>
  </si>
  <si>
    <t>C104 AH</t>
  </si>
  <si>
    <t>VPR (Quarters A) (Region Funded) (C104) Subtotal</t>
  </si>
  <si>
    <t>C105</t>
  </si>
  <si>
    <t>C105 AA</t>
  </si>
  <si>
    <t>C105 AB</t>
  </si>
  <si>
    <t>C105 AC</t>
  </si>
  <si>
    <t>C105 AD</t>
  </si>
  <si>
    <t>C105 AE</t>
  </si>
  <si>
    <t>C105 AF</t>
  </si>
  <si>
    <t>C105 AG</t>
  </si>
  <si>
    <t>C105 AH</t>
  </si>
  <si>
    <t>Naval Research Lab (NRL) (C105) Subtotal</t>
  </si>
  <si>
    <t>C106</t>
  </si>
  <si>
    <t>C106 AA</t>
  </si>
  <si>
    <t>C106 AB</t>
  </si>
  <si>
    <t>C106 AC</t>
  </si>
  <si>
    <t>C106 AD</t>
  </si>
  <si>
    <t>C106 AE</t>
  </si>
  <si>
    <t>C106 AF</t>
  </si>
  <si>
    <t>C106 AG</t>
  </si>
  <si>
    <t>C106 AH</t>
  </si>
  <si>
    <t>NSWC Carderock (C106) Subtotal</t>
  </si>
  <si>
    <t>C107</t>
  </si>
  <si>
    <t>C107 AA</t>
  </si>
  <si>
    <t>C107 AB</t>
  </si>
  <si>
    <t>C107 AC</t>
  </si>
  <si>
    <t>C107 AD</t>
  </si>
  <si>
    <t>C107 AE</t>
  </si>
  <si>
    <t>C107 AF</t>
  </si>
  <si>
    <t>C107 AG</t>
  </si>
  <si>
    <t>C107 AH</t>
  </si>
  <si>
    <t>Marine Barracks Washington (MBW) (C107) Subtotal</t>
  </si>
  <si>
    <t>C200</t>
  </si>
  <si>
    <t>C300</t>
  </si>
  <si>
    <t>C400</t>
  </si>
  <si>
    <t>C500</t>
  </si>
  <si>
    <t>C600</t>
  </si>
  <si>
    <t>C601</t>
  </si>
  <si>
    <t>C601 AA</t>
  </si>
  <si>
    <t>C601 AB</t>
  </si>
  <si>
    <t>C601 AC</t>
  </si>
  <si>
    <t>C601 AD</t>
  </si>
  <si>
    <t>C601 AE</t>
  </si>
  <si>
    <t>C601 AF</t>
  </si>
  <si>
    <t>C601 AG</t>
  </si>
  <si>
    <t>C601 AH</t>
  </si>
  <si>
    <t>MCSC (C601) Subtotal</t>
  </si>
  <si>
    <t>C602</t>
  </si>
  <si>
    <t>C602 AA</t>
  </si>
  <si>
    <t>C602 AB</t>
  </si>
  <si>
    <t>C602 AC</t>
  </si>
  <si>
    <t>C602 AD</t>
  </si>
  <si>
    <t>C602 AE</t>
  </si>
  <si>
    <t>C602 AF</t>
  </si>
  <si>
    <t>C602 AG</t>
  </si>
  <si>
    <t>C602 AH</t>
  </si>
  <si>
    <t>Manpower (C602) Subtotal</t>
  </si>
  <si>
    <t>C603</t>
  </si>
  <si>
    <t>C603 AA</t>
  </si>
  <si>
    <t>C603 AB</t>
  </si>
  <si>
    <t>C603 AC</t>
  </si>
  <si>
    <t>C603 AD</t>
  </si>
  <si>
    <t>C603 AE</t>
  </si>
  <si>
    <t>C603 AF</t>
  </si>
  <si>
    <t>C603 AG</t>
  </si>
  <si>
    <t>C603 AH</t>
  </si>
  <si>
    <t>MCCOG (C603) Subtotal</t>
  </si>
  <si>
    <t>C604</t>
  </si>
  <si>
    <t>C604 AA</t>
  </si>
  <si>
    <t>C604 AB</t>
  </si>
  <si>
    <t>C604 AC</t>
  </si>
  <si>
    <t>C604 AD</t>
  </si>
  <si>
    <t>C604 AE</t>
  </si>
  <si>
    <t>C604 AF</t>
  </si>
  <si>
    <t>C604 AG</t>
  </si>
  <si>
    <t>C604 AH</t>
  </si>
  <si>
    <t>NMCL (C604) Subtotal</t>
  </si>
  <si>
    <t>C605</t>
  </si>
  <si>
    <t>C605 AA</t>
  </si>
  <si>
    <t>C605 AB</t>
  </si>
  <si>
    <t>C605 AC</t>
  </si>
  <si>
    <t>C605 AD</t>
  </si>
  <si>
    <t>C605 AE</t>
  </si>
  <si>
    <t>C605 AF</t>
  </si>
  <si>
    <t>C605 AG</t>
  </si>
  <si>
    <t>C605 AH</t>
  </si>
  <si>
    <t>VET (DHA) (C605) Subtotal</t>
  </si>
  <si>
    <t>C606</t>
  </si>
  <si>
    <t>C606 AA</t>
  </si>
  <si>
    <t>C606 AB</t>
  </si>
  <si>
    <t>C606 AC</t>
  </si>
  <si>
    <t>C606 AD</t>
  </si>
  <si>
    <t>C606 AE</t>
  </si>
  <si>
    <t>C606 AF</t>
  </si>
  <si>
    <t>C606 AG</t>
  </si>
  <si>
    <t>C606 AH</t>
  </si>
  <si>
    <t>MCIA (C606) Subtotal</t>
  </si>
  <si>
    <t>C607</t>
  </si>
  <si>
    <t>C607 AA</t>
  </si>
  <si>
    <t>C607 AB</t>
  </si>
  <si>
    <t>C607 AC</t>
  </si>
  <si>
    <t>C607 AD</t>
  </si>
  <si>
    <t>C607 AE</t>
  </si>
  <si>
    <t>C607 AF</t>
  </si>
  <si>
    <t>C607 AG</t>
  </si>
  <si>
    <t>C607 AH</t>
  </si>
  <si>
    <t>MCCDC (C607) Subtotal</t>
  </si>
  <si>
    <t>C608</t>
  </si>
  <si>
    <t>C608 AA</t>
  </si>
  <si>
    <t>C608 AB</t>
  </si>
  <si>
    <t>C608 AC</t>
  </si>
  <si>
    <t>C608 AD</t>
  </si>
  <si>
    <t>C608 AE</t>
  </si>
  <si>
    <t>C608 AF</t>
  </si>
  <si>
    <t>C608 AG</t>
  </si>
  <si>
    <t>C608 AH</t>
  </si>
  <si>
    <t>OCS (C608) Subtotal</t>
  </si>
  <si>
    <t>C700</t>
  </si>
  <si>
    <t>C701</t>
  </si>
  <si>
    <t>C701 AA</t>
  </si>
  <si>
    <t>C701 AB</t>
  </si>
  <si>
    <t>C701 AC</t>
  </si>
  <si>
    <t>C701 AD</t>
  </si>
  <si>
    <t>C701 AE</t>
  </si>
  <si>
    <t>C701 AF</t>
  </si>
  <si>
    <t>C701 AG</t>
  </si>
  <si>
    <t>C701 AH</t>
  </si>
  <si>
    <t>C702</t>
  </si>
  <si>
    <t>C702 AA</t>
  </si>
  <si>
    <t>C702 AB</t>
  </si>
  <si>
    <t>C702 AC</t>
  </si>
  <si>
    <t>C702 AD</t>
  </si>
  <si>
    <t>C702 AE</t>
  </si>
  <si>
    <t>C702 AF</t>
  </si>
  <si>
    <t>C702 AG</t>
  </si>
  <si>
    <t>C702 AH</t>
  </si>
  <si>
    <t>WRNMCC (C702) Subtotal</t>
  </si>
  <si>
    <t>C703</t>
  </si>
  <si>
    <t>C703 AA</t>
  </si>
  <si>
    <t>C703 AB</t>
  </si>
  <si>
    <t>C703 AC</t>
  </si>
  <si>
    <t>C703 AD</t>
  </si>
  <si>
    <t>C703 AE</t>
  </si>
  <si>
    <t>C703 AF</t>
  </si>
  <si>
    <t>C703 AG</t>
  </si>
  <si>
    <t>C703 AH</t>
  </si>
  <si>
    <t>AFRI/USSHS) (C703) Subtotal</t>
  </si>
  <si>
    <t>C704</t>
  </si>
  <si>
    <t>C704 AA</t>
  </si>
  <si>
    <t>C704 AB</t>
  </si>
  <si>
    <t>C704 AC</t>
  </si>
  <si>
    <t>C704 AD</t>
  </si>
  <si>
    <t>C704 AE</t>
  </si>
  <si>
    <t>C704 AF</t>
  </si>
  <si>
    <t>C704 AG</t>
  </si>
  <si>
    <t>C704 AH</t>
  </si>
  <si>
    <t>Dalecarlia (20% Regon /80% WRNMMC Funded) (C704) Subtotal</t>
  </si>
  <si>
    <t>C117</t>
  </si>
  <si>
    <t>C710</t>
  </si>
  <si>
    <t>C710 AA</t>
  </si>
  <si>
    <t>C710 AB</t>
  </si>
  <si>
    <t>C711</t>
  </si>
  <si>
    <t>C711 AA</t>
  </si>
  <si>
    <t>C711 AB</t>
  </si>
  <si>
    <t>WRNMCC (C711) Subtotal</t>
  </si>
  <si>
    <t>C712</t>
  </si>
  <si>
    <t>C712 AA</t>
  </si>
  <si>
    <t>C712 AB</t>
  </si>
  <si>
    <t>AFRI/USSHS) (C712) Subtotal</t>
  </si>
  <si>
    <t>C713</t>
  </si>
  <si>
    <t>C713 AA</t>
  </si>
  <si>
    <t>C713 AB</t>
  </si>
  <si>
    <t>Dalecarlia (20% Regon /80% WRNMMC Funded) (C713) Subtotal</t>
  </si>
  <si>
    <t>Line Item 0002 - Non-Recurring Work - Option Period 2</t>
  </si>
  <si>
    <t>ELIN C900 through C1026</t>
  </si>
  <si>
    <t>C900</t>
  </si>
  <si>
    <t>C901</t>
  </si>
  <si>
    <t>C902</t>
  </si>
  <si>
    <t>C903</t>
  </si>
  <si>
    <t>C904</t>
  </si>
  <si>
    <t>C905</t>
  </si>
  <si>
    <t>C906</t>
  </si>
  <si>
    <t>C907</t>
  </si>
  <si>
    <t>C908</t>
  </si>
  <si>
    <t>C909</t>
  </si>
  <si>
    <t>C910</t>
  </si>
  <si>
    <t>C911</t>
  </si>
  <si>
    <t>C912</t>
  </si>
  <si>
    <t>C913</t>
  </si>
  <si>
    <t>C914</t>
  </si>
  <si>
    <t>C915</t>
  </si>
  <si>
    <t>C916</t>
  </si>
  <si>
    <t>C917</t>
  </si>
  <si>
    <t>C918</t>
  </si>
  <si>
    <t>C919</t>
  </si>
  <si>
    <t>C920</t>
  </si>
  <si>
    <t>C921</t>
  </si>
  <si>
    <t>C922</t>
  </si>
  <si>
    <t>C923</t>
  </si>
  <si>
    <t>C924</t>
  </si>
  <si>
    <t>C925</t>
  </si>
  <si>
    <t>C926</t>
  </si>
  <si>
    <t>C927</t>
  </si>
  <si>
    <t>C928</t>
  </si>
  <si>
    <t>C929</t>
  </si>
  <si>
    <t>C930</t>
  </si>
  <si>
    <t>C931</t>
  </si>
  <si>
    <t>C932</t>
  </si>
  <si>
    <t>C933</t>
  </si>
  <si>
    <t>C934</t>
  </si>
  <si>
    <t>C935</t>
  </si>
  <si>
    <t>C936</t>
  </si>
  <si>
    <t>C937</t>
  </si>
  <si>
    <t>C938</t>
  </si>
  <si>
    <t>C939</t>
  </si>
  <si>
    <t>C940</t>
  </si>
  <si>
    <t>C941</t>
  </si>
  <si>
    <t>C942</t>
  </si>
  <si>
    <t>C943</t>
  </si>
  <si>
    <t>C944</t>
  </si>
  <si>
    <t>C945</t>
  </si>
  <si>
    <t>C946</t>
  </si>
  <si>
    <t>C947</t>
  </si>
  <si>
    <t>C948</t>
  </si>
  <si>
    <t>C949</t>
  </si>
  <si>
    <t>C950</t>
  </si>
  <si>
    <t>C951</t>
  </si>
  <si>
    <t>C952</t>
  </si>
  <si>
    <t>C953</t>
  </si>
  <si>
    <t>C954</t>
  </si>
  <si>
    <t>C955</t>
  </si>
  <si>
    <t>C956</t>
  </si>
  <si>
    <t>C957</t>
  </si>
  <si>
    <t>C958</t>
  </si>
  <si>
    <t>C959</t>
  </si>
  <si>
    <t>C960</t>
  </si>
  <si>
    <t>C961</t>
  </si>
  <si>
    <t>C962</t>
  </si>
  <si>
    <t>C963</t>
  </si>
  <si>
    <t>C964</t>
  </si>
  <si>
    <t>C965</t>
  </si>
  <si>
    <t>C966</t>
  </si>
  <si>
    <t>C967</t>
  </si>
  <si>
    <t>C968</t>
  </si>
  <si>
    <t>C969</t>
  </si>
  <si>
    <t>C970</t>
  </si>
  <si>
    <t>C971</t>
  </si>
  <si>
    <t>C972</t>
  </si>
  <si>
    <t>C973</t>
  </si>
  <si>
    <t>C974</t>
  </si>
  <si>
    <t>C975</t>
  </si>
  <si>
    <t>C976</t>
  </si>
  <si>
    <t>C977</t>
  </si>
  <si>
    <t>C978</t>
  </si>
  <si>
    <t>C979</t>
  </si>
  <si>
    <t>C980</t>
  </si>
  <si>
    <t>C981</t>
  </si>
  <si>
    <t>C982</t>
  </si>
  <si>
    <t>C983</t>
  </si>
  <si>
    <t>C984</t>
  </si>
  <si>
    <t>C985</t>
  </si>
  <si>
    <t>C986</t>
  </si>
  <si>
    <t>C987</t>
  </si>
  <si>
    <t>C988</t>
  </si>
  <si>
    <t>C989</t>
  </si>
  <si>
    <t>C990</t>
  </si>
  <si>
    <t>C991</t>
  </si>
  <si>
    <t>C992</t>
  </si>
  <si>
    <t>C993</t>
  </si>
  <si>
    <t>C994</t>
  </si>
  <si>
    <t>C995</t>
  </si>
  <si>
    <t>C996</t>
  </si>
  <si>
    <t>C997</t>
  </si>
  <si>
    <t>C998</t>
  </si>
  <si>
    <t>C999</t>
  </si>
  <si>
    <t>C1000</t>
  </si>
  <si>
    <t>C1001</t>
  </si>
  <si>
    <t>C1002</t>
  </si>
  <si>
    <t>C1003</t>
  </si>
  <si>
    <t>C1004</t>
  </si>
  <si>
    <t>C1005</t>
  </si>
  <si>
    <t>C1006</t>
  </si>
  <si>
    <t>C1007</t>
  </si>
  <si>
    <t>C1008</t>
  </si>
  <si>
    <t>C1009</t>
  </si>
  <si>
    <t>C1010</t>
  </si>
  <si>
    <t>C1011</t>
  </si>
  <si>
    <t>C1012</t>
  </si>
  <si>
    <t>C1013</t>
  </si>
  <si>
    <t>C1014</t>
  </si>
  <si>
    <t>C1015</t>
  </si>
  <si>
    <t>C1016</t>
  </si>
  <si>
    <t>C1017</t>
  </si>
  <si>
    <t>C1018</t>
  </si>
  <si>
    <t>C1019</t>
  </si>
  <si>
    <t>C1020</t>
  </si>
  <si>
    <t>C1021</t>
  </si>
  <si>
    <t>C1022</t>
  </si>
  <si>
    <t>C1023</t>
  </si>
  <si>
    <t>C1024</t>
  </si>
  <si>
    <t>C1025</t>
  </si>
  <si>
    <t>C1026</t>
  </si>
  <si>
    <t>C1027</t>
  </si>
  <si>
    <t xml:space="preserve">Total Indefinte Quantity Price Option Period  2 (C900 - C1026) </t>
  </si>
  <si>
    <t>ELIN/Sub-ELINs D100 through D700</t>
  </si>
  <si>
    <t>D100</t>
  </si>
  <si>
    <t>D101</t>
  </si>
  <si>
    <t>D101 AA</t>
  </si>
  <si>
    <t>D101 AB</t>
  </si>
  <si>
    <t>D101 AC</t>
  </si>
  <si>
    <t>D101 AD</t>
  </si>
  <si>
    <t>D101 AE</t>
  </si>
  <si>
    <t>D101 AF</t>
  </si>
  <si>
    <t>D101 AG</t>
  </si>
  <si>
    <t>D101 AH</t>
  </si>
  <si>
    <t>Washington Navy Yard (WNY)(Regiona Funded) (D101) Subtotal</t>
  </si>
  <si>
    <t>D102</t>
  </si>
  <si>
    <t>D102 AA</t>
  </si>
  <si>
    <t>D102 AB</t>
  </si>
  <si>
    <t>D102 AC</t>
  </si>
  <si>
    <t>D102 AD</t>
  </si>
  <si>
    <t>D102 AE</t>
  </si>
  <si>
    <t>D102 AF</t>
  </si>
  <si>
    <t>D102 AG</t>
  </si>
  <si>
    <t>D102 AH</t>
  </si>
  <si>
    <t xml:space="preserve"> Arlington (ASC)(Region Funded) (D102) Subtotal</t>
  </si>
  <si>
    <t>D103</t>
  </si>
  <si>
    <t>D103 AA</t>
  </si>
  <si>
    <t>D103 AB</t>
  </si>
  <si>
    <t>D103 AC</t>
  </si>
  <si>
    <t>D103 AD</t>
  </si>
  <si>
    <t>D103 AE</t>
  </si>
  <si>
    <t>D103 AF</t>
  </si>
  <si>
    <t>D103 AG</t>
  </si>
  <si>
    <t>D103 AH</t>
  </si>
  <si>
    <t>Naval Observatory (USNO) (Region Funded) (D103) Subtotal</t>
  </si>
  <si>
    <t>D104</t>
  </si>
  <si>
    <t>D104 AA</t>
  </si>
  <si>
    <t>D104 AB</t>
  </si>
  <si>
    <t>D104 AC</t>
  </si>
  <si>
    <t>D104 AD</t>
  </si>
  <si>
    <t>D104 AE</t>
  </si>
  <si>
    <t>D104 AF</t>
  </si>
  <si>
    <t>D104 AG</t>
  </si>
  <si>
    <t>D104 AH</t>
  </si>
  <si>
    <t>VPR (Quarters A) (Region Funded) (D104) Subtotal</t>
  </si>
  <si>
    <t>D105</t>
  </si>
  <si>
    <t>D105 AA</t>
  </si>
  <si>
    <t>D105 AB</t>
  </si>
  <si>
    <t>D105 AC</t>
  </si>
  <si>
    <t>D105 AD</t>
  </si>
  <si>
    <t>D105 AE</t>
  </si>
  <si>
    <t>D105 AF</t>
  </si>
  <si>
    <t>D105 AG</t>
  </si>
  <si>
    <t>D105 AH</t>
  </si>
  <si>
    <t>Naval Research Lab (NRL) (D105) Subtotal</t>
  </si>
  <si>
    <t>D106</t>
  </si>
  <si>
    <t>D106 AA</t>
  </si>
  <si>
    <t>D106 AB</t>
  </si>
  <si>
    <t>D106 AC</t>
  </si>
  <si>
    <t>D106 AD</t>
  </si>
  <si>
    <t>D106 AE</t>
  </si>
  <si>
    <t>D106 AF</t>
  </si>
  <si>
    <t>D106 AG</t>
  </si>
  <si>
    <t>D106 AH</t>
  </si>
  <si>
    <t>NSWC Carderock (D106) Subtotal</t>
  </si>
  <si>
    <t>D107</t>
  </si>
  <si>
    <t>D107 AA</t>
  </si>
  <si>
    <t>D107 AB</t>
  </si>
  <si>
    <t>D107 AC</t>
  </si>
  <si>
    <t>D107 AD</t>
  </si>
  <si>
    <t>D107 AE</t>
  </si>
  <si>
    <t>D107 AF</t>
  </si>
  <si>
    <t>D107 AG</t>
  </si>
  <si>
    <t>D107 AH</t>
  </si>
  <si>
    <t>Marine Barracks Washington (MBW) (D107) Subtotal</t>
  </si>
  <si>
    <t>D200</t>
  </si>
  <si>
    <t>D300</t>
  </si>
  <si>
    <t>D400</t>
  </si>
  <si>
    <t>D500</t>
  </si>
  <si>
    <t>D600</t>
  </si>
  <si>
    <t>D601</t>
  </si>
  <si>
    <t>D601 AA</t>
  </si>
  <si>
    <t>D601 AB</t>
  </si>
  <si>
    <t>D601 AC</t>
  </si>
  <si>
    <t>D601 AD</t>
  </si>
  <si>
    <t>D601 AE</t>
  </si>
  <si>
    <t>D601 AF</t>
  </si>
  <si>
    <t>D601 AG</t>
  </si>
  <si>
    <t>D601 AH</t>
  </si>
  <si>
    <t>MCSC (D601) Subtotal</t>
  </si>
  <si>
    <t>D602</t>
  </si>
  <si>
    <t>D602 AA</t>
  </si>
  <si>
    <t>D602 AB</t>
  </si>
  <si>
    <t>D602 AC</t>
  </si>
  <si>
    <t>D602 AD</t>
  </si>
  <si>
    <t>D602 AE</t>
  </si>
  <si>
    <t>D602 AF</t>
  </si>
  <si>
    <t>D602 AG</t>
  </si>
  <si>
    <t>D602 AH</t>
  </si>
  <si>
    <t>Manpower (D602) Subtotal</t>
  </si>
  <si>
    <t>D603</t>
  </si>
  <si>
    <t>D603 AA</t>
  </si>
  <si>
    <t>D603 AB</t>
  </si>
  <si>
    <t>D603 AC</t>
  </si>
  <si>
    <t>D603 AD</t>
  </si>
  <si>
    <t>D603 AE</t>
  </si>
  <si>
    <t>D603 AF</t>
  </si>
  <si>
    <t>D603 AG</t>
  </si>
  <si>
    <t>D603 AH</t>
  </si>
  <si>
    <t>MCCOG (D603) Subtotal</t>
  </si>
  <si>
    <t>D604</t>
  </si>
  <si>
    <t>D604 AA</t>
  </si>
  <si>
    <t>D604 AB</t>
  </si>
  <si>
    <t>D604 AC</t>
  </si>
  <si>
    <t>D604 AD</t>
  </si>
  <si>
    <t>D604 AE</t>
  </si>
  <si>
    <t>D604 AF</t>
  </si>
  <si>
    <t>D604 AG</t>
  </si>
  <si>
    <t>D604 AH</t>
  </si>
  <si>
    <t>NMCL (D604) Subtotal</t>
  </si>
  <si>
    <t>D605</t>
  </si>
  <si>
    <t>D605 AA</t>
  </si>
  <si>
    <t>D605 AB</t>
  </si>
  <si>
    <t>D605 AC</t>
  </si>
  <si>
    <t>D605 AD</t>
  </si>
  <si>
    <t>D605 AE</t>
  </si>
  <si>
    <t>D605 AF</t>
  </si>
  <si>
    <t>D605 AG</t>
  </si>
  <si>
    <t>D605 AH</t>
  </si>
  <si>
    <t>VET (DHA) (D605) Subtotal</t>
  </si>
  <si>
    <t>D606</t>
  </si>
  <si>
    <t>D606 AA</t>
  </si>
  <si>
    <t>D606 AB</t>
  </si>
  <si>
    <t>D606 AC</t>
  </si>
  <si>
    <t>D606 AD</t>
  </si>
  <si>
    <t>D606 AE</t>
  </si>
  <si>
    <t>D606 AF</t>
  </si>
  <si>
    <t>D606 AG</t>
  </si>
  <si>
    <t>D606 AH</t>
  </si>
  <si>
    <t>MCIA (D606) Subtotal</t>
  </si>
  <si>
    <t>D607</t>
  </si>
  <si>
    <t>D607 AA</t>
  </si>
  <si>
    <t>D607 AB</t>
  </si>
  <si>
    <t>D607 AC</t>
  </si>
  <si>
    <t>D607 AD</t>
  </si>
  <si>
    <t>D607 AE</t>
  </si>
  <si>
    <t>D607 AF</t>
  </si>
  <si>
    <t>D607 AG</t>
  </si>
  <si>
    <t>D607 AH</t>
  </si>
  <si>
    <t>MCCDC (D607) Subtotal</t>
  </si>
  <si>
    <t>D608</t>
  </si>
  <si>
    <t>D608 AA</t>
  </si>
  <si>
    <t>D608 AB</t>
  </si>
  <si>
    <t>D608 AC</t>
  </si>
  <si>
    <t>D608 AD</t>
  </si>
  <si>
    <t>D608 AE</t>
  </si>
  <si>
    <t>D608 AF</t>
  </si>
  <si>
    <t>D608 AG</t>
  </si>
  <si>
    <t>D608 AH</t>
  </si>
  <si>
    <t>OCS (D608) Subtotal</t>
  </si>
  <si>
    <t>D700</t>
  </si>
  <si>
    <t>D701</t>
  </si>
  <si>
    <t>D701 AA</t>
  </si>
  <si>
    <t>D701 AB</t>
  </si>
  <si>
    <t>D701 AC</t>
  </si>
  <si>
    <t>D701 AD</t>
  </si>
  <si>
    <t>D701 AE</t>
  </si>
  <si>
    <t>D701 AF</t>
  </si>
  <si>
    <t>D701 AG</t>
  </si>
  <si>
    <t>D701 AH</t>
  </si>
  <si>
    <t>D702</t>
  </si>
  <si>
    <t>D702 AA</t>
  </si>
  <si>
    <t>D702 AB</t>
  </si>
  <si>
    <t>D702 AC</t>
  </si>
  <si>
    <t>D702 AD</t>
  </si>
  <si>
    <t>D702 AE</t>
  </si>
  <si>
    <t>D702 AF</t>
  </si>
  <si>
    <t>D702 AG</t>
  </si>
  <si>
    <t>D702 AH</t>
  </si>
  <si>
    <t>WRNMCC (D702) Subtotal</t>
  </si>
  <si>
    <t>D703</t>
  </si>
  <si>
    <t>D703 AA</t>
  </si>
  <si>
    <t>D703 AB</t>
  </si>
  <si>
    <t>D703 AC</t>
  </si>
  <si>
    <t>D703 AD</t>
  </si>
  <si>
    <t>D703 AE</t>
  </si>
  <si>
    <t>D703 AF</t>
  </si>
  <si>
    <t>D703 AG</t>
  </si>
  <si>
    <t>D703 AH</t>
  </si>
  <si>
    <t>AFRI/USSHS) (D703) Subtotal</t>
  </si>
  <si>
    <t>D704</t>
  </si>
  <si>
    <t>D704 AA</t>
  </si>
  <si>
    <t>D704 AB</t>
  </si>
  <si>
    <t>D704 AC</t>
  </si>
  <si>
    <t>D704 AD</t>
  </si>
  <si>
    <t>D704 AE</t>
  </si>
  <si>
    <t>D704 AF</t>
  </si>
  <si>
    <t>D704 AG</t>
  </si>
  <si>
    <t>D704 AH</t>
  </si>
  <si>
    <t>Dalecarlia (20% Regon /80% WRNMMC Funded) (D704) Subtotal</t>
  </si>
  <si>
    <t>D117</t>
  </si>
  <si>
    <t>D710</t>
  </si>
  <si>
    <t>D710 AA</t>
  </si>
  <si>
    <t>D710 AB</t>
  </si>
  <si>
    <t>D711</t>
  </si>
  <si>
    <t>D711 AA</t>
  </si>
  <si>
    <t>D711 AB</t>
  </si>
  <si>
    <t>WRNMCC (D711) Subtotal</t>
  </si>
  <si>
    <t>D712</t>
  </si>
  <si>
    <t>D712 AA</t>
  </si>
  <si>
    <t>D712 AB</t>
  </si>
  <si>
    <t>AFRI/USSHS) (D712) Subtotal</t>
  </si>
  <si>
    <t>D713</t>
  </si>
  <si>
    <t>D713 AA</t>
  </si>
  <si>
    <t>D713 AB</t>
  </si>
  <si>
    <t>Dalecarlia (20% Regon /80% WRNMMC Funded) (D713) Subtotal</t>
  </si>
  <si>
    <t>Line Item 0002 - Non-Recurring Work - Option Period 3</t>
  </si>
  <si>
    <t>ELIN D900 through D1026</t>
  </si>
  <si>
    <t>D900</t>
  </si>
  <si>
    <t>D901</t>
  </si>
  <si>
    <t>D902</t>
  </si>
  <si>
    <t>D903</t>
  </si>
  <si>
    <t>D904</t>
  </si>
  <si>
    <t>D905</t>
  </si>
  <si>
    <t>D906</t>
  </si>
  <si>
    <t>D907</t>
  </si>
  <si>
    <t>D908</t>
  </si>
  <si>
    <t>D909</t>
  </si>
  <si>
    <t>D910</t>
  </si>
  <si>
    <t>D911</t>
  </si>
  <si>
    <t>D912</t>
  </si>
  <si>
    <t>D913</t>
  </si>
  <si>
    <t>D914</t>
  </si>
  <si>
    <t>D915</t>
  </si>
  <si>
    <t>D916</t>
  </si>
  <si>
    <t>D917</t>
  </si>
  <si>
    <t>D918</t>
  </si>
  <si>
    <t>D919</t>
  </si>
  <si>
    <t>D920</t>
  </si>
  <si>
    <t>D921</t>
  </si>
  <si>
    <t>D922</t>
  </si>
  <si>
    <t>D923</t>
  </si>
  <si>
    <t>D924</t>
  </si>
  <si>
    <t>D925</t>
  </si>
  <si>
    <t>D926</t>
  </si>
  <si>
    <t>D927</t>
  </si>
  <si>
    <t>D928</t>
  </si>
  <si>
    <t>D929</t>
  </si>
  <si>
    <t>D930</t>
  </si>
  <si>
    <t>D931</t>
  </si>
  <si>
    <t>D932</t>
  </si>
  <si>
    <t>D933</t>
  </si>
  <si>
    <t>D934</t>
  </si>
  <si>
    <t>D935</t>
  </si>
  <si>
    <t>D936</t>
  </si>
  <si>
    <t>D937</t>
  </si>
  <si>
    <t>D938</t>
  </si>
  <si>
    <t>D939</t>
  </si>
  <si>
    <t>D940</t>
  </si>
  <si>
    <t>D941</t>
  </si>
  <si>
    <t>D942</t>
  </si>
  <si>
    <t>D943</t>
  </si>
  <si>
    <t>D944</t>
  </si>
  <si>
    <t>D945</t>
  </si>
  <si>
    <t>D946</t>
  </si>
  <si>
    <t>D947</t>
  </si>
  <si>
    <t>D948</t>
  </si>
  <si>
    <t>D949</t>
  </si>
  <si>
    <t>D950</t>
  </si>
  <si>
    <t>D951</t>
  </si>
  <si>
    <t>D952</t>
  </si>
  <si>
    <t>D953</t>
  </si>
  <si>
    <t>D954</t>
  </si>
  <si>
    <t>D955</t>
  </si>
  <si>
    <t>D956</t>
  </si>
  <si>
    <t>D957</t>
  </si>
  <si>
    <t>D958</t>
  </si>
  <si>
    <t>D959</t>
  </si>
  <si>
    <t>D960</t>
  </si>
  <si>
    <t>D961</t>
  </si>
  <si>
    <t>D962</t>
  </si>
  <si>
    <t>D963</t>
  </si>
  <si>
    <t>D964</t>
  </si>
  <si>
    <t>D965</t>
  </si>
  <si>
    <t>D966</t>
  </si>
  <si>
    <t>D967</t>
  </si>
  <si>
    <t>D968</t>
  </si>
  <si>
    <t>D969</t>
  </si>
  <si>
    <t>D970</t>
  </si>
  <si>
    <t>D971</t>
  </si>
  <si>
    <t>D972</t>
  </si>
  <si>
    <t>D973</t>
  </si>
  <si>
    <t>D974</t>
  </si>
  <si>
    <t>D975</t>
  </si>
  <si>
    <t>D976</t>
  </si>
  <si>
    <t>D977</t>
  </si>
  <si>
    <t>D978</t>
  </si>
  <si>
    <t>D979</t>
  </si>
  <si>
    <t>D980</t>
  </si>
  <si>
    <t>D981</t>
  </si>
  <si>
    <t>D982</t>
  </si>
  <si>
    <t>D983</t>
  </si>
  <si>
    <t>D984</t>
  </si>
  <si>
    <t>D985</t>
  </si>
  <si>
    <t>D986</t>
  </si>
  <si>
    <t>D987</t>
  </si>
  <si>
    <t>D988</t>
  </si>
  <si>
    <t>D989</t>
  </si>
  <si>
    <t>D990</t>
  </si>
  <si>
    <t>D991</t>
  </si>
  <si>
    <t>D992</t>
  </si>
  <si>
    <t>D993</t>
  </si>
  <si>
    <t>D994</t>
  </si>
  <si>
    <t>D995</t>
  </si>
  <si>
    <t>D996</t>
  </si>
  <si>
    <t>D997</t>
  </si>
  <si>
    <t>D998</t>
  </si>
  <si>
    <t>D999</t>
  </si>
  <si>
    <t>D1000</t>
  </si>
  <si>
    <t>D1001</t>
  </si>
  <si>
    <t>D1002</t>
  </si>
  <si>
    <t>D1003</t>
  </si>
  <si>
    <t>D1004</t>
  </si>
  <si>
    <t>D1005</t>
  </si>
  <si>
    <t>D1006</t>
  </si>
  <si>
    <t>D1007</t>
  </si>
  <si>
    <t>D1008</t>
  </si>
  <si>
    <t>D1009</t>
  </si>
  <si>
    <t>D1010</t>
  </si>
  <si>
    <t>D1011</t>
  </si>
  <si>
    <t>D1012</t>
  </si>
  <si>
    <t>D1013</t>
  </si>
  <si>
    <t>D1014</t>
  </si>
  <si>
    <t>D1015</t>
  </si>
  <si>
    <t>D1016</t>
  </si>
  <si>
    <t>D1017</t>
  </si>
  <si>
    <t>D1018</t>
  </si>
  <si>
    <t>D1019</t>
  </si>
  <si>
    <t>D1020</t>
  </si>
  <si>
    <t>D1021</t>
  </si>
  <si>
    <t>D1022</t>
  </si>
  <si>
    <t>D1023</t>
  </si>
  <si>
    <t>D1024</t>
  </si>
  <si>
    <t>D1025</t>
  </si>
  <si>
    <r>
      <t xml:space="preserve">Provide labor to perform all Unit Priced Labor work subject to the Service Contract Act per the scope and delivery schedule specified in the order.
A Fixed Burden Rate shall be established and entered in Unit Price  column. </t>
    </r>
    <r>
      <rPr>
        <b/>
        <sz val="10"/>
        <rFont val="Calibri"/>
        <scheme val="minor"/>
      </rPr>
      <t xml:space="preserve">The existing rate in Unit Price is soley listed for demostration purposes. </t>
    </r>
    <r>
      <rPr>
        <sz val="10"/>
        <rFont val="Calibri"/>
        <scheme val="minor"/>
      </rPr>
      <t xml:space="preserve">Unit Price must be adjusted for bid evaluation. Quantities shall not exceed ELIN Total Cost.
</t>
    </r>
  </si>
  <si>
    <t>D1026</t>
  </si>
  <si>
    <r>
      <t xml:space="preserve">Provide all materials and equipment to perform Unit Priced Labor work per the scope and delivery schedule specified in the order. </t>
    </r>
    <r>
      <rPr>
        <b/>
        <sz val="10"/>
        <rFont val="Calibri"/>
        <scheme val="minor"/>
      </rPr>
      <t xml:space="preserve">Use only with ELIN A1027
</t>
    </r>
    <r>
      <rPr>
        <sz val="10"/>
        <rFont val="Calibri"/>
        <scheme val="minor"/>
      </rPr>
      <t xml:space="preserve">Material Unit Cost shall be established and entered in Unit Price  column. </t>
    </r>
    <r>
      <rPr>
        <b/>
        <sz val="10"/>
        <rFont val="Calibri"/>
        <scheme val="minor"/>
      </rPr>
      <t xml:space="preserve">The existing rate in Unit Price is soley listed for demostration purposes. </t>
    </r>
    <r>
      <rPr>
        <sz val="10"/>
        <rFont val="Calibri"/>
        <scheme val="minor"/>
      </rPr>
      <t>Unit Price must be adjusted for bid evaluation. Quantities shall not exceed ELIN Total Cost.</t>
    </r>
  </si>
  <si>
    <t>D1027</t>
  </si>
  <si>
    <t xml:space="preserve">Total Indefinte Quantity Price Option Period 3 (D900 - D1026) </t>
  </si>
  <si>
    <t>ELIN/Sub-ELINs E100 through E700</t>
  </si>
  <si>
    <t>E100</t>
  </si>
  <si>
    <t>E101</t>
  </si>
  <si>
    <t>E101 AA</t>
  </si>
  <si>
    <t>E101 AB</t>
  </si>
  <si>
    <t>E101 AC</t>
  </si>
  <si>
    <t>E101 AD</t>
  </si>
  <si>
    <t>E101 AE</t>
  </si>
  <si>
    <t>E101 AF</t>
  </si>
  <si>
    <t>E101 AG</t>
  </si>
  <si>
    <t>E101 AH</t>
  </si>
  <si>
    <t>Washington Navy Yard (WNY)(Regiona Funded) (E101) Subtotal</t>
  </si>
  <si>
    <t>E102</t>
  </si>
  <si>
    <t>E102 AA</t>
  </si>
  <si>
    <t>E102 AB</t>
  </si>
  <si>
    <t>E102 AC</t>
  </si>
  <si>
    <t>E102 AD</t>
  </si>
  <si>
    <t>E102 AE</t>
  </si>
  <si>
    <t>E102 AF</t>
  </si>
  <si>
    <t>E102 AG</t>
  </si>
  <si>
    <t>E102 AH</t>
  </si>
  <si>
    <t xml:space="preserve"> Arlington (ASC)(Region Funded) (E102) Subtotal</t>
  </si>
  <si>
    <t>E103</t>
  </si>
  <si>
    <t>E103 AA</t>
  </si>
  <si>
    <t>E103 AB</t>
  </si>
  <si>
    <t>E103 AC</t>
  </si>
  <si>
    <t>E103 AD</t>
  </si>
  <si>
    <t>E103 AE</t>
  </si>
  <si>
    <t>E103 AF</t>
  </si>
  <si>
    <t>E103 AG</t>
  </si>
  <si>
    <t>E103 AH</t>
  </si>
  <si>
    <t>Naval Observatory (USNO) (Region Funded) (E103) Subtotal</t>
  </si>
  <si>
    <t>E104</t>
  </si>
  <si>
    <t>E104 AA</t>
  </si>
  <si>
    <t>E104 AB</t>
  </si>
  <si>
    <t>E104 AC</t>
  </si>
  <si>
    <t>E104 AD</t>
  </si>
  <si>
    <t>E104 AE</t>
  </si>
  <si>
    <t>E104 AF</t>
  </si>
  <si>
    <t>E104 AG</t>
  </si>
  <si>
    <t>E104 AH</t>
  </si>
  <si>
    <t>VPR (Quarters A) (Region Funded) (E104) Subtotal</t>
  </si>
  <si>
    <t>E105</t>
  </si>
  <si>
    <t>E105 AA</t>
  </si>
  <si>
    <t>E105 AB</t>
  </si>
  <si>
    <t>E105 AC</t>
  </si>
  <si>
    <t>E105 AD</t>
  </si>
  <si>
    <t>E105 AE</t>
  </si>
  <si>
    <t>E105 AF</t>
  </si>
  <si>
    <t>E105 AG</t>
  </si>
  <si>
    <t>E105 AH</t>
  </si>
  <si>
    <t>Naval Research Lab (NRL) (E105) Subtotal</t>
  </si>
  <si>
    <t>E106</t>
  </si>
  <si>
    <t>E106 AA</t>
  </si>
  <si>
    <t>E106 AB</t>
  </si>
  <si>
    <t>E106 AC</t>
  </si>
  <si>
    <t>E106 AD</t>
  </si>
  <si>
    <t>E106 AE</t>
  </si>
  <si>
    <t>E106 AF</t>
  </si>
  <si>
    <t>E106 AG</t>
  </si>
  <si>
    <t>E106 AH</t>
  </si>
  <si>
    <t>NSWC Carderock (E106) Subtotal</t>
  </si>
  <si>
    <t>E107</t>
  </si>
  <si>
    <t>E107 AA</t>
  </si>
  <si>
    <t>E107 AB</t>
  </si>
  <si>
    <t>E107 AC</t>
  </si>
  <si>
    <t>E107 AD</t>
  </si>
  <si>
    <t>E107 AE</t>
  </si>
  <si>
    <t>E107 AF</t>
  </si>
  <si>
    <t>E107 AG</t>
  </si>
  <si>
    <t>E107 AH</t>
  </si>
  <si>
    <t>Marine Barracks Washington (MBW) (E107) Subtotal</t>
  </si>
  <si>
    <t>E200</t>
  </si>
  <si>
    <t>Line Item 0002 - Non-Recurring Work - Option Period 4</t>
  </si>
  <si>
    <t>ELIN E900 through E1026</t>
  </si>
  <si>
    <t>E900</t>
  </si>
  <si>
    <t>E901</t>
  </si>
  <si>
    <t>E902</t>
  </si>
  <si>
    <t>E903</t>
  </si>
  <si>
    <t>E904</t>
  </si>
  <si>
    <t>E905</t>
  </si>
  <si>
    <t>E906</t>
  </si>
  <si>
    <t>E907</t>
  </si>
  <si>
    <t>E908</t>
  </si>
  <si>
    <t>E909</t>
  </si>
  <si>
    <t>E910</t>
  </si>
  <si>
    <t>E911</t>
  </si>
  <si>
    <t>E912</t>
  </si>
  <si>
    <t>E913</t>
  </si>
  <si>
    <t>E914</t>
  </si>
  <si>
    <t>E915</t>
  </si>
  <si>
    <t>E916</t>
  </si>
  <si>
    <t>E917</t>
  </si>
  <si>
    <t>E918</t>
  </si>
  <si>
    <t>E919</t>
  </si>
  <si>
    <t>E920</t>
  </si>
  <si>
    <t>E921</t>
  </si>
  <si>
    <t>E922</t>
  </si>
  <si>
    <t>E923</t>
  </si>
  <si>
    <t>E924</t>
  </si>
  <si>
    <t>E925</t>
  </si>
  <si>
    <t>E926</t>
  </si>
  <si>
    <t>E927</t>
  </si>
  <si>
    <t>E928</t>
  </si>
  <si>
    <t>E929</t>
  </si>
  <si>
    <t>E930</t>
  </si>
  <si>
    <t>E931</t>
  </si>
  <si>
    <t>E932</t>
  </si>
  <si>
    <t>E933</t>
  </si>
  <si>
    <t>E934</t>
  </si>
  <si>
    <t>E935</t>
  </si>
  <si>
    <t>E936</t>
  </si>
  <si>
    <t>E937</t>
  </si>
  <si>
    <t>E938</t>
  </si>
  <si>
    <t>E939</t>
  </si>
  <si>
    <t>E940</t>
  </si>
  <si>
    <t>E941</t>
  </si>
  <si>
    <t>E942</t>
  </si>
  <si>
    <t>E943</t>
  </si>
  <si>
    <t>E944</t>
  </si>
  <si>
    <t>E945</t>
  </si>
  <si>
    <t>E946</t>
  </si>
  <si>
    <t>E947</t>
  </si>
  <si>
    <t>E948</t>
  </si>
  <si>
    <t>E949</t>
  </si>
  <si>
    <t>E950</t>
  </si>
  <si>
    <t>E951</t>
  </si>
  <si>
    <t>E952</t>
  </si>
  <si>
    <t>E953</t>
  </si>
  <si>
    <t>E954</t>
  </si>
  <si>
    <t>E955</t>
  </si>
  <si>
    <t>E956</t>
  </si>
  <si>
    <t>E957</t>
  </si>
  <si>
    <t>E958</t>
  </si>
  <si>
    <t>E959</t>
  </si>
  <si>
    <t>E960</t>
  </si>
  <si>
    <t>E961</t>
  </si>
  <si>
    <t>E962</t>
  </si>
  <si>
    <t>E963</t>
  </si>
  <si>
    <t>E964</t>
  </si>
  <si>
    <t>E965</t>
  </si>
  <si>
    <t>E966</t>
  </si>
  <si>
    <t>E967</t>
  </si>
  <si>
    <t>E968</t>
  </si>
  <si>
    <t>E969</t>
  </si>
  <si>
    <t>E970</t>
  </si>
  <si>
    <t>E971</t>
  </si>
  <si>
    <t>E972</t>
  </si>
  <si>
    <t>E973</t>
  </si>
  <si>
    <t>E974</t>
  </si>
  <si>
    <t>E975</t>
  </si>
  <si>
    <t>E976</t>
  </si>
  <si>
    <t>E977</t>
  </si>
  <si>
    <t>E978</t>
  </si>
  <si>
    <t>E979</t>
  </si>
  <si>
    <t>E980</t>
  </si>
  <si>
    <t>E981</t>
  </si>
  <si>
    <t>E982</t>
  </si>
  <si>
    <t>E983</t>
  </si>
  <si>
    <t>E984</t>
  </si>
  <si>
    <t>E985</t>
  </si>
  <si>
    <t>E986</t>
  </si>
  <si>
    <t>E987</t>
  </si>
  <si>
    <t>E988</t>
  </si>
  <si>
    <t>E989</t>
  </si>
  <si>
    <t>E990</t>
  </si>
  <si>
    <t>E991</t>
  </si>
  <si>
    <t>E992</t>
  </si>
  <si>
    <t>E993</t>
  </si>
  <si>
    <t>E994</t>
  </si>
  <si>
    <t>E995</t>
  </si>
  <si>
    <t>E996</t>
  </si>
  <si>
    <t>E997</t>
  </si>
  <si>
    <t>E998</t>
  </si>
  <si>
    <t>E999</t>
  </si>
  <si>
    <t>E1000</t>
  </si>
  <si>
    <t>E1001</t>
  </si>
  <si>
    <t>E1002</t>
  </si>
  <si>
    <t>E1003</t>
  </si>
  <si>
    <t>E1004</t>
  </si>
  <si>
    <t>E1005</t>
  </si>
  <si>
    <t>E1006</t>
  </si>
  <si>
    <t>E1007</t>
  </si>
  <si>
    <t>E1008</t>
  </si>
  <si>
    <t>E1009</t>
  </si>
  <si>
    <t>E1010</t>
  </si>
  <si>
    <t>E1011</t>
  </si>
  <si>
    <t>E1012</t>
  </si>
  <si>
    <t>E1013</t>
  </si>
  <si>
    <t>E1014</t>
  </si>
  <si>
    <t>E1015</t>
  </si>
  <si>
    <t>E1016</t>
  </si>
  <si>
    <t>E1017</t>
  </si>
  <si>
    <t>E1018</t>
  </si>
  <si>
    <t>E1019</t>
  </si>
  <si>
    <t>E1020</t>
  </si>
  <si>
    <t>E1021</t>
  </si>
  <si>
    <t>E1022</t>
  </si>
  <si>
    <t>E1023</t>
  </si>
  <si>
    <t>E1024</t>
  </si>
  <si>
    <t>E1025</t>
  </si>
  <si>
    <t>E1026</t>
  </si>
  <si>
    <t>E1027</t>
  </si>
  <si>
    <t xml:space="preserve">Total Indefinte Quantity Price Option Period 4 (E900 - E1026) </t>
  </si>
  <si>
    <t>ELIN/Sub-ELINs F100 through F700</t>
  </si>
  <si>
    <t>F100</t>
  </si>
  <si>
    <t>F101</t>
  </si>
  <si>
    <t>F101 AA</t>
  </si>
  <si>
    <t>F101 AB</t>
  </si>
  <si>
    <t>F101 AC</t>
  </si>
  <si>
    <t>F101 AD</t>
  </si>
  <si>
    <t>F101 AE</t>
  </si>
  <si>
    <t>F101 AF</t>
  </si>
  <si>
    <t>F101 AG</t>
  </si>
  <si>
    <t>F101 AH</t>
  </si>
  <si>
    <t>Washington Navy Yard (WNY)(Regiona Funded) (F101) Subtotal</t>
  </si>
  <si>
    <t>F102</t>
  </si>
  <si>
    <t>F102 AA</t>
  </si>
  <si>
    <t>F102 AB</t>
  </si>
  <si>
    <t>F102 AC</t>
  </si>
  <si>
    <t>F102 AD</t>
  </si>
  <si>
    <t>F102 AE</t>
  </si>
  <si>
    <t>F102 AF</t>
  </si>
  <si>
    <t>F102 AG</t>
  </si>
  <si>
    <t>F102 AH</t>
  </si>
  <si>
    <t xml:space="preserve"> Arlington (ASC)(Region Funded) (F102) Subtotal</t>
  </si>
  <si>
    <t>F103</t>
  </si>
  <si>
    <t>F103 AA</t>
  </si>
  <si>
    <t>F103 AB</t>
  </si>
  <si>
    <t>F103 AC</t>
  </si>
  <si>
    <t>F103 AD</t>
  </si>
  <si>
    <t>F103 AE</t>
  </si>
  <si>
    <t>F103 AF</t>
  </si>
  <si>
    <t>F103 AG</t>
  </si>
  <si>
    <t>F103 AH</t>
  </si>
  <si>
    <t>Naval Observatory (USNO) (Region Funded) (F103) Subtotal</t>
  </si>
  <si>
    <t>F104</t>
  </si>
  <si>
    <t>F104 AA</t>
  </si>
  <si>
    <t>F104 AB</t>
  </si>
  <si>
    <t>F104 AC</t>
  </si>
  <si>
    <t>F104 AD</t>
  </si>
  <si>
    <t>F104 AE</t>
  </si>
  <si>
    <t>F104 AF</t>
  </si>
  <si>
    <t>F104 AG</t>
  </si>
  <si>
    <t>F104 AH</t>
  </si>
  <si>
    <t>VPR (Quarters A) (Region Funded) (F104) Subtotal</t>
  </si>
  <si>
    <t>F105</t>
  </si>
  <si>
    <t>F105 AA</t>
  </si>
  <si>
    <t>F105 AB</t>
  </si>
  <si>
    <t>F105 AC</t>
  </si>
  <si>
    <t>F105 AD</t>
  </si>
  <si>
    <t>F105 AE</t>
  </si>
  <si>
    <t>F105 AF</t>
  </si>
  <si>
    <t>F105 AG</t>
  </si>
  <si>
    <t>F105 AH</t>
  </si>
  <si>
    <t>Naval Research Lab (NRL) (F105) Subtotal</t>
  </si>
  <si>
    <t>F106</t>
  </si>
  <si>
    <t>F106 AA</t>
  </si>
  <si>
    <t>F106 AB</t>
  </si>
  <si>
    <t>F106 AC</t>
  </si>
  <si>
    <t>F106 AD</t>
  </si>
  <si>
    <t>F106 AE</t>
  </si>
  <si>
    <t>F106 AF</t>
  </si>
  <si>
    <t>F106 AG</t>
  </si>
  <si>
    <t>F106 AH</t>
  </si>
  <si>
    <t>NSWC Carderock (F106) Subtotal</t>
  </si>
  <si>
    <t>F107</t>
  </si>
  <si>
    <t>F107 AA</t>
  </si>
  <si>
    <t>F107 AB</t>
  </si>
  <si>
    <t>F107 AC</t>
  </si>
  <si>
    <t>F107 AD</t>
  </si>
  <si>
    <t>F107 AE</t>
  </si>
  <si>
    <t>F107 AF</t>
  </si>
  <si>
    <t>F107 AG</t>
  </si>
  <si>
    <t>F107 AH</t>
  </si>
  <si>
    <t>Marine Barracks Washington (MBW) (F107) Subtotal</t>
  </si>
  <si>
    <t>F200</t>
  </si>
  <si>
    <t>F300</t>
  </si>
  <si>
    <t>F400</t>
  </si>
  <si>
    <t>F500</t>
  </si>
  <si>
    <t>F600</t>
  </si>
  <si>
    <t>F601</t>
  </si>
  <si>
    <t>F601 AA</t>
  </si>
  <si>
    <t>F601 AB</t>
  </si>
  <si>
    <t>F601 AC</t>
  </si>
  <si>
    <t>F601 AD</t>
  </si>
  <si>
    <t>F601 AE</t>
  </si>
  <si>
    <t>F601 AF</t>
  </si>
  <si>
    <t>F601 AG</t>
  </si>
  <si>
    <t>F601 AH</t>
  </si>
  <si>
    <t>MCSC (F601) Subtotal</t>
  </si>
  <si>
    <t>F602</t>
  </si>
  <si>
    <t>F602 AA</t>
  </si>
  <si>
    <t>F602 AB</t>
  </si>
  <si>
    <t>F602 AC</t>
  </si>
  <si>
    <t>F602 AD</t>
  </si>
  <si>
    <t>F602 AE</t>
  </si>
  <si>
    <t>F602 AF</t>
  </si>
  <si>
    <t>F602 AG</t>
  </si>
  <si>
    <t>F602 AH</t>
  </si>
  <si>
    <t>Manpower (F602) Subtotal</t>
  </si>
  <si>
    <t>F603</t>
  </si>
  <si>
    <t>F603 AA</t>
  </si>
  <si>
    <t>F603 AB</t>
  </si>
  <si>
    <t>F603 AC</t>
  </si>
  <si>
    <t>F603 AD</t>
  </si>
  <si>
    <t>F603 AE</t>
  </si>
  <si>
    <t>F603 AF</t>
  </si>
  <si>
    <t>F603 AG</t>
  </si>
  <si>
    <t>F603 AH</t>
  </si>
  <si>
    <t>MCCOG (F603) Subtotal</t>
  </si>
  <si>
    <t>F604</t>
  </si>
  <si>
    <t>F604 AA</t>
  </si>
  <si>
    <t>F604 AB</t>
  </si>
  <si>
    <t>F604 AC</t>
  </si>
  <si>
    <t>F604 AD</t>
  </si>
  <si>
    <t>F604 AE</t>
  </si>
  <si>
    <t>F604 AF</t>
  </si>
  <si>
    <t>F604 AG</t>
  </si>
  <si>
    <t>F604 AH</t>
  </si>
  <si>
    <t>NMCL (F604) Subtotal</t>
  </si>
  <si>
    <t>F605</t>
  </si>
  <si>
    <t>F605 AA</t>
  </si>
  <si>
    <t>F605 AB</t>
  </si>
  <si>
    <t>F605 AC</t>
  </si>
  <si>
    <t>F605 AD</t>
  </si>
  <si>
    <t>F605 AE</t>
  </si>
  <si>
    <t>F605 AF</t>
  </si>
  <si>
    <t>F605 AG</t>
  </si>
  <si>
    <t>F605 AH</t>
  </si>
  <si>
    <t>VET (DHA) (F605) Subtotal</t>
  </si>
  <si>
    <t>F606</t>
  </si>
  <si>
    <t>F606 AA</t>
  </si>
  <si>
    <t>F606 AB</t>
  </si>
  <si>
    <t>F606 AC</t>
  </si>
  <si>
    <t>F606 AD</t>
  </si>
  <si>
    <t>F606 AE</t>
  </si>
  <si>
    <t>F606 AF</t>
  </si>
  <si>
    <t>F606 AG</t>
  </si>
  <si>
    <t>F606 AH</t>
  </si>
  <si>
    <t>MCIA (F606) Subtotal</t>
  </si>
  <si>
    <t>F607</t>
  </si>
  <si>
    <t>F607 AA</t>
  </si>
  <si>
    <t>F607 AB</t>
  </si>
  <si>
    <t>F607 AC</t>
  </si>
  <si>
    <t>F607 AD</t>
  </si>
  <si>
    <t>F607 AE</t>
  </si>
  <si>
    <t>F607 AF</t>
  </si>
  <si>
    <t>F607 AG</t>
  </si>
  <si>
    <t>F607 AH</t>
  </si>
  <si>
    <t>MCCDC (F607) Subtotal</t>
  </si>
  <si>
    <t>F608</t>
  </si>
  <si>
    <t>F608 AA</t>
  </si>
  <si>
    <t>F608 AB</t>
  </si>
  <si>
    <t>F608 AC</t>
  </si>
  <si>
    <t>F608 AD</t>
  </si>
  <si>
    <t>F608 AE</t>
  </si>
  <si>
    <t>F608 AF</t>
  </si>
  <si>
    <t>F608 AG</t>
  </si>
  <si>
    <t>F608 AH</t>
  </si>
  <si>
    <t>OCS (F608) Subtotal</t>
  </si>
  <si>
    <t>F700</t>
  </si>
  <si>
    <t>F701</t>
  </si>
  <si>
    <t>F701 AA</t>
  </si>
  <si>
    <t>F701 AB</t>
  </si>
  <si>
    <t>F701 AC</t>
  </si>
  <si>
    <t>F701 AD</t>
  </si>
  <si>
    <t>F701 AE</t>
  </si>
  <si>
    <t>F701 AF</t>
  </si>
  <si>
    <t>F701 AG</t>
  </si>
  <si>
    <t>F701 AH</t>
  </si>
  <si>
    <t>F702</t>
  </si>
  <si>
    <t>F702 AA</t>
  </si>
  <si>
    <t>F702 AB</t>
  </si>
  <si>
    <t>F702 AC</t>
  </si>
  <si>
    <t>F702 AD</t>
  </si>
  <si>
    <t>F702 AE</t>
  </si>
  <si>
    <t>F702 AF</t>
  </si>
  <si>
    <t>F702 AG</t>
  </si>
  <si>
    <t>F702 AH</t>
  </si>
  <si>
    <t>WRNMCC (F702) Subtotal</t>
  </si>
  <si>
    <t>F703</t>
  </si>
  <si>
    <t>F703 AA</t>
  </si>
  <si>
    <t>F703 AB</t>
  </si>
  <si>
    <t>F703 AC</t>
  </si>
  <si>
    <t>F703 AD</t>
  </si>
  <si>
    <t>F703 AE</t>
  </si>
  <si>
    <t>F703 AF</t>
  </si>
  <si>
    <t>F703 AG</t>
  </si>
  <si>
    <t>F703 AH</t>
  </si>
  <si>
    <t>AFRI/USSHS) (F703) Subtotal</t>
  </si>
  <si>
    <t>F704</t>
  </si>
  <si>
    <t>F704 AA</t>
  </si>
  <si>
    <t>F704 AB</t>
  </si>
  <si>
    <t>F704 AC</t>
  </si>
  <si>
    <t>F704 AD</t>
  </si>
  <si>
    <t>F704 AE</t>
  </si>
  <si>
    <t>F704 AF</t>
  </si>
  <si>
    <t>F704 AG</t>
  </si>
  <si>
    <t>F704 AH</t>
  </si>
  <si>
    <t>Dalecarlia (20% Regon /80% WRNMMC Funded) (F704) Subtotal</t>
  </si>
  <si>
    <t>F117</t>
  </si>
  <si>
    <t>F710</t>
  </si>
  <si>
    <t>F710 AA</t>
  </si>
  <si>
    <t>F710 AB</t>
  </si>
  <si>
    <t>F711</t>
  </si>
  <si>
    <t>F711 AA</t>
  </si>
  <si>
    <t>F711 AB</t>
  </si>
  <si>
    <t>WRNMCC (F711) Subtotal</t>
  </si>
  <si>
    <t>F712</t>
  </si>
  <si>
    <t>F712 AA</t>
  </si>
  <si>
    <t>F712 AB</t>
  </si>
  <si>
    <t>AFRI/USSHS) (F712) Subtotal</t>
  </si>
  <si>
    <t>F713</t>
  </si>
  <si>
    <t>F713 AA</t>
  </si>
  <si>
    <t>F713 AB</t>
  </si>
  <si>
    <t>Dalecarlia (20% Regon /80% WRNMMC Funded) (F713) Subtotal</t>
  </si>
  <si>
    <t>Line Item 0002 - Non-Recurring Work - 6 Month Option</t>
  </si>
  <si>
    <t>ELIN F900 through F1026</t>
  </si>
  <si>
    <t>F900</t>
  </si>
  <si>
    <t>F901</t>
  </si>
  <si>
    <t>F902</t>
  </si>
  <si>
    <t>F903</t>
  </si>
  <si>
    <t>F904</t>
  </si>
  <si>
    <t>F905</t>
  </si>
  <si>
    <t>F906</t>
  </si>
  <si>
    <t>F907</t>
  </si>
  <si>
    <t>F908</t>
  </si>
  <si>
    <t>F909</t>
  </si>
  <si>
    <t>F910</t>
  </si>
  <si>
    <t>F911</t>
  </si>
  <si>
    <t>F912</t>
  </si>
  <si>
    <t>F913</t>
  </si>
  <si>
    <t>F914</t>
  </si>
  <si>
    <t>F915</t>
  </si>
  <si>
    <t>F916</t>
  </si>
  <si>
    <t>F917</t>
  </si>
  <si>
    <t>F918</t>
  </si>
  <si>
    <t>F919</t>
  </si>
  <si>
    <t>F920</t>
  </si>
  <si>
    <t>F921</t>
  </si>
  <si>
    <t>F922</t>
  </si>
  <si>
    <t>F923</t>
  </si>
  <si>
    <t>F924</t>
  </si>
  <si>
    <t>F925</t>
  </si>
  <si>
    <t>F926</t>
  </si>
  <si>
    <t>F927</t>
  </si>
  <si>
    <t>F928</t>
  </si>
  <si>
    <t>F929</t>
  </si>
  <si>
    <t>F930</t>
  </si>
  <si>
    <t>F931</t>
  </si>
  <si>
    <t>F932</t>
  </si>
  <si>
    <t>F933</t>
  </si>
  <si>
    <t>F934</t>
  </si>
  <si>
    <t>F935</t>
  </si>
  <si>
    <t>F936</t>
  </si>
  <si>
    <t>F937</t>
  </si>
  <si>
    <t>F938</t>
  </si>
  <si>
    <t>F939</t>
  </si>
  <si>
    <t>F940</t>
  </si>
  <si>
    <t>F941</t>
  </si>
  <si>
    <t>F942</t>
  </si>
  <si>
    <t>F943</t>
  </si>
  <si>
    <t>F944</t>
  </si>
  <si>
    <t>F945</t>
  </si>
  <si>
    <t>F946</t>
  </si>
  <si>
    <t>F947</t>
  </si>
  <si>
    <t>F948</t>
  </si>
  <si>
    <t>F949</t>
  </si>
  <si>
    <t>F950</t>
  </si>
  <si>
    <t>F951</t>
  </si>
  <si>
    <t>F952</t>
  </si>
  <si>
    <t>F953</t>
  </si>
  <si>
    <t>F954</t>
  </si>
  <si>
    <t>F955</t>
  </si>
  <si>
    <t>F956</t>
  </si>
  <si>
    <t>F957</t>
  </si>
  <si>
    <t>F958</t>
  </si>
  <si>
    <t>F959</t>
  </si>
  <si>
    <t>F960</t>
  </si>
  <si>
    <t>F961</t>
  </si>
  <si>
    <t>F962</t>
  </si>
  <si>
    <t>F963</t>
  </si>
  <si>
    <t>F964</t>
  </si>
  <si>
    <t>F965</t>
  </si>
  <si>
    <t>F966</t>
  </si>
  <si>
    <t>F967</t>
  </si>
  <si>
    <t>F968</t>
  </si>
  <si>
    <t>F969</t>
  </si>
  <si>
    <t>F970</t>
  </si>
  <si>
    <t>F971</t>
  </si>
  <si>
    <t>F972</t>
  </si>
  <si>
    <t>F973</t>
  </si>
  <si>
    <t>F974</t>
  </si>
  <si>
    <t>F975</t>
  </si>
  <si>
    <t>F976</t>
  </si>
  <si>
    <t>F977</t>
  </si>
  <si>
    <t>F978</t>
  </si>
  <si>
    <t>F979</t>
  </si>
  <si>
    <t>F980</t>
  </si>
  <si>
    <t>F981</t>
  </si>
  <si>
    <t>F982</t>
  </si>
  <si>
    <t>F983</t>
  </si>
  <si>
    <t>F984</t>
  </si>
  <si>
    <t>F985</t>
  </si>
  <si>
    <t>F986</t>
  </si>
  <si>
    <t>F987</t>
  </si>
  <si>
    <t>F988</t>
  </si>
  <si>
    <t>F989</t>
  </si>
  <si>
    <t>F990</t>
  </si>
  <si>
    <t>F991</t>
  </si>
  <si>
    <t>F992</t>
  </si>
  <si>
    <t>F993</t>
  </si>
  <si>
    <t>F994</t>
  </si>
  <si>
    <t>F995</t>
  </si>
  <si>
    <t>F996</t>
  </si>
  <si>
    <t>F997</t>
  </si>
  <si>
    <t>F998</t>
  </si>
  <si>
    <t>F999</t>
  </si>
  <si>
    <t>F1000</t>
  </si>
  <si>
    <t>F1001</t>
  </si>
  <si>
    <t>F1002</t>
  </si>
  <si>
    <t>F1003</t>
  </si>
  <si>
    <t>F1004</t>
  </si>
  <si>
    <t>F1005</t>
  </si>
  <si>
    <t>F1006</t>
  </si>
  <si>
    <t>F1007</t>
  </si>
  <si>
    <t>F1008</t>
  </si>
  <si>
    <t>F1009</t>
  </si>
  <si>
    <t>F1010</t>
  </si>
  <si>
    <t>F1011</t>
  </si>
  <si>
    <t>F1012</t>
  </si>
  <si>
    <t>F1013</t>
  </si>
  <si>
    <t>F1014</t>
  </si>
  <si>
    <t>F1015</t>
  </si>
  <si>
    <t>F1016</t>
  </si>
  <si>
    <t>F1017</t>
  </si>
  <si>
    <t>F1018</t>
  </si>
  <si>
    <t>F1019</t>
  </si>
  <si>
    <t>F1020</t>
  </si>
  <si>
    <t>F1021</t>
  </si>
  <si>
    <t>F1022</t>
  </si>
  <si>
    <t>F1023</t>
  </si>
  <si>
    <t>F1024</t>
  </si>
  <si>
    <t>F1025</t>
  </si>
  <si>
    <t>F1026</t>
  </si>
  <si>
    <t>F1027</t>
  </si>
  <si>
    <t xml:space="preserve">Total Indefinte Quantity Price Base Year (F900 - F1026) </t>
  </si>
  <si>
    <t>Acre</t>
  </si>
  <si>
    <t>FR</t>
  </si>
  <si>
    <t>Frame</t>
  </si>
  <si>
    <t>PD</t>
  </si>
  <si>
    <t>Pad</t>
  </si>
  <si>
    <t>AM</t>
  </si>
  <si>
    <t>Ampoule</t>
  </si>
  <si>
    <t>FT</t>
  </si>
  <si>
    <t>Foot</t>
  </si>
  <si>
    <t>PG</t>
  </si>
  <si>
    <t>Package</t>
  </si>
  <si>
    <t>AT</t>
  </si>
  <si>
    <t>Assortment</t>
  </si>
  <si>
    <t>FV</t>
  </si>
  <si>
    <t>Five</t>
  </si>
  <si>
    <t>PI</t>
  </si>
  <si>
    <t>Pillow</t>
  </si>
  <si>
    <t>AY</t>
  </si>
  <si>
    <t>Assembly</t>
  </si>
  <si>
    <t>FY</t>
  </si>
  <si>
    <t>Fifty</t>
  </si>
  <si>
    <t>PM</t>
  </si>
  <si>
    <t>Plate</t>
  </si>
  <si>
    <t>BA</t>
  </si>
  <si>
    <t>Ball</t>
  </si>
  <si>
    <t>GG</t>
  </si>
  <si>
    <t>Great Gross</t>
  </si>
  <si>
    <t>PR</t>
  </si>
  <si>
    <t>Pair</t>
  </si>
  <si>
    <t>BD</t>
  </si>
  <si>
    <t>Bundle</t>
  </si>
  <si>
    <t>GI</t>
  </si>
  <si>
    <t>Gill</t>
  </si>
  <si>
    <t>PT</t>
  </si>
  <si>
    <t>Pint</t>
  </si>
  <si>
    <t>BE</t>
  </si>
  <si>
    <t>Bale</t>
  </si>
  <si>
    <t>GL</t>
  </si>
  <si>
    <t>Gallon</t>
  </si>
  <si>
    <t>PX</t>
  </si>
  <si>
    <t>Pellet</t>
  </si>
  <si>
    <t>BF</t>
  </si>
  <si>
    <t>Board Foot</t>
  </si>
  <si>
    <t>GM</t>
  </si>
  <si>
    <t>Gram</t>
  </si>
  <si>
    <t>PZ</t>
  </si>
  <si>
    <t>Packet</t>
  </si>
  <si>
    <t>BG</t>
  </si>
  <si>
    <t>Bag</t>
  </si>
  <si>
    <t>GN</t>
  </si>
  <si>
    <t>Grain</t>
  </si>
  <si>
    <t>QT</t>
  </si>
  <si>
    <t>Quart</t>
  </si>
  <si>
    <t>BK</t>
  </si>
  <si>
    <t>Book</t>
  </si>
  <si>
    <t>GP</t>
  </si>
  <si>
    <t>Group</t>
  </si>
  <si>
    <t>RA</t>
  </si>
  <si>
    <t>Ration</t>
  </si>
  <si>
    <t>BL</t>
  </si>
  <si>
    <t>Barrel</t>
  </si>
  <si>
    <t>GR</t>
  </si>
  <si>
    <t>Gross</t>
  </si>
  <si>
    <t>RD</t>
  </si>
  <si>
    <t>Round</t>
  </si>
  <si>
    <t>BO</t>
  </si>
  <si>
    <t>Bolt</t>
  </si>
  <si>
    <t>HD</t>
  </si>
  <si>
    <t>Hundred</t>
  </si>
  <si>
    <t>RL</t>
  </si>
  <si>
    <t>Reel</t>
  </si>
  <si>
    <t>BQ</t>
  </si>
  <si>
    <t>Briquet</t>
  </si>
  <si>
    <t>HF</t>
  </si>
  <si>
    <t>Hundred Feet</t>
  </si>
  <si>
    <t>RM</t>
  </si>
  <si>
    <t>Ream</t>
  </si>
  <si>
    <t>BR</t>
  </si>
  <si>
    <t>Bar</t>
  </si>
  <si>
    <t>HK</t>
  </si>
  <si>
    <t>Hank</t>
  </si>
  <si>
    <t>RO</t>
  </si>
  <si>
    <t>Roll</t>
  </si>
  <si>
    <t>BT</t>
  </si>
  <si>
    <t>Bottle</t>
  </si>
  <si>
    <t>HP</t>
  </si>
  <si>
    <t>Hundred Pounds</t>
  </si>
  <si>
    <t>RX</t>
  </si>
  <si>
    <t>Thousand Rounds</t>
  </si>
  <si>
    <t>BX</t>
  </si>
  <si>
    <t>Box</t>
  </si>
  <si>
    <t>Hours</t>
  </si>
  <si>
    <t>SB</t>
  </si>
  <si>
    <t>Square Mile</t>
  </si>
  <si>
    <t>CA</t>
  </si>
  <si>
    <t>Cartridge</t>
  </si>
  <si>
    <t>HS</t>
  </si>
  <si>
    <t>Hundred Square Feet</t>
  </si>
  <si>
    <t>SC</t>
  </si>
  <si>
    <t>Square Centimeters</t>
  </si>
  <si>
    <t>CB</t>
  </si>
  <si>
    <t>Carboy</t>
  </si>
  <si>
    <t>HW</t>
  </si>
  <si>
    <t>Hundred Weight</t>
  </si>
  <si>
    <t>SD</t>
  </si>
  <si>
    <t>Skid</t>
  </si>
  <si>
    <t>CC</t>
  </si>
  <si>
    <t>Cubic Centimeter</t>
  </si>
  <si>
    <t>HY</t>
  </si>
  <si>
    <t>Hundred Yards</t>
  </si>
  <si>
    <t>SE</t>
  </si>
  <si>
    <t>Set</t>
  </si>
  <si>
    <t>CD</t>
  </si>
  <si>
    <t>Cubic Yard</t>
  </si>
  <si>
    <t>IN</t>
  </si>
  <si>
    <t>Inch</t>
  </si>
  <si>
    <t>Square Foot</t>
  </si>
  <si>
    <t>CE</t>
  </si>
  <si>
    <t>Cone</t>
  </si>
  <si>
    <t>JR</t>
  </si>
  <si>
    <t>Jar</t>
  </si>
  <si>
    <t>SH</t>
  </si>
  <si>
    <t>Sheet</t>
  </si>
  <si>
    <t>CF</t>
  </si>
  <si>
    <t>Cubic Foot</t>
  </si>
  <si>
    <t>KG</t>
  </si>
  <si>
    <t>Kilogram</t>
  </si>
  <si>
    <t>SI</t>
  </si>
  <si>
    <t>Square Inch</t>
  </si>
  <si>
    <t>CG</t>
  </si>
  <si>
    <t>Centigram</t>
  </si>
  <si>
    <t>KM</t>
  </si>
  <si>
    <t>Kilometer</t>
  </si>
  <si>
    <t>SK</t>
  </si>
  <si>
    <t>Skein</t>
  </si>
  <si>
    <t>CI</t>
  </si>
  <si>
    <t>Cubic Inch</t>
  </si>
  <si>
    <t>KR</t>
  </si>
  <si>
    <t>Carat</t>
  </si>
  <si>
    <t>SL</t>
  </si>
  <si>
    <t>Spool</t>
  </si>
  <si>
    <t>CK</t>
  </si>
  <si>
    <t>Cake</t>
  </si>
  <si>
    <t>KT</t>
  </si>
  <si>
    <t>Kit</t>
  </si>
  <si>
    <t>SM</t>
  </si>
  <si>
    <t>Square Meter</t>
  </si>
  <si>
    <t>CL</t>
  </si>
  <si>
    <t>Coil</t>
  </si>
  <si>
    <t>LB</t>
  </si>
  <si>
    <t>Pound</t>
  </si>
  <si>
    <t>SO</t>
  </si>
  <si>
    <t>Shot</t>
  </si>
  <si>
    <t>CM</t>
  </si>
  <si>
    <t>Centimeter</t>
  </si>
  <si>
    <t>Linear Foot</t>
  </si>
  <si>
    <t>SP</t>
  </si>
  <si>
    <t>Strip</t>
  </si>
  <si>
    <t>CN</t>
  </si>
  <si>
    <t>Can</t>
  </si>
  <si>
    <t>LG</t>
  </si>
  <si>
    <t>Length</t>
  </si>
  <si>
    <t>SQ</t>
  </si>
  <si>
    <t>Square</t>
  </si>
  <si>
    <t>CO</t>
  </si>
  <si>
    <t>Container</t>
  </si>
  <si>
    <t>LH</t>
  </si>
  <si>
    <t>Labor Hours</t>
  </si>
  <si>
    <t>SX</t>
  </si>
  <si>
    <t>Stick</t>
  </si>
  <si>
    <t>CU</t>
  </si>
  <si>
    <t>Curie</t>
  </si>
  <si>
    <t>LI</t>
  </si>
  <si>
    <t>Liter</t>
  </si>
  <si>
    <t>Square Yard</t>
  </si>
  <si>
    <t>Cylinder</t>
  </si>
  <si>
    <t>LM</t>
  </si>
  <si>
    <t>Linear Meter</t>
  </si>
  <si>
    <t>TC</t>
  </si>
  <si>
    <t>Truckload</t>
  </si>
  <si>
    <t>CZ</t>
  </si>
  <si>
    <t>Cubic Meter</t>
  </si>
  <si>
    <t>LO</t>
  </si>
  <si>
    <t>Lot</t>
  </si>
  <si>
    <t>TD</t>
  </si>
  <si>
    <t>Twenty-Four</t>
  </si>
  <si>
    <t>DA</t>
  </si>
  <si>
    <t>Days</t>
  </si>
  <si>
    <t>LS</t>
  </si>
  <si>
    <t>Lump Sum</t>
  </si>
  <si>
    <t>TE</t>
  </si>
  <si>
    <t>Ten</t>
  </si>
  <si>
    <t>DC</t>
  </si>
  <si>
    <t>Decagram</t>
  </si>
  <si>
    <t>LY</t>
  </si>
  <si>
    <t>Linear Yard</t>
  </si>
  <si>
    <t>TF</t>
  </si>
  <si>
    <t>Twenty-Five</t>
  </si>
  <si>
    <t>DE</t>
  </si>
  <si>
    <t>Decimeter</t>
  </si>
  <si>
    <t>MC</t>
  </si>
  <si>
    <t>Thousand Cubic Feet</t>
  </si>
  <si>
    <t>TG</t>
  </si>
  <si>
    <t>Gross Ton</t>
  </si>
  <si>
    <t>DG</t>
  </si>
  <si>
    <t>Decigram</t>
  </si>
  <si>
    <t>ME</t>
  </si>
  <si>
    <t>Meal</t>
  </si>
  <si>
    <t>TN</t>
  </si>
  <si>
    <t>Ton</t>
  </si>
  <si>
    <t>DL</t>
  </si>
  <si>
    <t>Deciliter</t>
  </si>
  <si>
    <t>MSF</t>
  </si>
  <si>
    <t>Thousand Square Feet</t>
  </si>
  <si>
    <t>TO</t>
  </si>
  <si>
    <t>Troy Ounce</t>
  </si>
  <si>
    <t>DM</t>
  </si>
  <si>
    <t>Dram</t>
  </si>
  <si>
    <t>MG</t>
  </si>
  <si>
    <t>Milligram</t>
  </si>
  <si>
    <t>TS</t>
  </si>
  <si>
    <t>Thirty-Six</t>
  </si>
  <si>
    <t>DO</t>
  </si>
  <si>
    <t>Dollars</t>
  </si>
  <si>
    <t>MI</t>
  </si>
  <si>
    <t>Mile</t>
  </si>
  <si>
    <t>TT</t>
  </si>
  <si>
    <t>Tablet</t>
  </si>
  <si>
    <t>DR</t>
  </si>
  <si>
    <t>Drum</t>
  </si>
  <si>
    <t>ML</t>
  </si>
  <si>
    <t>Milliliter</t>
  </si>
  <si>
    <t>TU</t>
  </si>
  <si>
    <t>Tube</t>
  </si>
  <si>
    <t>DW</t>
  </si>
  <si>
    <t>Pennyweight</t>
  </si>
  <si>
    <t>MM</t>
  </si>
  <si>
    <t>Millimeter</t>
  </si>
  <si>
    <t>UN</t>
  </si>
  <si>
    <t>Unit</t>
  </si>
  <si>
    <t>DZ</t>
  </si>
  <si>
    <t>Dozen</t>
  </si>
  <si>
    <t>Months</t>
  </si>
  <si>
    <t>US</t>
  </si>
  <si>
    <t>US U.S.P Unit</t>
  </si>
  <si>
    <t>Each</t>
  </si>
  <si>
    <t>MR</t>
  </si>
  <si>
    <t>Meter</t>
  </si>
  <si>
    <t>VI</t>
  </si>
  <si>
    <t>Vial</t>
  </si>
  <si>
    <t>EN</t>
  </si>
  <si>
    <t>Each Collection</t>
  </si>
  <si>
    <t>MX</t>
  </si>
  <si>
    <t>Thousand</t>
  </si>
  <si>
    <t>WK</t>
  </si>
  <si>
    <t>Week</t>
  </si>
  <si>
    <t>EX</t>
  </si>
  <si>
    <t>Exposure</t>
  </si>
  <si>
    <t>OT</t>
  </si>
  <si>
    <t>Outfit</t>
  </si>
  <si>
    <t>YD</t>
  </si>
  <si>
    <t>Yard</t>
  </si>
  <si>
    <t>FD</t>
  </si>
  <si>
    <t>Fold</t>
  </si>
  <si>
    <t>OZ</t>
  </si>
  <si>
    <t>Ounce</t>
  </si>
  <si>
    <t>YR</t>
  </si>
  <si>
    <t>Years</t>
  </si>
  <si>
    <t>NDW (A201) Subtotal</t>
  </si>
  <si>
    <t>A202</t>
  </si>
  <si>
    <t>NSWC</t>
  </si>
  <si>
    <t>A202 AA</t>
  </si>
  <si>
    <t>NSWC- Improved Grounds (Prestige)- Reserved</t>
  </si>
  <si>
    <t>A202 AB</t>
  </si>
  <si>
    <t>NSWC- Improved Grounds (Standard Lawn)</t>
  </si>
  <si>
    <t>A202 AC</t>
  </si>
  <si>
    <t>NSWC- Improved Grounds (Standard Field)</t>
  </si>
  <si>
    <t>A202 AD</t>
  </si>
  <si>
    <t>NSWC- Operational Areas</t>
  </si>
  <si>
    <t>A202 AE</t>
  </si>
  <si>
    <t>NSWC- Storm Drain Systems- Reserved</t>
  </si>
  <si>
    <t>A202 AF</t>
  </si>
  <si>
    <t>NSWC- Debris Removal</t>
  </si>
  <si>
    <t>A202 AG</t>
  </si>
  <si>
    <t>NSWC- Destructive Weather- Reserved</t>
  </si>
  <si>
    <t>A202 AH</t>
  </si>
  <si>
    <t>NSWC- Interior Plant Maintenance- Reserved</t>
  </si>
  <si>
    <t>NSWC (A202) Subtotal</t>
  </si>
  <si>
    <t>A203</t>
  </si>
  <si>
    <t>JWAC</t>
  </si>
  <si>
    <t>A203 AA</t>
  </si>
  <si>
    <t>JWAC- Improved Grounds (Prestige)</t>
  </si>
  <si>
    <t>A203 AB</t>
  </si>
  <si>
    <t>JWAC- Improved Grounds (Standard Lawn)- Reserved</t>
  </si>
  <si>
    <t>A203 AC</t>
  </si>
  <si>
    <t>JWAC- Improved Grounds (Standard Field)- Reserved</t>
  </si>
  <si>
    <t>A203 AD</t>
  </si>
  <si>
    <t>JWAC- Operational Areas- Reserved</t>
  </si>
  <si>
    <t>A203 AE</t>
  </si>
  <si>
    <t>JWAC- Storm Drain Systems- Reserved</t>
  </si>
  <si>
    <t>A203 AF</t>
  </si>
  <si>
    <t>JWAC- Debris Removal</t>
  </si>
  <si>
    <t>A203 AG</t>
  </si>
  <si>
    <t>JWAC- Destructive Weather- Reserved</t>
  </si>
  <si>
    <t>A203 AH</t>
  </si>
  <si>
    <t>JWAC- Interior Plant Maintenance- Reserved</t>
  </si>
  <si>
    <t>JWAC (A203) Subtotal</t>
  </si>
  <si>
    <t>A204</t>
  </si>
  <si>
    <t>BMD</t>
  </si>
  <si>
    <t>A204 AA</t>
  </si>
  <si>
    <t>BMD- Improved Grounds (Prestige)</t>
  </si>
  <si>
    <t>A204 AB</t>
  </si>
  <si>
    <t>BMD- Improved Grounds (Standard Lawn)</t>
  </si>
  <si>
    <t>A204 AC</t>
  </si>
  <si>
    <t>BMD- Improved Grounds (Standard Field)- Reserved</t>
  </si>
  <si>
    <t>A204 AD</t>
  </si>
  <si>
    <t>BMD- Operational Areas- Reserved</t>
  </si>
  <si>
    <t>A204 AE</t>
  </si>
  <si>
    <t>BMD- Storm Drain Systems- Reserved</t>
  </si>
  <si>
    <t>A204 AF</t>
  </si>
  <si>
    <t>BMD- Debris Removal</t>
  </si>
  <si>
    <t>A204 AG</t>
  </si>
  <si>
    <t>BMD- Destructive Weather- Reserved</t>
  </si>
  <si>
    <t>A204 AH</t>
  </si>
  <si>
    <t>BMD- Interior Plant Maintenance- Reserved</t>
  </si>
  <si>
    <t>BMD (A204) Subtotal</t>
  </si>
  <si>
    <t>A205</t>
  </si>
  <si>
    <t>BUMED</t>
  </si>
  <si>
    <t>A205 AA</t>
  </si>
  <si>
    <t>BUMED- Improved Grounds (Prestige)- Reserved</t>
  </si>
  <si>
    <t>A205 AB</t>
  </si>
  <si>
    <t>BUMED- Improved Grounds (Standard Lawn)</t>
  </si>
  <si>
    <t>A205 AC</t>
  </si>
  <si>
    <t>BUMED- Improved Grounds (Standard Field)- Reserved</t>
  </si>
  <si>
    <t>A205 AD</t>
  </si>
  <si>
    <t>BUMED- Operational Areas- Reserved</t>
  </si>
  <si>
    <t>A205 AE</t>
  </si>
  <si>
    <t>BUMED- Storm Drain Systems- Reserved</t>
  </si>
  <si>
    <t>A205 AF</t>
  </si>
  <si>
    <t>BUMED- Debris Removal</t>
  </si>
  <si>
    <t>A205 AG</t>
  </si>
  <si>
    <t>BUMED- Destructive Weather- Reserved</t>
  </si>
  <si>
    <t>A205 AH</t>
  </si>
  <si>
    <t>BUMED- Interior Plant Maintenance- Reserved</t>
  </si>
  <si>
    <t>BUMED (A205) Subtotal</t>
  </si>
  <si>
    <t>A206</t>
  </si>
  <si>
    <t>DODEA</t>
  </si>
  <si>
    <t>A206 AA</t>
  </si>
  <si>
    <t>DODEA- Improved Grounds (Prestige)- Reserved</t>
  </si>
  <si>
    <t>A206 AB</t>
  </si>
  <si>
    <t>DODEA- Improved Grounds (Standard Lawn)</t>
  </si>
  <si>
    <t>A206 AC</t>
  </si>
  <si>
    <t>DODEA- Improved Grounds (Standard Field)- Reserved</t>
  </si>
  <si>
    <t>A206 AD</t>
  </si>
  <si>
    <t>DODEA- Operational Areas- Reserved</t>
  </si>
  <si>
    <t>A206 AE</t>
  </si>
  <si>
    <t>DODEA- Storm Drain Systems- Reserved</t>
  </si>
  <si>
    <t>A206 AF</t>
  </si>
  <si>
    <t>DODEA- Debris Removal</t>
  </si>
  <si>
    <t>A206 AG</t>
  </si>
  <si>
    <t>DODEA- Destructive Weather- Reserved</t>
  </si>
  <si>
    <t>A206 AH</t>
  </si>
  <si>
    <t>DODEA- Interior Plant Maintenance- Reserved</t>
  </si>
  <si>
    <t>DODEA (A206) Subtotal</t>
  </si>
  <si>
    <t>PWD Dahlgren Subtotal</t>
  </si>
  <si>
    <t>PWD Dahlgren - Grounds Maintenance</t>
  </si>
  <si>
    <t>A201</t>
  </si>
  <si>
    <t>PWD Indian Head  - Grounds Maintenance</t>
  </si>
  <si>
    <t>A301</t>
  </si>
  <si>
    <t>NDW</t>
  </si>
  <si>
    <t>A301 AA</t>
  </si>
  <si>
    <t>NDW- Improved Grounds (Prestige)- Reserved</t>
  </si>
  <si>
    <t>A301 AB</t>
  </si>
  <si>
    <t>NDW- Improved Grounds (Standard Lawn)</t>
  </si>
  <si>
    <t>A301 AC</t>
  </si>
  <si>
    <t>NDW- Improved Grounds (Standard Field)</t>
  </si>
  <si>
    <t>A301 AD</t>
  </si>
  <si>
    <t>NDW- Operational Areas</t>
  </si>
  <si>
    <t>A301 AE</t>
  </si>
  <si>
    <t>NDW- Storm Drain Systems</t>
  </si>
  <si>
    <t>A301 AF</t>
  </si>
  <si>
    <t>NDW- Debris Removal</t>
  </si>
  <si>
    <t>A301 AG</t>
  </si>
  <si>
    <t>NDW- Destructive Weather- Reserved</t>
  </si>
  <si>
    <t>A301 AH</t>
  </si>
  <si>
    <t>NDW- Interior Plant Maintenance- Reserved</t>
  </si>
  <si>
    <t>NDW (A301) Subtotal</t>
  </si>
  <si>
    <t>CBIRF</t>
  </si>
  <si>
    <t>A302 AA</t>
  </si>
  <si>
    <t>CBIRF- Improved Grounds (Prestige)- Reserved</t>
  </si>
  <si>
    <t>A302 AB</t>
  </si>
  <si>
    <t>CBIRF- Improved Grounds (Standard Lawn)</t>
  </si>
  <si>
    <t>A302 AC</t>
  </si>
  <si>
    <t>CBIRF- Improved Grounds (Standard Field)- Reserved</t>
  </si>
  <si>
    <t>A302 AD</t>
  </si>
  <si>
    <t>CBIRF- Operational Areas- Reserved</t>
  </si>
  <si>
    <t>A302 AE</t>
  </si>
  <si>
    <t>CBIRF- Storm Drain Systems- Reserved</t>
  </si>
  <si>
    <t>A302 AF</t>
  </si>
  <si>
    <t>CBIRF- Debris Removal- Reserved</t>
  </si>
  <si>
    <t>A302 AG</t>
  </si>
  <si>
    <t>CBIRF- Destructive Weather- Reserved</t>
  </si>
  <si>
    <t>A302 AH</t>
  </si>
  <si>
    <t>CBIRF- Interior Plant Maintenance- Reserved</t>
  </si>
  <si>
    <t>CBIRF (A302) Subtotal</t>
  </si>
  <si>
    <t>A303</t>
  </si>
  <si>
    <t>A303 AA</t>
  </si>
  <si>
    <t>NAVFAC UEM- Improved Grounds (Prestige)- Reserved</t>
  </si>
  <si>
    <t>A303 AB</t>
  </si>
  <si>
    <t>NAVFAC UEM- Improved Grounds (Standard Lawn)</t>
  </si>
  <si>
    <t>A303 AC</t>
  </si>
  <si>
    <t>NAVFAC UEM- Improved Grounds (Standard Field)</t>
  </si>
  <si>
    <t>A303 AD</t>
  </si>
  <si>
    <t>NAVFAC UEM- Operational Areas- Reserved</t>
  </si>
  <si>
    <t>A303 AE</t>
  </si>
  <si>
    <t>NAVFAC UEM- Storm Drain Systems- Reserved</t>
  </si>
  <si>
    <t>A303 AF</t>
  </si>
  <si>
    <t>NAVFAC UEM- Debris Removal- Reserved</t>
  </si>
  <si>
    <t>A303 AG</t>
  </si>
  <si>
    <t>NAVFAC UEM- Destructive Weather- Reserved</t>
  </si>
  <si>
    <t>A303 AH</t>
  </si>
  <si>
    <t>NAVFAC UEM- Interior Plant Maintenance- Reserved</t>
  </si>
  <si>
    <t>NAVFAC UEM (A303) Subtotal</t>
  </si>
  <si>
    <t>A304</t>
  </si>
  <si>
    <t>NRL POMONKEY</t>
  </si>
  <si>
    <t>A304 AA</t>
  </si>
  <si>
    <t>NRL POMONKEY- Improved Grounds (Prestige)- Reserved</t>
  </si>
  <si>
    <t>A304 AB</t>
  </si>
  <si>
    <t>NRL POMONKEY- Improved Grounds (Standard Lawn)</t>
  </si>
  <si>
    <t>A304 AC</t>
  </si>
  <si>
    <t>NRL POMONKEY- Improved Grounds (Standard Field)</t>
  </si>
  <si>
    <t>A304 AD</t>
  </si>
  <si>
    <t>NRL POMONKEY- Operational Areas- Reserved</t>
  </si>
  <si>
    <t>A304 AE</t>
  </si>
  <si>
    <t>NRL POMONKEY- Storm Drain Systems- Reserved</t>
  </si>
  <si>
    <t>A304 AF</t>
  </si>
  <si>
    <t>NRL POMONKEY- Debris Removal- Reserved</t>
  </si>
  <si>
    <t>A304 AG</t>
  </si>
  <si>
    <t>NRL POMONKEY- Destructive Weather- Reserved</t>
  </si>
  <si>
    <t>A304 AH</t>
  </si>
  <si>
    <t>NRL POMONKEY- Interior Plant Maintenance- Reserved</t>
  </si>
  <si>
    <t>NRL POMONKEY (A304) Subtotal</t>
  </si>
  <si>
    <t>PWD Indian Head Subtotal</t>
  </si>
  <si>
    <t>PWD Patuxent River (PAX) - Reserved</t>
  </si>
  <si>
    <t>PWD Annapolis - Reserved</t>
  </si>
  <si>
    <t>MCSC - Grounds Maintenance</t>
  </si>
  <si>
    <t>MCSC- Improved Grounds (Standard Lawn)</t>
  </si>
  <si>
    <t>MCSC- Debris Removal</t>
  </si>
  <si>
    <t>Manpower - Grounds Maintenance</t>
  </si>
  <si>
    <t>Manpower- Improved Grounds (Standard Lawn)</t>
  </si>
  <si>
    <t>Manpower- Debris Removal</t>
  </si>
  <si>
    <t>MCCOG - Grounds Maintenance</t>
  </si>
  <si>
    <t>MCCOG- Improved Grounds (Prestige)</t>
  </si>
  <si>
    <t>MCCOG- Debris Removal</t>
  </si>
  <si>
    <t>NMCL - Grounds Maintenance</t>
  </si>
  <si>
    <t>NMCL- Improved Grounds (Prestige)</t>
  </si>
  <si>
    <t>NMCL- Debris Removal</t>
  </si>
  <si>
    <t>VET (DHA) - Grounds Maintenance</t>
  </si>
  <si>
    <t>VET (DHA)- Improved Grounds (Standard Lawn)</t>
  </si>
  <si>
    <t>VET (DHA)- Debris Removal</t>
  </si>
  <si>
    <t>MCIA - Grounds Maintenance</t>
  </si>
  <si>
    <t>MCIA- Improved Grounds (Prestige)</t>
  </si>
  <si>
    <t>MCIA- Debris Removal</t>
  </si>
  <si>
    <t>MCCDC - Grounds Maintenance</t>
  </si>
  <si>
    <t>MCCDC- Improved Grounds (Prestige)</t>
  </si>
  <si>
    <t>MCCDC- Debris Removal</t>
  </si>
  <si>
    <t>OCS- Improved Grounds (Prestige)</t>
  </si>
  <si>
    <t>OCS- Debris Removal</t>
  </si>
  <si>
    <t>NSA Bethesda (NSAB) (Region Funded) - Grounds Maintenance</t>
  </si>
  <si>
    <t>NSAB- Improved Grounds (Prestige)</t>
  </si>
  <si>
    <t>NSAB- Improved Grounds (Standard Lawn)</t>
  </si>
  <si>
    <t>NSAB- Storm Drain Systems</t>
  </si>
  <si>
    <t>NSAB- Debris Removal</t>
  </si>
  <si>
    <t>NSA Bethesda (NSAB) (Region Funded) (A701) Subtotal</t>
  </si>
  <si>
    <t>WRNMCC - Grounds Maintenance</t>
  </si>
  <si>
    <t>WRNMCC- Improved Grounds (Prestige)</t>
  </si>
  <si>
    <t>WRNMCC- Storm Drain Systems</t>
  </si>
  <si>
    <t>WRNMCC- Debris Removal</t>
  </si>
  <si>
    <t>WRNMCC- Interior Plant Maintenance</t>
  </si>
  <si>
    <t>AFRI/USSHS) - Grounds Maintenance</t>
  </si>
  <si>
    <t>AFRI/USSHS- Improved Grounds (Prestige)</t>
  </si>
  <si>
    <t>AFRI/USSHS- Debris Removal</t>
  </si>
  <si>
    <t>AFRI/USSHS- Interior Plant Maintenance</t>
  </si>
  <si>
    <t>Dalecarlia (20% Regon /80% WRNMMC Funded) - Grounds Maintenance</t>
  </si>
  <si>
    <t>Dalecarlia- Improved Grounds (Prestige)</t>
  </si>
  <si>
    <t>Dalecarlia- Debris Removal</t>
  </si>
  <si>
    <t>1503050 - Grounds Maintenance Total</t>
  </si>
  <si>
    <t>1503060 - Pavement Clearance</t>
  </si>
  <si>
    <t>PWD Washington</t>
  </si>
  <si>
    <t>Washington Navy Yard (WNY) - Pavement Clearance</t>
  </si>
  <si>
    <t>Arlington Service Center (ASC) - Pavement Clearance</t>
  </si>
  <si>
    <t>Naval Observatory (USNO) (Region Funded) - Pavement Clearance</t>
  </si>
  <si>
    <t>USNO- Pavement Sweeping Services</t>
  </si>
  <si>
    <t>USNO- Snow and Ice Removal Services</t>
  </si>
  <si>
    <t>VPR (Quarters A) (Region Funded) - Pavement Clearance</t>
  </si>
  <si>
    <t>VPR (Quarters A)- Pavement Sweeping Services</t>
  </si>
  <si>
    <t>Naval Research Lab (NRL) - Pavement Clearance - Reserved</t>
  </si>
  <si>
    <t>NSWC Carderock - Pavement Clearance</t>
  </si>
  <si>
    <t>NSF Carderock (Region Funded) - Pavement Clearance</t>
  </si>
  <si>
    <t>NSF Carderock (Region Funded)- Snow and Ice Removal Services</t>
  </si>
  <si>
    <t>Marine Barracks Washington (MBW) - Pavement Clearance - Reserved</t>
  </si>
  <si>
    <t>PWD Washingtion - Pavement Clearance Subtotal</t>
  </si>
  <si>
    <t>PWD Dahlgren - Reserved</t>
  </si>
  <si>
    <t>PWD Indian Head - Reserved</t>
  </si>
  <si>
    <t>PWD Quantico - Reserved</t>
  </si>
  <si>
    <t>NSA Bethesda (NSAB) (Region Funded) - Pavement Clearance</t>
  </si>
  <si>
    <t>NSAB- Pavement Sweeping Services</t>
  </si>
  <si>
    <t>NSA Bethesda (NSAB) (Region Funded) (A710) Subtotal</t>
  </si>
  <si>
    <t>WRNMCC - Pavement Clearance</t>
  </si>
  <si>
    <t>WRNMCC- Snow and Ice Removal Services</t>
  </si>
  <si>
    <t>AFRI/USSHS) - Pavement Clearance</t>
  </si>
  <si>
    <t>AFRI/USSHS- Snow and Ice Removal Services</t>
  </si>
  <si>
    <t>Dalecarlia (20% Regon /80% WRNMMC Funded) - Pavement Clearance</t>
  </si>
  <si>
    <t>Dalecarlia- Snow and Ice Removal Services</t>
  </si>
  <si>
    <t>PWD Bethesda - Pavement Clearance Subtotal</t>
  </si>
  <si>
    <t>1503060 - Pavement Clearance Total</t>
  </si>
  <si>
    <t>Total Annex 1503050 &amp; 1503060</t>
  </si>
  <si>
    <t>A201 AA</t>
  </si>
  <si>
    <t>NDW- Improved Grounds (Prestige)</t>
  </si>
  <si>
    <t>A201 AB</t>
  </si>
  <si>
    <t>A201 AC</t>
  </si>
  <si>
    <t>A201 AD</t>
  </si>
  <si>
    <t>A201 AE</t>
  </si>
  <si>
    <t>NDW- Storm Drain Systems- Reserved</t>
  </si>
  <si>
    <t>A201 AF</t>
  </si>
  <si>
    <t>A201 AG</t>
  </si>
  <si>
    <t>A201 AH</t>
  </si>
  <si>
    <t xml:space="preserve"> NAVFAC UEM</t>
  </si>
  <si>
    <t>WNY- Improved Grounds (Prestige)</t>
  </si>
  <si>
    <t>WNY- Storm Drain Systems</t>
  </si>
  <si>
    <t>WNY- Debris Removal</t>
  </si>
  <si>
    <t>ASC- Improved Grounds (Standard Lawn)</t>
  </si>
  <si>
    <t>ASC- Improved Grounds (Standard Field)</t>
  </si>
  <si>
    <t>ASC- Debris Removal</t>
  </si>
  <si>
    <t>USNO- Improved Grounds (Standard Lawn)</t>
  </si>
  <si>
    <t>USNO- Debris Removal</t>
  </si>
  <si>
    <t>NRL- Improved Grounds (Prestige)</t>
  </si>
  <si>
    <t>NRL- Improved Grounds (Standard Lawn)</t>
  </si>
  <si>
    <t>NRL- Operational Areas</t>
  </si>
  <si>
    <t>NRL- Debris Removal</t>
  </si>
  <si>
    <t>NSWC Carderock- Improved Grounds (Prestige)</t>
  </si>
  <si>
    <t>NSWC Carderock- Improved Grounds (Standard Lawn)</t>
  </si>
  <si>
    <t>NSWC Carderock- Operational Areas</t>
  </si>
  <si>
    <t>NSWC Carderock- Storm Drain Systems</t>
  </si>
  <si>
    <t>NSWC Carderock- Debris Removal</t>
  </si>
  <si>
    <t>MBW- Improved Grounds (Prestige)</t>
  </si>
  <si>
    <t>MBW- Debris Removal</t>
  </si>
  <si>
    <t>B201</t>
  </si>
  <si>
    <t>B201 AA</t>
  </si>
  <si>
    <t>B201 AC</t>
  </si>
  <si>
    <t>B201 AB</t>
  </si>
  <si>
    <t>B201 AD</t>
  </si>
  <si>
    <t>B201 AE</t>
  </si>
  <si>
    <t>B201 AF</t>
  </si>
  <si>
    <t>B201 AH</t>
  </si>
  <si>
    <t>B201 AG</t>
  </si>
  <si>
    <t>NDW (B201) Subtotal</t>
  </si>
  <si>
    <t>B202</t>
  </si>
  <si>
    <t>B202 AA</t>
  </si>
  <si>
    <t>B202 AB</t>
  </si>
  <si>
    <t>B202 AC</t>
  </si>
  <si>
    <t>B202 AD</t>
  </si>
  <si>
    <t>B202 AE</t>
  </si>
  <si>
    <t>B202 AF</t>
  </si>
  <si>
    <t>B202 AG</t>
  </si>
  <si>
    <t>B202 AH</t>
  </si>
  <si>
    <t>NSWC (B202) Subtotal</t>
  </si>
  <si>
    <t>B203</t>
  </si>
  <si>
    <t>B203 AA</t>
  </si>
  <si>
    <t>B203 AB</t>
  </si>
  <si>
    <t>B203 AC</t>
  </si>
  <si>
    <t>B203 AD</t>
  </si>
  <si>
    <t>B203 AE</t>
  </si>
  <si>
    <t>B203 AF</t>
  </si>
  <si>
    <t>B203 AG</t>
  </si>
  <si>
    <t>B203 AH</t>
  </si>
  <si>
    <t>JWAC (B203) Subtotal</t>
  </si>
  <si>
    <t>B204</t>
  </si>
  <si>
    <t>B204 AA</t>
  </si>
  <si>
    <t>B204 AB</t>
  </si>
  <si>
    <t>B204 AC</t>
  </si>
  <si>
    <t>B204 AD</t>
  </si>
  <si>
    <t>B204 AE</t>
  </si>
  <si>
    <t>B204 AF</t>
  </si>
  <si>
    <t>B204 AG</t>
  </si>
  <si>
    <t>B204 AH</t>
  </si>
  <si>
    <t>BMD (B204) Subtotal</t>
  </si>
  <si>
    <t>B205</t>
  </si>
  <si>
    <t>D205</t>
  </si>
  <si>
    <t>B205 AA</t>
  </si>
  <si>
    <t>B205 AB</t>
  </si>
  <si>
    <t>D205 AA</t>
  </si>
  <si>
    <t>B205 AC</t>
  </si>
  <si>
    <t>B205 AD</t>
  </si>
  <si>
    <t>B205 AE</t>
  </si>
  <si>
    <t>B205 AF</t>
  </si>
  <si>
    <t>B205 AG</t>
  </si>
  <si>
    <t>B205 AH</t>
  </si>
  <si>
    <t>BUMED (B205) Subtotal</t>
  </si>
  <si>
    <t>B206</t>
  </si>
  <si>
    <t>B206 AB</t>
  </si>
  <si>
    <t>B206 AA</t>
  </si>
  <si>
    <t>B206 AC</t>
  </si>
  <si>
    <t>B206 AD</t>
  </si>
  <si>
    <t>B206 AE</t>
  </si>
  <si>
    <t>B206 AF</t>
  </si>
  <si>
    <t>B206 AG</t>
  </si>
  <si>
    <t>B206 AH</t>
  </si>
  <si>
    <t>DODEA (B206) Subtotal</t>
  </si>
  <si>
    <t>B301</t>
  </si>
  <si>
    <t>B301 AA</t>
  </si>
  <si>
    <t>B301 AB</t>
  </si>
  <si>
    <t>B301 AC</t>
  </si>
  <si>
    <t>B301 AD</t>
  </si>
  <si>
    <t>B301 AE</t>
  </si>
  <si>
    <t>B301 AF</t>
  </si>
  <si>
    <t>B301 AG</t>
  </si>
  <si>
    <t>B301 AH</t>
  </si>
  <si>
    <t>NDW (B301) Subtotal</t>
  </si>
  <si>
    <t>B302 AA</t>
  </si>
  <si>
    <t>B302 AB</t>
  </si>
  <si>
    <t>B302 AC</t>
  </si>
  <si>
    <t>B302 AD</t>
  </si>
  <si>
    <t>B302 AE</t>
  </si>
  <si>
    <t>B302 AF</t>
  </si>
  <si>
    <t>B302 AG</t>
  </si>
  <si>
    <t>B302 AH</t>
  </si>
  <si>
    <t>CBIRF (B302) Subtotal</t>
  </si>
  <si>
    <t>B303</t>
  </si>
  <si>
    <t>B303 AA</t>
  </si>
  <si>
    <t>B303 AB</t>
  </si>
  <si>
    <t>B303 AC</t>
  </si>
  <si>
    <t>B303 AD</t>
  </si>
  <si>
    <t>B303 AE</t>
  </si>
  <si>
    <t>B303 AF</t>
  </si>
  <si>
    <t>B303 AG</t>
  </si>
  <si>
    <t>B303 AH</t>
  </si>
  <si>
    <t>NAVFAC UEM (B303) Subtotal</t>
  </si>
  <si>
    <t>B304</t>
  </si>
  <si>
    <t>B304 AA</t>
  </si>
  <si>
    <t>B304 AB</t>
  </si>
  <si>
    <t>B304 AC</t>
  </si>
  <si>
    <t>B304 AD</t>
  </si>
  <si>
    <t>B304 AE</t>
  </si>
  <si>
    <t>B304 AF</t>
  </si>
  <si>
    <t>B304 AG</t>
  </si>
  <si>
    <t>B304 AH</t>
  </si>
  <si>
    <t>NRL POMONKEY (B304) Subtotal</t>
  </si>
  <si>
    <t>NSA Bethesda (NSAB) (Region Funded) (B701) Subtotal</t>
  </si>
  <si>
    <t>B110</t>
  </si>
  <si>
    <t>B110 AA</t>
  </si>
  <si>
    <t>B110 AB</t>
  </si>
  <si>
    <t>Washington Navy Yard (WNY) (B110) Subtotal</t>
  </si>
  <si>
    <t>B111</t>
  </si>
  <si>
    <t>B111 AA</t>
  </si>
  <si>
    <t>B111 AB</t>
  </si>
  <si>
    <t>B112</t>
  </si>
  <si>
    <t>B112 AA</t>
  </si>
  <si>
    <t>B112 AB</t>
  </si>
  <si>
    <t xml:space="preserve"> Arlington (ASC) (B111) Subtotal</t>
  </si>
  <si>
    <t>Naval Observatory (USNO) (Region Funded) (B112) Subtotal</t>
  </si>
  <si>
    <t>B113</t>
  </si>
  <si>
    <t>B113 AA</t>
  </si>
  <si>
    <t>B113 AB</t>
  </si>
  <si>
    <t>B114</t>
  </si>
  <si>
    <t>B115</t>
  </si>
  <si>
    <t>B115 AA</t>
  </si>
  <si>
    <t>B115 AB</t>
  </si>
  <si>
    <t>VPR (Quarters A) (Region Funded) (B113) Subtotal</t>
  </si>
  <si>
    <t>NSWC Carderock (B115) Subtotal</t>
  </si>
  <si>
    <t>B116</t>
  </si>
  <si>
    <t>B116 AA</t>
  </si>
  <si>
    <t>B116 AB</t>
  </si>
  <si>
    <t>NSF Carderock (Region Funded) B116) Subtotal</t>
  </si>
  <si>
    <t>NSA Bethesda (NSAB) (Region Funded) B710) Subtotal</t>
  </si>
  <si>
    <t>C201</t>
  </si>
  <si>
    <t>C201 AA</t>
  </si>
  <si>
    <t>C201 AB</t>
  </si>
  <si>
    <t>C201 AC</t>
  </si>
  <si>
    <t>C201 AD</t>
  </si>
  <si>
    <t>C201 AE</t>
  </si>
  <si>
    <t>C201 AF</t>
  </si>
  <si>
    <t>C201 AG</t>
  </si>
  <si>
    <t>C201 AH</t>
  </si>
  <si>
    <t>NDW (C201) Subtotal</t>
  </si>
  <si>
    <t>C202</t>
  </si>
  <si>
    <t>C202 AA</t>
  </si>
  <si>
    <t>C202 AB</t>
  </si>
  <si>
    <t>C202 AC</t>
  </si>
  <si>
    <t>C202 AD</t>
  </si>
  <si>
    <t>C202 AE</t>
  </si>
  <si>
    <t>C202 AF</t>
  </si>
  <si>
    <t>C202 AG</t>
  </si>
  <si>
    <t>C202 AH</t>
  </si>
  <si>
    <t>NSWC (C202) Subtotal</t>
  </si>
  <si>
    <t>C203</t>
  </si>
  <si>
    <t>C203 AA</t>
  </si>
  <si>
    <t>C203 AB</t>
  </si>
  <si>
    <t>C203 AC</t>
  </si>
  <si>
    <t>C203 AD</t>
  </si>
  <si>
    <t>C203 AE</t>
  </si>
  <si>
    <t>C203 AF</t>
  </si>
  <si>
    <t>C203 AG</t>
  </si>
  <si>
    <t>C203 AH</t>
  </si>
  <si>
    <t>JWAC (C203) Subtotal</t>
  </si>
  <si>
    <t>C204</t>
  </si>
  <si>
    <t>C204 AA</t>
  </si>
  <si>
    <t>C204 AB</t>
  </si>
  <si>
    <t>C204 AC</t>
  </si>
  <si>
    <t>C204 AD</t>
  </si>
  <si>
    <t>C204 AE</t>
  </si>
  <si>
    <t>C204 AF</t>
  </si>
  <si>
    <t>C204 AG</t>
  </si>
  <si>
    <t>C204 AH</t>
  </si>
  <si>
    <t>BMD (C204) Subtotal</t>
  </si>
  <si>
    <t>C205</t>
  </si>
  <si>
    <t>C205 AA</t>
  </si>
  <si>
    <t>C205 AB</t>
  </si>
  <si>
    <t>C205 AC</t>
  </si>
  <si>
    <t>C205 AD</t>
  </si>
  <si>
    <t>C205 AE</t>
  </si>
  <si>
    <t>C205 AF</t>
  </si>
  <si>
    <t>C205 AG</t>
  </si>
  <si>
    <t>C205 AH</t>
  </si>
  <si>
    <t>BUMED (C205) Subtotal</t>
  </si>
  <si>
    <t>C206</t>
  </si>
  <si>
    <t>C206 AA</t>
  </si>
  <si>
    <t>C206 AB</t>
  </si>
  <si>
    <t>C206 AC</t>
  </si>
  <si>
    <t>C206 AD</t>
  </si>
  <si>
    <t>C206 AE</t>
  </si>
  <si>
    <t>C206 AF</t>
  </si>
  <si>
    <t>C206 AG</t>
  </si>
  <si>
    <t>C206 AH</t>
  </si>
  <si>
    <t>DODEA (C206) Subtotal</t>
  </si>
  <si>
    <t>C301</t>
  </si>
  <si>
    <t>C301 AA</t>
  </si>
  <si>
    <t>C301 AB</t>
  </si>
  <si>
    <t>C301 AC</t>
  </si>
  <si>
    <t>C301 AD</t>
  </si>
  <si>
    <t>C301 AE</t>
  </si>
  <si>
    <t>C301 AF</t>
  </si>
  <si>
    <t>C301 AG</t>
  </si>
  <si>
    <t>C301 AH</t>
  </si>
  <si>
    <t>NDW (C301) Subtotal</t>
  </si>
  <si>
    <t>C302 AA</t>
  </si>
  <si>
    <t>C302 AB</t>
  </si>
  <si>
    <t>C302 AC</t>
  </si>
  <si>
    <t>C302 AD</t>
  </si>
  <si>
    <t>C302 AE</t>
  </si>
  <si>
    <t>C302 AF</t>
  </si>
  <si>
    <t>C302 AG</t>
  </si>
  <si>
    <t>C302 AH</t>
  </si>
  <si>
    <t>CBIRF (C302) Subtotal</t>
  </si>
  <si>
    <t>C303</t>
  </si>
  <si>
    <t>C303 AA</t>
  </si>
  <si>
    <t>C303 AB</t>
  </si>
  <si>
    <t>C303 AC</t>
  </si>
  <si>
    <t>C303 AD</t>
  </si>
  <si>
    <t>C303 AE</t>
  </si>
  <si>
    <t>C303 AF</t>
  </si>
  <si>
    <t>C303 AG</t>
  </si>
  <si>
    <t>C303 AH</t>
  </si>
  <si>
    <t>NAVFAC UEM (C303) Subtotal</t>
  </si>
  <si>
    <t>C304</t>
  </si>
  <si>
    <t>C304 AA</t>
  </si>
  <si>
    <t>C304 AB</t>
  </si>
  <si>
    <t>C304 AC</t>
  </si>
  <si>
    <t>C304 AD</t>
  </si>
  <si>
    <t>C304 AE</t>
  </si>
  <si>
    <t>C304 AF</t>
  </si>
  <si>
    <t>C304 AG</t>
  </si>
  <si>
    <t>C304 AH</t>
  </si>
  <si>
    <t>NRL POMONKEY (C304) Subtotal</t>
  </si>
  <si>
    <t>NSA Bethesda (NSAB) (Region Funded) (C701) Subtotal</t>
  </si>
  <si>
    <t>C110</t>
  </si>
  <si>
    <t>C110 AA</t>
  </si>
  <si>
    <t>C110 AB</t>
  </si>
  <si>
    <t>Washington Navy Yard (WNY) (C110) Subtotal</t>
  </si>
  <si>
    <t>C111</t>
  </si>
  <si>
    <t>C111 AA</t>
  </si>
  <si>
    <t>C111 AB</t>
  </si>
  <si>
    <t xml:space="preserve"> Arlington (ASC) (C111) Subtotal</t>
  </si>
  <si>
    <t>C112</t>
  </si>
  <si>
    <t>C112 AA</t>
  </si>
  <si>
    <t>C112 AB</t>
  </si>
  <si>
    <t>Naval Observatory (USNO) (Region Funded) (C112) Subtotal</t>
  </si>
  <si>
    <t>C113</t>
  </si>
  <si>
    <t>C113 AA</t>
  </si>
  <si>
    <t>C113 AB</t>
  </si>
  <si>
    <t>VPR (Quarters A) (Region Funded) (C113) Subtotal</t>
  </si>
  <si>
    <t>C114</t>
  </si>
  <si>
    <t>C115</t>
  </si>
  <si>
    <t>C115 AA</t>
  </si>
  <si>
    <t>C115 AB</t>
  </si>
  <si>
    <t>NSWC Carderock (C115) Subtotal</t>
  </si>
  <si>
    <t>C116</t>
  </si>
  <si>
    <t>C116 AA</t>
  </si>
  <si>
    <t>C116 AB</t>
  </si>
  <si>
    <t>NSF Carderock (Region Funded) (C116) Subtotal</t>
  </si>
  <si>
    <t>NSA Bethesda (NSAB) (Region Funded) (C710) Subtotal</t>
  </si>
  <si>
    <t>D201</t>
  </si>
  <si>
    <t>D201 AA</t>
  </si>
  <si>
    <t>D201 AB</t>
  </si>
  <si>
    <t>D201 AD</t>
  </si>
  <si>
    <t>D201 AC</t>
  </si>
  <si>
    <t>D201 AE</t>
  </si>
  <si>
    <t>D201 AF</t>
  </si>
  <si>
    <t>D201 AG</t>
  </si>
  <si>
    <t>D201 AH</t>
  </si>
  <si>
    <t>NDW (D201) Subtotal</t>
  </si>
  <si>
    <t>D202</t>
  </si>
  <si>
    <t>D202 AA</t>
  </si>
  <si>
    <t>D202 AB</t>
  </si>
  <si>
    <t>D202 AC</t>
  </si>
  <si>
    <t>D202 AD</t>
  </si>
  <si>
    <t>D202 AE</t>
  </si>
  <si>
    <t>D202 AF</t>
  </si>
  <si>
    <t>D202 AG</t>
  </si>
  <si>
    <t>D202 AH</t>
  </si>
  <si>
    <t>NSWC (D202) Subtotal</t>
  </si>
  <si>
    <t>D203</t>
  </si>
  <si>
    <t>D203 AA</t>
  </si>
  <si>
    <t>D203 AB</t>
  </si>
  <si>
    <t>D203 AC</t>
  </si>
  <si>
    <t>D203 AD</t>
  </si>
  <si>
    <t>D203 AE</t>
  </si>
  <si>
    <t>D203 AF</t>
  </si>
  <si>
    <t>D203 AG</t>
  </si>
  <si>
    <t>D203 AH</t>
  </si>
  <si>
    <t>JWAC (D203) Subtotal</t>
  </si>
  <si>
    <t>D204</t>
  </si>
  <si>
    <t>D204 AA</t>
  </si>
  <si>
    <t>D204 AB</t>
  </si>
  <si>
    <t>D204 AC</t>
  </si>
  <si>
    <t>D204 AD</t>
  </si>
  <si>
    <t>D204 AE</t>
  </si>
  <si>
    <t>D204 AF</t>
  </si>
  <si>
    <t>D204 AG</t>
  </si>
  <si>
    <t>D204 AH</t>
  </si>
  <si>
    <t>BMD (D204) Subtotal</t>
  </si>
  <si>
    <t>D205 AB</t>
  </si>
  <si>
    <t>D205 AC</t>
  </si>
  <si>
    <t>D205 AD</t>
  </si>
  <si>
    <t>D205 AE</t>
  </si>
  <si>
    <t>D205 AF</t>
  </si>
  <si>
    <t>D205 AG</t>
  </si>
  <si>
    <t>D205 AH</t>
  </si>
  <si>
    <t>BUMED (D205) Subtotal</t>
  </si>
  <si>
    <t>D206</t>
  </si>
  <si>
    <t>D206 AA</t>
  </si>
  <si>
    <t>D206 AB</t>
  </si>
  <si>
    <t>D206 AC</t>
  </si>
  <si>
    <t>D206 AD</t>
  </si>
  <si>
    <t>D206 AE</t>
  </si>
  <si>
    <t>D206 AF</t>
  </si>
  <si>
    <t>D206 AG</t>
  </si>
  <si>
    <t>D206 AH</t>
  </si>
  <si>
    <t>DODEA (D206) Subtotal</t>
  </si>
  <si>
    <t>D301</t>
  </si>
  <si>
    <t>D301 AA</t>
  </si>
  <si>
    <t>D301 AB</t>
  </si>
  <si>
    <t>D301 AC</t>
  </si>
  <si>
    <t>D301 AD</t>
  </si>
  <si>
    <t>D301 AE</t>
  </si>
  <si>
    <t>D301 AF</t>
  </si>
  <si>
    <t>D301 AG</t>
  </si>
  <si>
    <t>D301 AH</t>
  </si>
  <si>
    <t>NDW (D301) Subtotal</t>
  </si>
  <si>
    <t>D302 AA</t>
  </si>
  <si>
    <t>D302 AB</t>
  </si>
  <si>
    <t>D302 AC</t>
  </si>
  <si>
    <t>D302 AD</t>
  </si>
  <si>
    <t>D302 AE</t>
  </si>
  <si>
    <t>D302 AF</t>
  </si>
  <si>
    <t>D302 AG</t>
  </si>
  <si>
    <t>D302 AH</t>
  </si>
  <si>
    <t>CBIRF (D302) Subtotal</t>
  </si>
  <si>
    <t>D303</t>
  </si>
  <si>
    <t>D303 AA</t>
  </si>
  <si>
    <t>D303 AB</t>
  </si>
  <si>
    <t>D303 AC</t>
  </si>
  <si>
    <t>D303 AD</t>
  </si>
  <si>
    <t>D303 AF</t>
  </si>
  <si>
    <t>D303 AE</t>
  </si>
  <si>
    <t>D303 AG</t>
  </si>
  <si>
    <t>D303 AH</t>
  </si>
  <si>
    <t>NAVFAC UEM (D303) Subtotal</t>
  </si>
  <si>
    <t>D304</t>
  </si>
  <si>
    <t>D304 AA</t>
  </si>
  <si>
    <t>D304 AB</t>
  </si>
  <si>
    <t>D304 AC</t>
  </si>
  <si>
    <t>D304 AD</t>
  </si>
  <si>
    <t>D304 AE</t>
  </si>
  <si>
    <t>D304 AF</t>
  </si>
  <si>
    <t>D304 AG</t>
  </si>
  <si>
    <t>D304 AH</t>
  </si>
  <si>
    <t>NRL POMONKEY (D304) Subtotal</t>
  </si>
  <si>
    <t>NSA Bethesda (NSAB) (Region Funded) (D701) Subtotal</t>
  </si>
  <si>
    <t>D110</t>
  </si>
  <si>
    <t>D110 AA</t>
  </si>
  <si>
    <t>D110 AB</t>
  </si>
  <si>
    <t>Washington Navy Yard (WNY) (D110) Subtotal</t>
  </si>
  <si>
    <t>D111</t>
  </si>
  <si>
    <t>D111 AA</t>
  </si>
  <si>
    <t>D111 AB</t>
  </si>
  <si>
    <t xml:space="preserve"> Arlington (ASC) (D111) Subtotal</t>
  </si>
  <si>
    <t>D112</t>
  </si>
  <si>
    <t>D112 AA</t>
  </si>
  <si>
    <t>D112 AB</t>
  </si>
  <si>
    <t>D113</t>
  </si>
  <si>
    <t>D113 AA</t>
  </si>
  <si>
    <t>D113 AB</t>
  </si>
  <si>
    <t>D114</t>
  </si>
  <si>
    <t>D115</t>
  </si>
  <si>
    <t>D115 AA</t>
  </si>
  <si>
    <t>D115 AB</t>
  </si>
  <si>
    <t>Naval Observatory (USNO) (Region Funded) (D112) Subtotal</t>
  </si>
  <si>
    <t>VPR (Quarters A) (Region Funded) (D113) Subtotal</t>
  </si>
  <si>
    <t>NSWC Carderock (D115) Subtotal</t>
  </si>
  <si>
    <t>D116</t>
  </si>
  <si>
    <t>D116 AA</t>
  </si>
  <si>
    <t>D116 AB</t>
  </si>
  <si>
    <t>NSF Carderock (Region Funded) D116) Subtotal</t>
  </si>
  <si>
    <t>NSA Bethesda (NSAB) (Region Funded) (D710) Subtotal</t>
  </si>
  <si>
    <t>E201</t>
  </si>
  <si>
    <t>E201 AA</t>
  </si>
  <si>
    <t>E201 AC</t>
  </si>
  <si>
    <t>E201 AB</t>
  </si>
  <si>
    <t>E201 AD</t>
  </si>
  <si>
    <t>E201 AE</t>
  </si>
  <si>
    <t>E201 AF</t>
  </si>
  <si>
    <t>E201 AG</t>
  </si>
  <si>
    <t>E201 AH</t>
  </si>
  <si>
    <t>NDW (E201) Subtotal</t>
  </si>
  <si>
    <t>E202</t>
  </si>
  <si>
    <t>E202 AA</t>
  </si>
  <si>
    <t>E202 AB</t>
  </si>
  <si>
    <t>E202 AC</t>
  </si>
  <si>
    <t>E202 AD</t>
  </si>
  <si>
    <t>E202 AE</t>
  </si>
  <si>
    <t>E202 AF</t>
  </si>
  <si>
    <t>E202 AG</t>
  </si>
  <si>
    <t>E202 AH</t>
  </si>
  <si>
    <t>NSWC (E202) Subtotal</t>
  </si>
  <si>
    <t>E203</t>
  </si>
  <si>
    <t>E203 AA</t>
  </si>
  <si>
    <t>E203 AB</t>
  </si>
  <si>
    <t>E203 AC</t>
  </si>
  <si>
    <t>E203 AD</t>
  </si>
  <si>
    <t>E203 AE</t>
  </si>
  <si>
    <t>E203 AF</t>
  </si>
  <si>
    <t>E203 AG</t>
  </si>
  <si>
    <t>E203 AH</t>
  </si>
  <si>
    <t>JWAC (E203) Subtotal</t>
  </si>
  <si>
    <t>E204</t>
  </si>
  <si>
    <t>E204 AA</t>
  </si>
  <si>
    <t>E204 AB</t>
  </si>
  <si>
    <t>E204 AC</t>
  </si>
  <si>
    <t>E204 AD</t>
  </si>
  <si>
    <t>E204 AE</t>
  </si>
  <si>
    <t>E204 AF</t>
  </si>
  <si>
    <t>E204 AG</t>
  </si>
  <si>
    <t>E204 AH</t>
  </si>
  <si>
    <t>BMD (E204) Subtotal</t>
  </si>
  <si>
    <t>E205</t>
  </si>
  <si>
    <t>E205 AA</t>
  </si>
  <si>
    <t>E205 AB</t>
  </si>
  <si>
    <t>E205 AC</t>
  </si>
  <si>
    <t>E205 AD</t>
  </si>
  <si>
    <t>E205 AE</t>
  </si>
  <si>
    <t>E205 AF</t>
  </si>
  <si>
    <t>E205 AG</t>
  </si>
  <si>
    <t>E205 AH</t>
  </si>
  <si>
    <t>BUMED (E205) Subtotal</t>
  </si>
  <si>
    <t>E206</t>
  </si>
  <si>
    <t>E206 AA</t>
  </si>
  <si>
    <t>E206 AB</t>
  </si>
  <si>
    <t>E206 AC</t>
  </si>
  <si>
    <t>E206 AD</t>
  </si>
  <si>
    <t>E206 AE</t>
  </si>
  <si>
    <t>E206 AF</t>
  </si>
  <si>
    <t>E206 AG</t>
  </si>
  <si>
    <t>E206 AH</t>
  </si>
  <si>
    <t>DODEA (E206) Subtotal</t>
  </si>
  <si>
    <t>E300</t>
  </si>
  <si>
    <t>E301</t>
  </si>
  <si>
    <t>E301 AA</t>
  </si>
  <si>
    <t>E301 AB</t>
  </si>
  <si>
    <t>E301 AC</t>
  </si>
  <si>
    <t>E301 AE</t>
  </si>
  <si>
    <t>E301 AD</t>
  </si>
  <si>
    <t>E301 AF</t>
  </si>
  <si>
    <t>E301 AG</t>
  </si>
  <si>
    <t>E301 AH</t>
  </si>
  <si>
    <t>NDW (E301) Subtotal</t>
  </si>
  <si>
    <t>E302 AA</t>
  </si>
  <si>
    <t>E302 AB</t>
  </si>
  <si>
    <t>E302 AC</t>
  </si>
  <si>
    <t>E302 AD</t>
  </si>
  <si>
    <t>E302 AE</t>
  </si>
  <si>
    <t>E302 AF</t>
  </si>
  <si>
    <t>E302 AG</t>
  </si>
  <si>
    <t>E302 AH</t>
  </si>
  <si>
    <t>CBIRF (E302) Subtotal</t>
  </si>
  <si>
    <t>E303</t>
  </si>
  <si>
    <t>E303 AA</t>
  </si>
  <si>
    <t>E303 AC</t>
  </si>
  <si>
    <t>E303 AB</t>
  </si>
  <si>
    <t>E303 AD</t>
  </si>
  <si>
    <t>E303 AE</t>
  </si>
  <si>
    <t>E303 AF</t>
  </si>
  <si>
    <t>E303 AG</t>
  </si>
  <si>
    <t>E303 AH</t>
  </si>
  <si>
    <t>NAVFAC UEM (E303) Subtotal</t>
  </si>
  <si>
    <t>E304</t>
  </si>
  <si>
    <t>E304 AA</t>
  </si>
  <si>
    <t>E304 AB</t>
  </si>
  <si>
    <t>E304 AC</t>
  </si>
  <si>
    <t>E304 AD</t>
  </si>
  <si>
    <t>E304 AE</t>
  </si>
  <si>
    <t>E304 AF</t>
  </si>
  <si>
    <t>E304 AG</t>
  </si>
  <si>
    <t>E304 AH</t>
  </si>
  <si>
    <t>NRL POMONKEY (E304) Subtotal</t>
  </si>
  <si>
    <t>E400</t>
  </si>
  <si>
    <t>E500</t>
  </si>
  <si>
    <t>E600</t>
  </si>
  <si>
    <t>E601</t>
  </si>
  <si>
    <t>E601 AA</t>
  </si>
  <si>
    <t>E601 AB</t>
  </si>
  <si>
    <t>E601 AC</t>
  </si>
  <si>
    <t>E601 AD</t>
  </si>
  <si>
    <t>E601 AE</t>
  </si>
  <si>
    <t>E601 AF</t>
  </si>
  <si>
    <t>E601 AG</t>
  </si>
  <si>
    <t>E601 AH</t>
  </si>
  <si>
    <t>MCSC (E601) Subtotal</t>
  </si>
  <si>
    <t>E602</t>
  </si>
  <si>
    <t>E602 AA</t>
  </si>
  <si>
    <t>E602 AB</t>
  </si>
  <si>
    <t>E602 AC</t>
  </si>
  <si>
    <t>E602 AD</t>
  </si>
  <si>
    <t>E602 AE</t>
  </si>
  <si>
    <t>E602 AF</t>
  </si>
  <si>
    <t>E602 AG</t>
  </si>
  <si>
    <t>E602 AH</t>
  </si>
  <si>
    <t>Manpower (E602) Subtotal</t>
  </si>
  <si>
    <t>E603</t>
  </si>
  <si>
    <t>E603 AA</t>
  </si>
  <si>
    <t>E603 AB</t>
  </si>
  <si>
    <t>E603 AC</t>
  </si>
  <si>
    <t>E603 AD</t>
  </si>
  <si>
    <t>E603 AE</t>
  </si>
  <si>
    <t>E603 AF</t>
  </si>
  <si>
    <t>E603 AG</t>
  </si>
  <si>
    <t>E603 AH</t>
  </si>
  <si>
    <t>MCCOG (E603) Subtotal</t>
  </si>
  <si>
    <t>E604</t>
  </si>
  <si>
    <t>E604 AA</t>
  </si>
  <si>
    <t>E604 AB</t>
  </si>
  <si>
    <t>E604 AC</t>
  </si>
  <si>
    <t>E604 AD</t>
  </si>
  <si>
    <t>E604 AE</t>
  </si>
  <si>
    <t>E604 AF</t>
  </si>
  <si>
    <t>E604 AG</t>
  </si>
  <si>
    <t>E604 AH</t>
  </si>
  <si>
    <t>NMCL (E604) Subtotal</t>
  </si>
  <si>
    <t>E605</t>
  </si>
  <si>
    <t>E605 AA</t>
  </si>
  <si>
    <t>E605 AB</t>
  </si>
  <si>
    <t>E605 AC</t>
  </si>
  <si>
    <t>E605 AD</t>
  </si>
  <si>
    <t>E605 AE</t>
  </si>
  <si>
    <t>E605 AF</t>
  </si>
  <si>
    <t>E605 AG</t>
  </si>
  <si>
    <t>E605 AH</t>
  </si>
  <si>
    <t>VET (DHA) (E605) Subtotal</t>
  </si>
  <si>
    <t>E606</t>
  </si>
  <si>
    <t>E606 AA</t>
  </si>
  <si>
    <t>E606 AB</t>
  </si>
  <si>
    <t>E606 AC</t>
  </si>
  <si>
    <t>E606 AD</t>
  </si>
  <si>
    <t>E606 AE</t>
  </si>
  <si>
    <t>E606 AF</t>
  </si>
  <si>
    <t>E606 AG</t>
  </si>
  <si>
    <t>E606 AH</t>
  </si>
  <si>
    <t>MCIA (E606) Subtotal</t>
  </si>
  <si>
    <t>E607</t>
  </si>
  <si>
    <t>E607 AA</t>
  </si>
  <si>
    <t>E607 AB</t>
  </si>
  <si>
    <t>E607 AC</t>
  </si>
  <si>
    <t>E607 AD</t>
  </si>
  <si>
    <t>E607 AE</t>
  </si>
  <si>
    <t>E607 AF</t>
  </si>
  <si>
    <t>E607 AG</t>
  </si>
  <si>
    <t>E607 AH</t>
  </si>
  <si>
    <t>MCCDC (E607) Subtotal</t>
  </si>
  <si>
    <t>E608</t>
  </si>
  <si>
    <t>E608 AA</t>
  </si>
  <si>
    <t>E608 AB</t>
  </si>
  <si>
    <t>E608 AC</t>
  </si>
  <si>
    <t>E608 AD</t>
  </si>
  <si>
    <t>E608 AE</t>
  </si>
  <si>
    <t>E608 AF</t>
  </si>
  <si>
    <t>E608 AG</t>
  </si>
  <si>
    <t>E608 AH</t>
  </si>
  <si>
    <t>OCS (E608) Subtotal</t>
  </si>
  <si>
    <t>E700</t>
  </si>
  <si>
    <t>E701</t>
  </si>
  <si>
    <t>E701 AA</t>
  </si>
  <si>
    <t>E701 AB</t>
  </si>
  <si>
    <t>E701 AC</t>
  </si>
  <si>
    <t>E701 AD</t>
  </si>
  <si>
    <t>E701 AE</t>
  </si>
  <si>
    <t>E701 AF</t>
  </si>
  <si>
    <t>E701 AG</t>
  </si>
  <si>
    <t>E701 AH</t>
  </si>
  <si>
    <t>NSA Bethesda (NSAB) (Region Funded) (E701) Subtotal</t>
  </si>
  <si>
    <t>E702</t>
  </si>
  <si>
    <t>E702 AA</t>
  </si>
  <si>
    <t>E702 AB</t>
  </si>
  <si>
    <t>E702 AC</t>
  </si>
  <si>
    <t>E702 AD</t>
  </si>
  <si>
    <t>E702 AE</t>
  </si>
  <si>
    <t>E702 AF</t>
  </si>
  <si>
    <t>E702 AG</t>
  </si>
  <si>
    <t>E702 AH</t>
  </si>
  <si>
    <t>WRNMCC (E702) Subtotal</t>
  </si>
  <si>
    <t>E703</t>
  </si>
  <si>
    <t>E703 AA</t>
  </si>
  <si>
    <t>E703 AB</t>
  </si>
  <si>
    <t>E703 AC</t>
  </si>
  <si>
    <t>E703 AD</t>
  </si>
  <si>
    <t>E703 AE</t>
  </si>
  <si>
    <t>E703 AF</t>
  </si>
  <si>
    <t>E703 AG</t>
  </si>
  <si>
    <t>E703 AH</t>
  </si>
  <si>
    <t>AFRI/USSHS) (E703) Subtotal</t>
  </si>
  <si>
    <t>E704</t>
  </si>
  <si>
    <t>E704 AA</t>
  </si>
  <si>
    <t>E704 AB</t>
  </si>
  <si>
    <t>E704 AC</t>
  </si>
  <si>
    <t>E704 AD</t>
  </si>
  <si>
    <t>E704 AE</t>
  </si>
  <si>
    <t>E704 AF</t>
  </si>
  <si>
    <t>E704 AG</t>
  </si>
  <si>
    <t>E704 AH</t>
  </si>
  <si>
    <t>Dalecarlia (20% Regon /80% WRNMMC Funded) (E704) Subtotal</t>
  </si>
  <si>
    <t>E110</t>
  </si>
  <si>
    <t>E110 AA</t>
  </si>
  <si>
    <t>E110 AB</t>
  </si>
  <si>
    <t>E111</t>
  </si>
  <si>
    <t>E111 AA</t>
  </si>
  <si>
    <t>E111 AB</t>
  </si>
  <si>
    <t>Washington Navy Yard (WNY) (E110) Subtotal</t>
  </si>
  <si>
    <t xml:space="preserve"> Arlington (ASC) (E111) Subtotal</t>
  </si>
  <si>
    <t>E112</t>
  </si>
  <si>
    <t>E112 AA</t>
  </si>
  <si>
    <t>E112 AB</t>
  </si>
  <si>
    <t>E113</t>
  </si>
  <si>
    <t>E113 AA</t>
  </si>
  <si>
    <t>E113 AB</t>
  </si>
  <si>
    <t>Naval Observatory (USNO) (Region Funded) (E112) Subtotal</t>
  </si>
  <si>
    <t>VPR (Quarters A) (Region Funded) (E113) Subtotal</t>
  </si>
  <si>
    <t>NSWC Carderock (E115) Subtotal</t>
  </si>
  <si>
    <t>NSF Carderock (Region Funded) (E116) Subtotal</t>
  </si>
  <si>
    <t>E114</t>
  </si>
  <si>
    <t>E115</t>
  </si>
  <si>
    <t>E115 AA</t>
  </si>
  <si>
    <t>E115 AB</t>
  </si>
  <si>
    <t>E116</t>
  </si>
  <si>
    <t>E116 AA</t>
  </si>
  <si>
    <t>E116 AB</t>
  </si>
  <si>
    <t>E117</t>
  </si>
  <si>
    <t>E710</t>
  </si>
  <si>
    <t>E710 AA</t>
  </si>
  <si>
    <t>E710 AB</t>
  </si>
  <si>
    <t>NSA Bethesda (NSAB) (Region Funded) (E710) Subtotal</t>
  </si>
  <si>
    <t>E711</t>
  </si>
  <si>
    <t>E711 AA</t>
  </si>
  <si>
    <t>E711 AB</t>
  </si>
  <si>
    <t>E712</t>
  </si>
  <si>
    <t>E712 AA</t>
  </si>
  <si>
    <t>E712 AB</t>
  </si>
  <si>
    <t>E713</t>
  </si>
  <si>
    <t>E713 AA</t>
  </si>
  <si>
    <t>E713 AB</t>
  </si>
  <si>
    <t>WRNMCC (E711) Subtotal</t>
  </si>
  <si>
    <t>AFRI/USSHS) (E712) Subtotal</t>
  </si>
  <si>
    <t>Dalecarlia (20% Regon /80% WRNMMC Funded) (E713) Subtotal</t>
  </si>
  <si>
    <t>F201</t>
  </si>
  <si>
    <t>F201 AA</t>
  </si>
  <si>
    <t>F201 AB</t>
  </si>
  <si>
    <t>F201 AC</t>
  </si>
  <si>
    <t>F201 AD</t>
  </si>
  <si>
    <t>F201 AE</t>
  </si>
  <si>
    <t>F201 AF</t>
  </si>
  <si>
    <t>F201 AG</t>
  </si>
  <si>
    <t>F201 AH</t>
  </si>
  <si>
    <t>NDW (F201) Subtotal</t>
  </si>
  <si>
    <t>F202</t>
  </si>
  <si>
    <t>F202 AA</t>
  </si>
  <si>
    <t>F202 AB</t>
  </si>
  <si>
    <t>F202 AC</t>
  </si>
  <si>
    <t>F202 AD</t>
  </si>
  <si>
    <t>F202 AE</t>
  </si>
  <si>
    <t>F202 AF</t>
  </si>
  <si>
    <t>F202 AG</t>
  </si>
  <si>
    <t>F202 AH</t>
  </si>
  <si>
    <t>NSWC (F202) Subtotal</t>
  </si>
  <si>
    <t>F203</t>
  </si>
  <si>
    <t>F203 AA</t>
  </si>
  <si>
    <t>F203 AB</t>
  </si>
  <si>
    <t>F203 AC</t>
  </si>
  <si>
    <t>F203 AD</t>
  </si>
  <si>
    <t>F203 AE</t>
  </si>
  <si>
    <t>F203 AF</t>
  </si>
  <si>
    <t>F203 AG</t>
  </si>
  <si>
    <t>F203 AH</t>
  </si>
  <si>
    <t>F204</t>
  </si>
  <si>
    <t>F204 AA</t>
  </si>
  <si>
    <t>JWAC (F203) Subtotal</t>
  </si>
  <si>
    <t>F204 AB</t>
  </si>
  <si>
    <t>F204 AC</t>
  </si>
  <si>
    <t>F204 AD</t>
  </si>
  <si>
    <t>F204 AE</t>
  </si>
  <si>
    <t>F204 AF</t>
  </si>
  <si>
    <t>F204 AG</t>
  </si>
  <si>
    <t>F204 AH</t>
  </si>
  <si>
    <t>BMD (F204) Subtotal</t>
  </si>
  <si>
    <t>F205</t>
  </si>
  <si>
    <t>F205 AA</t>
  </si>
  <si>
    <t>F205 AB</t>
  </si>
  <si>
    <t>F205 AC</t>
  </si>
  <si>
    <t>F205 AD</t>
  </si>
  <si>
    <t>F205 AE</t>
  </si>
  <si>
    <t>F205 AF</t>
  </si>
  <si>
    <t>F205 AG</t>
  </si>
  <si>
    <t>F205 AH</t>
  </si>
  <si>
    <t>BUMED (F205) Subtotal</t>
  </si>
  <si>
    <t>F206</t>
  </si>
  <si>
    <t>F206 AA</t>
  </si>
  <si>
    <t>F206 AB</t>
  </si>
  <si>
    <t>F206 AC</t>
  </si>
  <si>
    <t>F206 AD</t>
  </si>
  <si>
    <t>F206 AE</t>
  </si>
  <si>
    <t>F206 AF</t>
  </si>
  <si>
    <t>F206 AG</t>
  </si>
  <si>
    <t>F206 AH</t>
  </si>
  <si>
    <t>DODEA (F206) Subtotal</t>
  </si>
  <si>
    <t>F301</t>
  </si>
  <si>
    <t>F301 AA</t>
  </si>
  <si>
    <t>F301 AB</t>
  </si>
  <si>
    <t>F301 AC</t>
  </si>
  <si>
    <t>F301 AD</t>
  </si>
  <si>
    <t>F301 AE</t>
  </si>
  <si>
    <t>F301 AF</t>
  </si>
  <si>
    <t>F301 AG</t>
  </si>
  <si>
    <t>F301 AH</t>
  </si>
  <si>
    <t>NDW (F301) Subtotal</t>
  </si>
  <si>
    <t>F302 AA</t>
  </si>
  <si>
    <t>F302 AB</t>
  </si>
  <si>
    <t>F302 AC</t>
  </si>
  <si>
    <t>F302 AD</t>
  </si>
  <si>
    <t>F302 AE</t>
  </si>
  <si>
    <t>F302 AF</t>
  </si>
  <si>
    <t>F302 AG</t>
  </si>
  <si>
    <t>F302 AH</t>
  </si>
  <si>
    <t>CBIRF (F302) Subtotal</t>
  </si>
  <si>
    <t>F303</t>
  </si>
  <si>
    <t>F303 AA</t>
  </si>
  <si>
    <t>F303 AB</t>
  </si>
  <si>
    <t>F303 AC</t>
  </si>
  <si>
    <t>F303 AD</t>
  </si>
  <si>
    <t>F303 AE</t>
  </si>
  <si>
    <t>F303 AF</t>
  </si>
  <si>
    <t>F303 AG</t>
  </si>
  <si>
    <t>F303 AH</t>
  </si>
  <si>
    <t>NAVFAC UEM (F303) Subtotal</t>
  </si>
  <si>
    <t>F304</t>
  </si>
  <si>
    <t>F304 AA</t>
  </si>
  <si>
    <t>F304 AB</t>
  </si>
  <si>
    <t>F304 AD</t>
  </si>
  <si>
    <t>F304 AC</t>
  </si>
  <si>
    <t>F304 AE</t>
  </si>
  <si>
    <t>F304 AF</t>
  </si>
  <si>
    <t>F304 AG</t>
  </si>
  <si>
    <t>F304 AH</t>
  </si>
  <si>
    <t>NRL POMONKEY (F304) Subtotal</t>
  </si>
  <si>
    <t>NSA Bethesda (NSAB) (Region Funded) (F701) Subtotal</t>
  </si>
  <si>
    <t>F110</t>
  </si>
  <si>
    <t>F110 AA</t>
  </si>
  <si>
    <t>F110 AB</t>
  </si>
  <si>
    <t>F111</t>
  </si>
  <si>
    <t>F111 AA</t>
  </si>
  <si>
    <t>F111 AB</t>
  </si>
  <si>
    <t>Washington Navy Yard (WNY) (F110) Subtotal</t>
  </si>
  <si>
    <t xml:space="preserve"> Arlington (ASC) (F111) Subtotal</t>
  </si>
  <si>
    <t>F112</t>
  </si>
  <si>
    <t>F112 AA</t>
  </si>
  <si>
    <t>F112 AB</t>
  </si>
  <si>
    <t>F113</t>
  </si>
  <si>
    <t>F113 AA</t>
  </si>
  <si>
    <t>F113 AB</t>
  </si>
  <si>
    <t>Naval Observatory (USNO) (Region Funded) (F112) Subtotal</t>
  </si>
  <si>
    <t>VPR (Quarters A) (Region Funded) (F113) Subtotal</t>
  </si>
  <si>
    <t>F114</t>
  </si>
  <si>
    <t>F115</t>
  </si>
  <si>
    <t>F115 AA</t>
  </si>
  <si>
    <t>F115 AB</t>
  </si>
  <si>
    <t>NSWC Carderock (F115) Subtotal</t>
  </si>
  <si>
    <t>F116</t>
  </si>
  <si>
    <t>F116 AA</t>
  </si>
  <si>
    <t>F116 AB</t>
  </si>
  <si>
    <t>NSF Carderock (Region Funded) (F116) Subtotal</t>
  </si>
  <si>
    <t>NSA Bethesda (NSAB) (Region Funded) (F710) Subtotal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</si>
</sst>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4" formatCode="_(&quot;$&quot;* #,##0.00_);_(&quot;$&quot;* \(#,##0.00\);_(&quot;$&quot;* &quot;-&quot;??_);_(@_)"/>
    <numFmt numFmtId="164" formatCode="&quot;$&quot;#,##0.00"/>
  </numFmts>
  <fonts count="16" x14ac:knownFonts="1">
    <font>
      <sz val="11"/>
      <color theme="1"/>
      <name val="Calibri"/>
      <family val="2"/>
      <scheme val="minor"/>
    </font>
    <font>
      <sz val="11"/>
      <color theme="1"/>
      <name val="Calibri"/>
      <family val="2"/>
      <scheme val="minor"/>
    </font>
    <font>
      <sz val="10"/>
      <name val="Times New Roman"/>
      <family val="1"/>
    </font>
    <font>
      <sz val="10"/>
      <name val="Arial"/>
      <family val="2"/>
    </font>
    <font>
      <b/>
      <sz val="10"/>
      <name val="Calibri"/>
      <family val="2"/>
      <scheme val="minor"/>
    </font>
    <font>
      <sz val="10"/>
      <color theme="1"/>
      <name val="Calibri"/>
      <family val="2"/>
      <scheme val="minor"/>
    </font>
    <font>
      <sz val="10"/>
      <name val="Calibri"/>
      <family val="2"/>
      <scheme val="minor"/>
    </font>
    <font>
      <b/>
      <sz val="10"/>
      <color theme="1"/>
      <name val="Calibri"/>
      <family val="2"/>
      <scheme val="minor"/>
    </font>
    <font>
      <sz val="10"/>
      <color rgb="FF000000"/>
      <name val="Calibri"/>
      <family val="2"/>
      <scheme val="minor"/>
    </font>
    <font>
      <b/>
      <sz val="10"/>
      <color theme="1"/>
      <name val="Calibri"/>
      <scheme val="minor"/>
    </font>
    <font>
      <sz val="10"/>
      <name val="Times New Roman"/>
    </font>
    <font>
      <sz val="10"/>
      <color rgb="FF000000"/>
      <name val="Times New Roman"/>
    </font>
    <font>
      <sz val="10"/>
      <name val="Calibri"/>
      <scheme val="minor"/>
    </font>
    <font>
      <sz val="10"/>
      <color rgb="FF000000"/>
      <name val="Calibri"/>
      <scheme val="minor"/>
    </font>
    <font>
      <b/>
      <sz val="10"/>
      <name val="Calibri"/>
      <scheme val="minor"/>
    </font>
    <font>
      <sz val="10"/>
      <color theme="1"/>
      <name val="Calibri"/>
      <scheme val="minor"/>
    </font>
  </fonts>
  <fills count="2">
    <fill>
      <patternFill patternType="none"/>
    </fill>
    <fill>
      <patternFill patternType="gray125"/>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thin">
        <color theme="1"/>
      </left>
      <right/>
      <top style="thin">
        <color theme="1"/>
      </top>
      <bottom style="thin">
        <color theme="1"/>
      </bottom>
      <diagonal/>
    </border>
    <border>
      <left style="thin">
        <color theme="1"/>
      </left>
      <right style="thin">
        <color theme="1"/>
      </right>
      <top style="thin">
        <color theme="1"/>
      </top>
      <bottom style="thin">
        <color theme="1"/>
      </bottom>
      <diagonal/>
    </border>
    <border>
      <left style="thin">
        <color rgb="FF000000"/>
      </left>
      <right/>
      <top style="thin">
        <color rgb="FF000000"/>
      </top>
      <bottom/>
      <diagonal/>
    </border>
    <border>
      <left style="thin">
        <color rgb="FF000000"/>
      </left>
      <right/>
      <top/>
      <bottom/>
      <diagonal/>
    </border>
  </borders>
  <cellStyleXfs count="4">
    <xf numFmtId="0" fontId="0" fillId="0" borderId="0"/>
    <xf numFmtId="44" fontId="1" fillId="0" borderId="0" applyFont="0" applyFill="0" applyBorder="0" applyAlignment="0" applyProtection="0"/>
    <xf numFmtId="0" fontId="3" fillId="0" borderId="0"/>
    <xf numFmtId="0" fontId="3" fillId="0" borderId="0"/>
  </cellStyleXfs>
  <cellXfs count="236">
    <xf numFmtId="0" fontId="0" fillId="0" borderId="0" xfId="0"/>
    <xf numFmtId="0" fontId="5" fillId="0" borderId="0" xfId="0" applyFont="1"/>
    <xf numFmtId="44" fontId="5" fillId="0" borderId="14" xfId="1" applyFont="1" applyFill="1" applyBorder="1" applyAlignment="1">
      <alignment horizontal="right"/>
    </xf>
    <xf numFmtId="44" fontId="5" fillId="0" borderId="14" xfId="1" applyFont="1" applyFill="1" applyBorder="1" applyAlignment="1">
      <alignment horizontal="center"/>
    </xf>
    <xf numFmtId="0" fontId="6" fillId="0" borderId="1" xfId="0" applyFont="1" applyFill="1" applyBorder="1" applyAlignment="1">
      <alignment vertical="top" wrapText="1"/>
    </xf>
    <xf numFmtId="0" fontId="6" fillId="0" borderId="1" xfId="0" applyFont="1" applyFill="1" applyBorder="1" applyAlignment="1" applyProtection="1">
      <alignment horizontal="center"/>
      <protection locked="0"/>
    </xf>
    <xf numFmtId="0" fontId="6" fillId="0" borderId="1" xfId="0" applyFont="1" applyFill="1" applyBorder="1" applyAlignment="1" applyProtection="1">
      <alignment horizontal="left"/>
      <protection locked="0"/>
    </xf>
    <xf numFmtId="0" fontId="6" fillId="0" borderId="5" xfId="0" applyFont="1" applyFill="1" applyBorder="1" applyAlignment="1"/>
    <xf numFmtId="0" fontId="6" fillId="0" borderId="1" xfId="0" applyFont="1" applyFill="1" applyBorder="1" applyAlignment="1">
      <alignment horizontal="center"/>
    </xf>
    <xf numFmtId="0" fontId="6" fillId="0" borderId="1" xfId="0" applyFont="1" applyFill="1" applyBorder="1" applyAlignment="1"/>
    <xf numFmtId="0" fontId="6" fillId="0" borderId="0" xfId="0" applyFont="1" applyFill="1" applyAlignment="1"/>
    <xf numFmtId="0" fontId="5" fillId="0" borderId="1" xfId="0" applyFont="1" applyFill="1" applyBorder="1" applyAlignment="1">
      <alignment horizontal="center" vertical="center"/>
    </xf>
    <xf numFmtId="0" fontId="5" fillId="0" borderId="1" xfId="0" applyFont="1" applyFill="1" applyBorder="1" applyAlignment="1">
      <alignment vertical="top" wrapText="1"/>
    </xf>
    <xf numFmtId="0" fontId="4" fillId="0" borderId="1" xfId="0" applyFont="1" applyFill="1" applyBorder="1" applyAlignment="1">
      <alignment horizontal="center"/>
    </xf>
    <xf numFmtId="0" fontId="5" fillId="0" borderId="0" xfId="0" applyFont="1" applyFill="1"/>
    <xf numFmtId="0" fontId="4" fillId="0" borderId="1" xfId="0" applyFont="1" applyFill="1" applyBorder="1" applyAlignment="1">
      <alignment horizontal="left"/>
    </xf>
    <xf numFmtId="0" fontId="6" fillId="0" borderId="0" xfId="0" applyFont="1" applyFill="1" applyBorder="1"/>
    <xf numFmtId="0" fontId="6" fillId="0" borderId="0" xfId="0" applyFont="1" applyFill="1" applyBorder="1" applyAlignment="1">
      <alignment horizontal="center"/>
    </xf>
    <xf numFmtId="0" fontId="6" fillId="0" borderId="0" xfId="0" applyFont="1" applyFill="1"/>
    <xf numFmtId="0" fontId="6" fillId="0" borderId="1" xfId="0" applyFont="1" applyFill="1" applyBorder="1"/>
    <xf numFmtId="164" fontId="6" fillId="0" borderId="1" xfId="0" applyNumberFormat="1" applyFont="1" applyFill="1" applyBorder="1"/>
    <xf numFmtId="0" fontId="6" fillId="0" borderId="6" xfId="0" applyFont="1" applyFill="1" applyBorder="1" applyAlignment="1">
      <alignment horizontal="center"/>
    </xf>
    <xf numFmtId="0" fontId="6" fillId="0" borderId="7" xfId="0" applyFont="1" applyFill="1" applyBorder="1" applyAlignment="1">
      <alignment horizontal="center"/>
    </xf>
    <xf numFmtId="1" fontId="6" fillId="0" borderId="7" xfId="0" applyNumberFormat="1" applyFont="1" applyFill="1" applyBorder="1" applyAlignment="1">
      <alignment horizontal="right"/>
    </xf>
    <xf numFmtId="0" fontId="6" fillId="0" borderId="7" xfId="0" applyFont="1" applyFill="1" applyBorder="1"/>
    <xf numFmtId="0" fontId="6" fillId="0" borderId="8" xfId="0" applyFont="1" applyFill="1" applyBorder="1"/>
    <xf numFmtId="0" fontId="6" fillId="0" borderId="9" xfId="0" applyFont="1" applyFill="1" applyBorder="1" applyAlignment="1">
      <alignment horizontal="center"/>
    </xf>
    <xf numFmtId="1" fontId="6" fillId="0" borderId="0" xfId="0" applyNumberFormat="1" applyFont="1" applyFill="1" applyBorder="1" applyAlignment="1">
      <alignment horizontal="right"/>
    </xf>
    <xf numFmtId="0" fontId="6" fillId="0" borderId="10" xfId="0" applyFont="1" applyFill="1" applyBorder="1"/>
    <xf numFmtId="1" fontId="6" fillId="0" borderId="12" xfId="0" applyNumberFormat="1" applyFont="1" applyFill="1" applyBorder="1" applyAlignment="1">
      <alignment horizontal="right"/>
    </xf>
    <xf numFmtId="0" fontId="6" fillId="0" borderId="12" xfId="0" applyFont="1" applyFill="1" applyBorder="1" applyAlignment="1">
      <alignment horizontal="center"/>
    </xf>
    <xf numFmtId="0" fontId="6" fillId="0" borderId="12" xfId="0" applyFont="1" applyFill="1" applyBorder="1"/>
    <xf numFmtId="0" fontId="6" fillId="0" borderId="13" xfId="0" applyFont="1" applyFill="1" applyBorder="1"/>
    <xf numFmtId="0" fontId="6" fillId="0" borderId="1" xfId="0" applyFont="1" applyFill="1" applyBorder="1" applyAlignment="1">
      <alignment horizontal="left"/>
    </xf>
    <xf numFmtId="1" fontId="6" fillId="0" borderId="1" xfId="0" applyNumberFormat="1" applyFont="1" applyFill="1" applyBorder="1" applyAlignment="1">
      <alignment horizontal="right"/>
    </xf>
    <xf numFmtId="0" fontId="7" fillId="0" borderId="1" xfId="0" applyFont="1" applyFill="1" applyBorder="1" applyAlignment="1">
      <alignment horizontal="center" vertical="top"/>
    </xf>
    <xf numFmtId="0" fontId="4" fillId="0" borderId="1" xfId="0" applyNumberFormat="1" applyFont="1" applyFill="1" applyBorder="1" applyAlignment="1">
      <alignment horizontal="center" vertical="top" wrapText="1"/>
    </xf>
    <xf numFmtId="1" fontId="4" fillId="0" borderId="1" xfId="0" applyNumberFormat="1" applyFont="1" applyFill="1" applyBorder="1" applyAlignment="1">
      <alignment horizontal="center" vertical="top" wrapText="1"/>
    </xf>
    <xf numFmtId="164" fontId="4" fillId="0" borderId="1" xfId="0" applyNumberFormat="1" applyFont="1" applyFill="1" applyBorder="1" applyAlignment="1">
      <alignment horizontal="center" vertical="top" wrapText="1"/>
    </xf>
    <xf numFmtId="49" fontId="6" fillId="0" borderId="1" xfId="0" applyNumberFormat="1" applyFont="1" applyFill="1" applyBorder="1" applyAlignment="1" applyProtection="1">
      <alignment vertical="top" wrapText="1"/>
    </xf>
    <xf numFmtId="0" fontId="6" fillId="0" borderId="1" xfId="0" applyFont="1" applyFill="1" applyBorder="1" applyAlignment="1" applyProtection="1">
      <alignment vertical="top" wrapText="1"/>
    </xf>
    <xf numFmtId="1" fontId="6" fillId="0" borderId="1" xfId="0" applyNumberFormat="1" applyFont="1" applyFill="1" applyBorder="1" applyAlignment="1" applyProtection="1">
      <alignment vertical="top" wrapText="1"/>
    </xf>
    <xf numFmtId="0" fontId="6" fillId="0" borderId="1" xfId="0" applyFont="1" applyFill="1" applyBorder="1" applyAlignment="1" applyProtection="1">
      <alignment horizontal="center" vertical="top" wrapText="1"/>
    </xf>
    <xf numFmtId="164" fontId="6" fillId="0" borderId="1" xfId="1" applyNumberFormat="1" applyFont="1" applyFill="1" applyBorder="1" applyAlignment="1" applyProtection="1">
      <alignment vertical="top" wrapText="1"/>
      <protection locked="0"/>
    </xf>
    <xf numFmtId="164" fontId="6" fillId="0" borderId="1" xfId="1" applyNumberFormat="1" applyFont="1" applyFill="1" applyBorder="1" applyAlignment="1" applyProtection="1">
      <alignment vertical="top" wrapText="1"/>
    </xf>
    <xf numFmtId="1" fontId="6" fillId="0" borderId="1" xfId="0" applyNumberFormat="1" applyFont="1" applyFill="1" applyBorder="1" applyAlignment="1">
      <alignment vertical="top" wrapText="1"/>
    </xf>
    <xf numFmtId="164" fontId="6" fillId="0" borderId="1" xfId="0" applyNumberFormat="1" applyFont="1" applyFill="1" applyBorder="1" applyAlignment="1">
      <alignment horizontal="center" vertical="top" wrapText="1"/>
    </xf>
    <xf numFmtId="0" fontId="8" fillId="0" borderId="1" xfId="0" applyFont="1" applyFill="1" applyBorder="1" applyAlignment="1">
      <alignment vertical="top" wrapText="1"/>
    </xf>
    <xf numFmtId="0" fontId="5" fillId="0" borderId="1" xfId="0" applyFont="1" applyFill="1" applyBorder="1" applyAlignment="1">
      <alignment horizontal="center" vertical="top"/>
    </xf>
    <xf numFmtId="0" fontId="6" fillId="0" borderId="0" xfId="0" applyFont="1" applyFill="1" applyAlignment="1">
      <alignment horizontal="center"/>
    </xf>
    <xf numFmtId="1" fontId="6" fillId="0" borderId="0" xfId="0" applyNumberFormat="1" applyFont="1" applyFill="1" applyAlignment="1">
      <alignment horizontal="right"/>
    </xf>
    <xf numFmtId="0" fontId="6" fillId="0" borderId="9" xfId="0" applyFont="1" applyFill="1" applyBorder="1" applyAlignment="1"/>
    <xf numFmtId="0" fontId="6" fillId="0" borderId="0" xfId="0" applyFont="1" applyFill="1" applyBorder="1" applyAlignment="1"/>
    <xf numFmtId="0" fontId="6" fillId="0" borderId="11" xfId="0" applyFont="1" applyFill="1" applyBorder="1" applyAlignment="1"/>
    <xf numFmtId="0" fontId="6" fillId="0" borderId="12" xfId="0" applyFont="1" applyFill="1" applyBorder="1" applyAlignment="1"/>
    <xf numFmtId="0" fontId="4" fillId="0" borderId="1" xfId="0" applyFont="1" applyFill="1" applyBorder="1" applyAlignment="1">
      <alignment vertical="top"/>
    </xf>
    <xf numFmtId="44" fontId="6" fillId="0" borderId="1" xfId="1" applyFont="1" applyFill="1" applyBorder="1" applyAlignment="1">
      <alignment horizontal="center"/>
    </xf>
    <xf numFmtId="44" fontId="6" fillId="0" borderId="0" xfId="0" applyNumberFormat="1" applyFont="1" applyFill="1"/>
    <xf numFmtId="0" fontId="4" fillId="0" borderId="1" xfId="0" applyFont="1" applyFill="1" applyBorder="1" applyAlignment="1"/>
    <xf numFmtId="0" fontId="6" fillId="0" borderId="1" xfId="1" applyNumberFormat="1" applyFont="1" applyFill="1" applyBorder="1" applyAlignment="1">
      <alignment horizontal="center"/>
    </xf>
    <xf numFmtId="0" fontId="6" fillId="0" borderId="1" xfId="0" applyFont="1" applyFill="1" applyBorder="1" applyAlignment="1">
      <alignment horizontal="left" wrapText="1"/>
    </xf>
    <xf numFmtId="0" fontId="2" fillId="0" borderId="0" xfId="0" applyFont="1" applyFill="1"/>
    <xf numFmtId="0" fontId="2" fillId="0" borderId="0" xfId="0" applyFont="1" applyFill="1" applyAlignment="1">
      <alignment horizontal="center"/>
    </xf>
    <xf numFmtId="164" fontId="6" fillId="0" borderId="1" xfId="1" applyNumberFormat="1" applyFont="1" applyFill="1" applyBorder="1"/>
    <xf numFmtId="0" fontId="7" fillId="0" borderId="16" xfId="0" applyFont="1" applyFill="1" applyBorder="1" applyAlignment="1">
      <alignment horizontal="center"/>
    </xf>
    <xf numFmtId="0" fontId="4" fillId="0" borderId="17" xfId="0" applyFont="1" applyFill="1" applyBorder="1" applyAlignment="1">
      <alignment horizontal="center" vertical="top" wrapText="1"/>
    </xf>
    <xf numFmtId="0" fontId="5" fillId="0" borderId="18" xfId="0" applyFont="1" applyFill="1" applyBorder="1"/>
    <xf numFmtId="0" fontId="7" fillId="0" borderId="19" xfId="0" applyFont="1" applyFill="1" applyBorder="1" applyAlignment="1">
      <alignment horizontal="right"/>
    </xf>
    <xf numFmtId="44" fontId="7" fillId="0" borderId="15" xfId="1" applyFont="1" applyFill="1" applyBorder="1" applyAlignment="1">
      <alignment horizontal="right"/>
    </xf>
    <xf numFmtId="44" fontId="5" fillId="0" borderId="0" xfId="0" applyNumberFormat="1" applyFont="1" applyFill="1"/>
    <xf numFmtId="0" fontId="5" fillId="0" borderId="0" xfId="0" applyFont="1" applyFill="1" applyAlignment="1">
      <alignment horizontal="center"/>
    </xf>
    <xf numFmtId="164" fontId="6" fillId="0" borderId="7" xfId="0" applyNumberFormat="1" applyFont="1" applyFill="1" applyBorder="1"/>
    <xf numFmtId="164" fontId="6" fillId="0" borderId="0" xfId="0" applyNumberFormat="1" applyFont="1" applyFill="1" applyBorder="1"/>
    <xf numFmtId="164" fontId="6" fillId="0" borderId="12" xfId="0" applyNumberFormat="1" applyFont="1" applyFill="1" applyBorder="1"/>
    <xf numFmtId="164" fontId="6" fillId="0" borderId="0" xfId="0" applyNumberFormat="1" applyFont="1" applyFill="1"/>
    <xf numFmtId="164" fontId="6" fillId="0" borderId="8" xfId="0" applyNumberFormat="1" applyFont="1" applyFill="1" applyBorder="1"/>
    <xf numFmtId="164" fontId="6" fillId="0" borderId="10" xfId="0" applyNumberFormat="1" applyFont="1" applyFill="1" applyBorder="1"/>
    <xf numFmtId="164" fontId="6" fillId="0" borderId="13" xfId="0" applyNumberFormat="1" applyFont="1" applyFill="1" applyBorder="1"/>
    <xf numFmtId="0" fontId="6" fillId="0" borderId="3" xfId="0" applyFont="1" applyFill="1" applyBorder="1" applyAlignment="1"/>
    <xf numFmtId="0" fontId="4" fillId="0" borderId="7" xfId="0" applyFont="1" applyFill="1" applyBorder="1" applyAlignment="1">
      <alignment horizontal="center"/>
    </xf>
    <xf numFmtId="0" fontId="6" fillId="0" borderId="4" xfId="0" applyFont="1" applyFill="1" applyBorder="1" applyAlignment="1"/>
    <xf numFmtId="0" fontId="4" fillId="0" borderId="0" xfId="0" applyFont="1" applyFill="1" applyBorder="1" applyAlignment="1">
      <alignment horizontal="center"/>
    </xf>
    <xf numFmtId="0" fontId="7" fillId="0" borderId="0" xfId="0" applyFont="1" applyFill="1" applyBorder="1" applyAlignment="1">
      <alignment horizontal="center"/>
    </xf>
    <xf numFmtId="0" fontId="4" fillId="0" borderId="1" xfId="0" applyFont="1" applyFill="1" applyBorder="1" applyAlignment="1">
      <alignment horizontal="right"/>
    </xf>
    <xf numFmtId="0" fontId="4" fillId="0" borderId="1" xfId="0" applyFont="1" applyFill="1" applyBorder="1" applyAlignment="1">
      <alignment horizontal="center" vertical="top" wrapText="1"/>
    </xf>
    <xf numFmtId="49" fontId="10" fillId="0" borderId="2" xfId="0" applyNumberFormat="1" applyFont="1" applyBorder="1" applyAlignment="1">
      <alignment vertical="top" wrapText="1"/>
    </xf>
    <xf numFmtId="0" fontId="11" fillId="0" borderId="26" xfId="0" applyFont="1" applyBorder="1" applyAlignment="1">
      <alignment horizontal="left" vertical="top" wrapText="1"/>
    </xf>
    <xf numFmtId="0" fontId="11" fillId="0" borderId="26" xfId="0" applyFont="1" applyBorder="1" applyAlignment="1">
      <alignment vertical="top" wrapText="1"/>
    </xf>
    <xf numFmtId="1" fontId="10" fillId="0" borderId="26" xfId="0" applyNumberFormat="1" applyFont="1" applyBorder="1" applyAlignment="1">
      <alignment vertical="top" wrapText="1"/>
    </xf>
    <xf numFmtId="164" fontId="10" fillId="0" borderId="26" xfId="0" applyNumberFormat="1" applyFont="1" applyBorder="1" applyAlignment="1">
      <alignment horizontal="center" vertical="top" wrapText="1"/>
    </xf>
    <xf numFmtId="164" fontId="10" fillId="0" borderId="26" xfId="0" applyNumberFormat="1" applyFont="1" applyBorder="1" applyAlignment="1">
      <alignment horizontal="right" vertical="top" wrapText="1"/>
    </xf>
    <xf numFmtId="164" fontId="10" fillId="0" borderId="22" xfId="1" applyNumberFormat="1" applyFont="1" applyFill="1" applyBorder="1" applyAlignment="1" applyProtection="1">
      <alignment vertical="top" wrapText="1"/>
      <protection locked="0"/>
    </xf>
    <xf numFmtId="0" fontId="10" fillId="0" borderId="0" xfId="0" applyFont="1" applyFill="1"/>
    <xf numFmtId="49" fontId="12" fillId="0" borderId="2" xfId="0" applyNumberFormat="1" applyFont="1" applyBorder="1" applyAlignment="1">
      <alignment vertical="top" wrapText="1"/>
    </xf>
    <xf numFmtId="0" fontId="13" fillId="0" borderId="26" xfId="0" applyFont="1" applyBorder="1" applyAlignment="1">
      <alignment horizontal="left" vertical="top" wrapText="1"/>
    </xf>
    <xf numFmtId="0" fontId="13" fillId="0" borderId="26" xfId="0" applyFont="1" applyBorder="1" applyAlignment="1">
      <alignment vertical="top" wrapText="1"/>
    </xf>
    <xf numFmtId="1" fontId="12" fillId="0" borderId="26" xfId="0" applyNumberFormat="1" applyFont="1" applyBorder="1" applyAlignment="1">
      <alignment vertical="top" wrapText="1"/>
    </xf>
    <xf numFmtId="164" fontId="12" fillId="0" borderId="26" xfId="0" applyNumberFormat="1" applyFont="1" applyBorder="1" applyAlignment="1">
      <alignment horizontal="center" vertical="top" wrapText="1"/>
    </xf>
    <xf numFmtId="164" fontId="12" fillId="0" borderId="26" xfId="0" applyNumberFormat="1" applyFont="1" applyBorder="1" applyAlignment="1">
      <alignment horizontal="right" vertical="top" wrapText="1"/>
    </xf>
    <xf numFmtId="164" fontId="12" fillId="0" borderId="22" xfId="1" applyNumberFormat="1" applyFont="1" applyFill="1" applyBorder="1" applyAlignment="1" applyProtection="1">
      <alignment vertical="top" wrapText="1"/>
      <protection locked="0"/>
    </xf>
    <xf numFmtId="0" fontId="12" fillId="0" borderId="0" xfId="0" applyFont="1" applyFill="1"/>
    <xf numFmtId="0" fontId="12" fillId="0" borderId="6" xfId="0" applyFont="1" applyFill="1" applyBorder="1" applyAlignment="1">
      <alignment horizontal="center"/>
    </xf>
    <xf numFmtId="0" fontId="12" fillId="0" borderId="7" xfId="0" applyFont="1" applyFill="1" applyBorder="1" applyAlignment="1">
      <alignment horizontal="center"/>
    </xf>
    <xf numFmtId="0" fontId="14" fillId="0" borderId="7" xfId="0" applyFont="1" applyFill="1" applyBorder="1" applyAlignment="1">
      <alignment horizontal="center"/>
    </xf>
    <xf numFmtId="1" fontId="12" fillId="0" borderId="7" xfId="0" applyNumberFormat="1" applyFont="1" applyFill="1" applyBorder="1" applyAlignment="1">
      <alignment horizontal="right"/>
    </xf>
    <xf numFmtId="0" fontId="12" fillId="0" borderId="7" xfId="0" applyFont="1" applyFill="1" applyBorder="1"/>
    <xf numFmtId="0" fontId="12" fillId="0" borderId="8" xfId="0" applyFont="1" applyFill="1" applyBorder="1"/>
    <xf numFmtId="0" fontId="12" fillId="0" borderId="9" xfId="0" applyFont="1" applyFill="1" applyBorder="1" applyAlignment="1">
      <alignment horizontal="center"/>
    </xf>
    <xf numFmtId="0" fontId="12" fillId="0" borderId="0" xfId="0" applyFont="1" applyFill="1" applyBorder="1" applyAlignment="1">
      <alignment horizontal="center"/>
    </xf>
    <xf numFmtId="0" fontId="14" fillId="0" borderId="0" xfId="0" applyFont="1" applyFill="1" applyBorder="1" applyAlignment="1">
      <alignment horizontal="center"/>
    </xf>
    <xf numFmtId="1" fontId="12" fillId="0" borderId="0" xfId="0" applyNumberFormat="1" applyFont="1" applyFill="1" applyBorder="1" applyAlignment="1">
      <alignment horizontal="right"/>
    </xf>
    <xf numFmtId="0" fontId="12" fillId="0" borderId="0" xfId="0" applyFont="1" applyFill="1" applyBorder="1"/>
    <xf numFmtId="0" fontId="12" fillId="0" borderId="10" xfId="0" applyFont="1" applyFill="1" applyBorder="1"/>
    <xf numFmtId="1" fontId="12" fillId="0" borderId="12" xfId="0" applyNumberFormat="1" applyFont="1" applyFill="1" applyBorder="1" applyAlignment="1">
      <alignment horizontal="right"/>
    </xf>
    <xf numFmtId="0" fontId="12" fillId="0" borderId="12" xfId="0" applyFont="1" applyFill="1" applyBorder="1" applyAlignment="1">
      <alignment horizontal="center"/>
    </xf>
    <xf numFmtId="0" fontId="12" fillId="0" borderId="12" xfId="0" applyFont="1" applyFill="1" applyBorder="1"/>
    <xf numFmtId="0" fontId="12" fillId="0" borderId="13" xfId="0" applyFont="1" applyFill="1" applyBorder="1"/>
    <xf numFmtId="0" fontId="12" fillId="0" borderId="1" xfId="0" applyFont="1" applyFill="1" applyBorder="1" applyAlignment="1">
      <alignment horizontal="left"/>
    </xf>
    <xf numFmtId="1" fontId="12" fillId="0" borderId="1" xfId="0" applyNumberFormat="1" applyFont="1" applyFill="1" applyBorder="1" applyAlignment="1">
      <alignment horizontal="right"/>
    </xf>
    <xf numFmtId="0" fontId="12" fillId="0" borderId="1" xfId="0" applyFont="1" applyFill="1" applyBorder="1" applyAlignment="1">
      <alignment horizontal="center"/>
    </xf>
    <xf numFmtId="0" fontId="12" fillId="0" borderId="1" xfId="0" applyFont="1" applyFill="1" applyBorder="1"/>
    <xf numFmtId="0" fontId="9" fillId="0" borderId="1" xfId="0" applyFont="1" applyFill="1" applyBorder="1" applyAlignment="1">
      <alignment horizontal="center" vertical="top"/>
    </xf>
    <xf numFmtId="0" fontId="14" fillId="0" borderId="1" xfId="0" applyFont="1" applyFill="1" applyBorder="1" applyAlignment="1">
      <alignment horizontal="center" vertical="top" wrapText="1"/>
    </xf>
    <xf numFmtId="0" fontId="14" fillId="0" borderId="1" xfId="0" applyNumberFormat="1" applyFont="1" applyFill="1" applyBorder="1" applyAlignment="1">
      <alignment horizontal="center" vertical="top" wrapText="1"/>
    </xf>
    <xf numFmtId="1" fontId="14" fillId="0" borderId="1" xfId="0" applyNumberFormat="1" applyFont="1" applyFill="1" applyBorder="1" applyAlignment="1">
      <alignment horizontal="center" vertical="top" wrapText="1"/>
    </xf>
    <xf numFmtId="164" fontId="14" fillId="0" borderId="1" xfId="0" applyNumberFormat="1" applyFont="1" applyFill="1" applyBorder="1" applyAlignment="1">
      <alignment horizontal="center" vertical="top" wrapText="1"/>
    </xf>
    <xf numFmtId="49" fontId="12" fillId="0" borderId="1" xfId="0" applyNumberFormat="1" applyFont="1" applyFill="1" applyBorder="1" applyAlignment="1" applyProtection="1">
      <alignment vertical="top" wrapText="1"/>
    </xf>
    <xf numFmtId="0" fontId="12" fillId="0" borderId="1" xfId="0" applyFont="1" applyFill="1" applyBorder="1" applyAlignment="1" applyProtection="1">
      <alignment vertical="top" wrapText="1"/>
    </xf>
    <xf numFmtId="1" fontId="12" fillId="0" borderId="1" xfId="0" applyNumberFormat="1" applyFont="1" applyFill="1" applyBorder="1" applyAlignment="1" applyProtection="1">
      <alignment vertical="top" wrapText="1"/>
    </xf>
    <xf numFmtId="0" fontId="12" fillId="0" borderId="1" xfId="0" applyFont="1" applyFill="1" applyBorder="1" applyAlignment="1" applyProtection="1">
      <alignment horizontal="center" vertical="top" wrapText="1"/>
    </xf>
    <xf numFmtId="164" fontId="12" fillId="0" borderId="1" xfId="1" applyNumberFormat="1" applyFont="1" applyFill="1" applyBorder="1" applyAlignment="1" applyProtection="1">
      <alignment vertical="top" wrapText="1"/>
      <protection locked="0"/>
    </xf>
    <xf numFmtId="164" fontId="12" fillId="0" borderId="1" xfId="1" applyNumberFormat="1" applyFont="1" applyFill="1" applyBorder="1" applyAlignment="1" applyProtection="1">
      <alignment vertical="top" wrapText="1"/>
    </xf>
    <xf numFmtId="1" fontId="12" fillId="0" borderId="1" xfId="0" applyNumberFormat="1" applyFont="1" applyFill="1" applyBorder="1" applyAlignment="1">
      <alignment vertical="top" wrapText="1"/>
    </xf>
    <xf numFmtId="164" fontId="12" fillId="0" borderId="1" xfId="0" applyNumberFormat="1" applyFont="1" applyFill="1" applyBorder="1" applyAlignment="1">
      <alignment horizontal="center" vertical="top" wrapText="1"/>
    </xf>
    <xf numFmtId="0" fontId="15" fillId="0" borderId="1" xfId="0" applyFont="1" applyFill="1" applyBorder="1" applyAlignment="1">
      <alignment vertical="top" wrapText="1"/>
    </xf>
    <xf numFmtId="0" fontId="12" fillId="0" borderId="1" xfId="0" applyFont="1" applyFill="1" applyBorder="1" applyAlignment="1">
      <alignment vertical="top" wrapText="1"/>
    </xf>
    <xf numFmtId="0" fontId="13" fillId="0" borderId="1" xfId="0" applyFont="1" applyFill="1" applyBorder="1" applyAlignment="1">
      <alignment vertical="top" wrapText="1"/>
    </xf>
    <xf numFmtId="0" fontId="15" fillId="0" borderId="1" xfId="0" applyFont="1" applyFill="1" applyBorder="1" applyAlignment="1">
      <alignment horizontal="center" vertical="center"/>
    </xf>
    <xf numFmtId="0" fontId="15" fillId="0" borderId="1" xfId="0" applyFont="1" applyFill="1" applyBorder="1" applyAlignment="1">
      <alignment horizontal="center" vertical="top"/>
    </xf>
    <xf numFmtId="0" fontId="12" fillId="0" borderId="3" xfId="0" applyFont="1" applyFill="1" applyBorder="1" applyAlignment="1"/>
    <xf numFmtId="0" fontId="12" fillId="0" borderId="4" xfId="0" applyFont="1" applyFill="1" applyBorder="1" applyAlignment="1"/>
    <xf numFmtId="164" fontId="12" fillId="0" borderId="1" xfId="0" applyNumberFormat="1" applyFont="1" applyFill="1" applyBorder="1"/>
    <xf numFmtId="0" fontId="4" fillId="0" borderId="0" xfId="0" applyFont="1" applyFill="1" applyBorder="1" applyAlignment="1">
      <alignment horizontal="center"/>
    </xf>
    <xf numFmtId="0" fontId="7" fillId="0" borderId="0" xfId="0" applyFont="1" applyFill="1" applyBorder="1" applyAlignment="1">
      <alignment horizontal="center"/>
    </xf>
    <xf numFmtId="0" fontId="4" fillId="0" borderId="1" xfId="0" applyFont="1" applyFill="1" applyBorder="1" applyAlignment="1">
      <alignment horizontal="right"/>
    </xf>
    <xf numFmtId="0" fontId="4" fillId="0" borderId="1" xfId="0" applyFont="1" applyFill="1" applyBorder="1" applyAlignment="1">
      <alignment horizontal="center" vertical="top" wrapText="1"/>
    </xf>
    <xf numFmtId="0" fontId="6" fillId="0" borderId="2" xfId="0" applyFont="1" applyFill="1" applyBorder="1" applyAlignment="1">
      <alignment horizontal="center"/>
    </xf>
    <xf numFmtId="0" fontId="4" fillId="0" borderId="2" xfId="0" applyFont="1" applyFill="1" applyBorder="1" applyAlignment="1">
      <alignment horizontal="center"/>
    </xf>
    <xf numFmtId="0" fontId="4" fillId="0" borderId="29" xfId="0" applyFont="1" applyFill="1" applyBorder="1" applyAlignment="1">
      <alignment horizontal="center"/>
    </xf>
    <xf numFmtId="0" fontId="6" fillId="0" borderId="24" xfId="0" applyFont="1" applyFill="1" applyBorder="1" applyAlignment="1">
      <alignment horizontal="center"/>
    </xf>
    <xf numFmtId="0" fontId="6" fillId="0" borderId="11" xfId="0" applyFont="1" applyFill="1" applyBorder="1" applyAlignment="1">
      <alignment wrapText="1"/>
    </xf>
    <xf numFmtId="0" fontId="6" fillId="0" borderId="2" xfId="0" applyFont="1" applyFill="1" applyBorder="1" applyAlignment="1">
      <alignment wrapText="1"/>
    </xf>
    <xf numFmtId="0" fontId="6" fillId="0" borderId="2" xfId="0" applyFont="1" applyFill="1" applyBorder="1" applyAlignment="1"/>
    <xf numFmtId="0" fontId="4" fillId="0" borderId="2" xfId="0" applyFont="1" applyFill="1" applyBorder="1" applyAlignment="1">
      <alignment horizontal="right"/>
    </xf>
    <xf numFmtId="0" fontId="4" fillId="0" borderId="11" xfId="0" applyFont="1" applyFill="1" applyBorder="1" applyAlignment="1"/>
    <xf numFmtId="0" fontId="4" fillId="0" borderId="6" xfId="0" applyFont="1" applyFill="1" applyBorder="1" applyAlignment="1">
      <alignment horizontal="right"/>
    </xf>
    <xf numFmtId="0" fontId="4" fillId="0" borderId="30" xfId="0" applyFont="1" applyFill="1" applyBorder="1" applyAlignment="1">
      <alignment horizontal="center"/>
    </xf>
    <xf numFmtId="0" fontId="6" fillId="0" borderId="25" xfId="0" applyFont="1" applyFill="1" applyBorder="1" applyAlignment="1">
      <alignment horizontal="center"/>
    </xf>
    <xf numFmtId="0" fontId="6" fillId="0" borderId="6" xfId="0" applyFont="1" applyFill="1" applyBorder="1" applyAlignment="1"/>
    <xf numFmtId="0" fontId="4" fillId="0" borderId="30" xfId="0" applyFont="1" applyFill="1" applyBorder="1" applyAlignment="1">
      <alignment horizontal="right"/>
    </xf>
    <xf numFmtId="0" fontId="4" fillId="0" borderId="24" xfId="0" applyFont="1" applyFill="1" applyBorder="1" applyAlignment="1">
      <alignment horizontal="center"/>
    </xf>
    <xf numFmtId="0" fontId="4" fillId="0" borderId="11" xfId="0" applyFont="1" applyFill="1" applyBorder="1" applyAlignment="1">
      <alignment horizontal="center"/>
    </xf>
    <xf numFmtId="0" fontId="6" fillId="0" borderId="1" xfId="0" applyFont="1" applyFill="1" applyBorder="1" applyAlignment="1">
      <alignment wrapText="1"/>
    </xf>
    <xf numFmtId="0" fontId="4" fillId="0" borderId="22" xfId="0" applyFont="1" applyFill="1" applyBorder="1" applyAlignment="1"/>
    <xf numFmtId="0" fontId="6" fillId="0" borderId="28" xfId="0" applyFont="1" applyFill="1" applyBorder="1" applyAlignment="1">
      <alignment wrapText="1"/>
    </xf>
    <xf numFmtId="0" fontId="6" fillId="0" borderId="26" xfId="0" applyFont="1" applyFill="1" applyBorder="1" applyAlignment="1">
      <alignment wrapText="1"/>
    </xf>
    <xf numFmtId="0" fontId="6" fillId="0" borderId="24" xfId="0" applyFont="1" applyFill="1" applyBorder="1" applyAlignment="1">
      <alignment wrapText="1"/>
    </xf>
    <xf numFmtId="0" fontId="6" fillId="0" borderId="23" xfId="0" applyFont="1" applyFill="1" applyBorder="1" applyAlignment="1"/>
    <xf numFmtId="0" fontId="6" fillId="0" borderId="22" xfId="0" applyFont="1" applyFill="1" applyBorder="1" applyAlignment="1"/>
    <xf numFmtId="0" fontId="6" fillId="0" borderId="24" xfId="0" applyFont="1" applyFill="1" applyBorder="1" applyAlignment="1"/>
    <xf numFmtId="0" fontId="6" fillId="0" borderId="23" xfId="0" applyFont="1" applyFill="1" applyBorder="1" applyAlignment="1">
      <alignment wrapText="1"/>
    </xf>
    <xf numFmtId="0" fontId="6" fillId="0" borderId="22" xfId="0" applyFont="1" applyFill="1" applyBorder="1" applyAlignment="1">
      <alignment wrapText="1"/>
    </xf>
    <xf numFmtId="0" fontId="6" fillId="0" borderId="25" xfId="0" applyFont="1" applyFill="1" applyBorder="1" applyAlignment="1"/>
    <xf numFmtId="0" fontId="4" fillId="0" borderId="27" xfId="0" applyFont="1" applyFill="1" applyBorder="1" applyAlignment="1">
      <alignment horizontal="right"/>
    </xf>
    <xf numFmtId="0" fontId="6" fillId="0" borderId="24" xfId="0" applyFont="1" applyFill="1" applyBorder="1" applyAlignment="1">
      <alignment horizontal="left" wrapText="1"/>
    </xf>
    <xf numFmtId="0" fontId="4" fillId="0" borderId="22" xfId="0" applyFont="1" applyFill="1" applyBorder="1" applyAlignment="1">
      <alignment horizontal="right"/>
    </xf>
    <xf numFmtId="0" fontId="4" fillId="0" borderId="26" xfId="0" applyFont="1" applyFill="1" applyBorder="1" applyAlignment="1">
      <alignment horizontal="right"/>
    </xf>
    <xf numFmtId="0" fontId="4" fillId="0" borderId="31" xfId="0" applyFont="1" applyFill="1" applyBorder="1" applyAlignment="1"/>
    <xf numFmtId="0" fontId="6" fillId="0" borderId="2" xfId="0" applyFont="1" applyFill="1" applyBorder="1" applyAlignment="1">
      <alignment horizontal="left" wrapText="1"/>
    </xf>
    <xf numFmtId="0" fontId="4" fillId="0" borderId="26" xfId="0" applyFont="1" applyFill="1" applyBorder="1" applyAlignment="1"/>
    <xf numFmtId="0" fontId="6" fillId="0" borderId="28" xfId="0" applyFont="1" applyFill="1" applyBorder="1" applyAlignment="1"/>
    <xf numFmtId="0" fontId="6" fillId="0" borderId="26" xfId="0" applyFont="1" applyFill="1" applyBorder="1" applyAlignment="1"/>
    <xf numFmtId="0" fontId="4" fillId="0" borderId="32" xfId="0" applyFont="1" applyFill="1" applyBorder="1" applyAlignment="1">
      <alignment horizontal="left"/>
    </xf>
    <xf numFmtId="0" fontId="4" fillId="0" borderId="31" xfId="0" applyFont="1" applyFill="1" applyBorder="1" applyAlignment="1">
      <alignment horizontal="right"/>
    </xf>
    <xf numFmtId="0" fontId="6" fillId="0" borderId="26" xfId="0" applyFont="1" applyFill="1" applyBorder="1" applyAlignment="1">
      <alignment horizontal="left" wrapText="1"/>
    </xf>
    <xf numFmtId="0" fontId="4" fillId="0" borderId="31" xfId="0" applyFont="1" applyFill="1" applyBorder="1" applyAlignment="1">
      <alignment horizontal="left"/>
    </xf>
    <xf numFmtId="0" fontId="4" fillId="0" borderId="26" xfId="0" applyFont="1" applyFill="1" applyBorder="1" applyAlignment="1">
      <alignment horizontal="left"/>
    </xf>
    <xf numFmtId="0" fontId="4" fillId="0" borderId="11" xfId="0" applyFont="1" applyFill="1" applyBorder="1" applyAlignment="1">
      <alignment horizontal="right"/>
    </xf>
    <xf numFmtId="164" fontId="6" fillId="0" borderId="4" xfId="1" applyNumberFormat="1" applyFont="1" applyFill="1" applyBorder="1"/>
    <xf numFmtId="44" fontId="6" fillId="0" borderId="25" xfId="1" applyFont="1" applyFill="1" applyBorder="1" applyAlignment="1">
      <alignment horizontal="center"/>
    </xf>
    <xf numFmtId="164" fontId="6" fillId="0" borderId="25" xfId="1" applyNumberFormat="1" applyFont="1" applyFill="1" applyBorder="1"/>
    <xf numFmtId="164" fontId="6" fillId="0" borderId="24" xfId="0" applyNumberFormat="1" applyFont="1" applyFill="1" applyBorder="1"/>
    <xf numFmtId="0" fontId="4" fillId="0" borderId="2" xfId="0" applyFont="1" applyFill="1" applyBorder="1" applyAlignment="1"/>
    <xf numFmtId="0" fontId="6" fillId="0" borderId="25" xfId="1" applyNumberFormat="1" applyFont="1" applyFill="1" applyBorder="1" applyAlignment="1">
      <alignment horizontal="center"/>
    </xf>
    <xf numFmtId="0" fontId="6" fillId="0" borderId="24" xfId="1" applyNumberFormat="1" applyFont="1" applyFill="1" applyBorder="1" applyAlignment="1">
      <alignment horizontal="center"/>
    </xf>
    <xf numFmtId="44" fontId="6" fillId="0" borderId="24" xfId="1" applyFont="1" applyFill="1" applyBorder="1" applyAlignment="1">
      <alignment horizontal="center"/>
    </xf>
    <xf numFmtId="164" fontId="6" fillId="0" borderId="24" xfId="1" applyNumberFormat="1" applyFont="1" applyFill="1" applyBorder="1"/>
    <xf numFmtId="0" fontId="4" fillId="0" borderId="29" xfId="0" applyFont="1" applyFill="1" applyBorder="1" applyAlignment="1">
      <alignment horizontal="left"/>
    </xf>
    <xf numFmtId="0" fontId="4" fillId="0" borderId="28" xfId="0" applyFont="1" applyFill="1" applyBorder="1" applyAlignment="1">
      <alignment horizontal="left"/>
    </xf>
    <xf numFmtId="0" fontId="4" fillId="0" borderId="2" xfId="0" applyFont="1" applyFill="1" applyBorder="1" applyAlignment="1">
      <alignment horizontal="left"/>
    </xf>
    <xf numFmtId="0" fontId="4" fillId="0" borderId="6" xfId="0" applyFont="1" applyFill="1" applyBorder="1" applyAlignment="1">
      <alignment horizontal="left"/>
    </xf>
    <xf numFmtId="164" fontId="6" fillId="0" borderId="25" xfId="0" applyNumberFormat="1" applyFont="1" applyFill="1" applyBorder="1"/>
    <xf numFmtId="0" fontId="6" fillId="0" borderId="24" xfId="0" applyNumberFormat="1" applyFont="1" applyFill="1" applyBorder="1" applyAlignment="1">
      <alignment horizontal="center" vertical="top" wrapText="1"/>
    </xf>
    <xf numFmtId="164" fontId="6" fillId="0" borderId="24" xfId="0" applyNumberFormat="1" applyFont="1" applyFill="1" applyBorder="1" applyAlignment="1">
      <alignment horizontal="right" vertical="top" wrapText="1"/>
    </xf>
    <xf numFmtId="164" fontId="6" fillId="0" borderId="1" xfId="0" applyNumberFormat="1" applyFont="1" applyFill="1" applyBorder="1" applyAlignment="1">
      <alignment horizontal="right" vertical="top" wrapText="1"/>
    </xf>
    <xf numFmtId="164" fontId="6" fillId="0" borderId="4" xfId="0" applyNumberFormat="1" applyFont="1" applyFill="1" applyBorder="1"/>
    <xf numFmtId="0" fontId="9" fillId="0" borderId="0" xfId="0" applyFont="1" applyFill="1" applyBorder="1" applyAlignment="1">
      <alignment horizontal="center"/>
    </xf>
    <xf numFmtId="0" fontId="7" fillId="0" borderId="20" xfId="0" applyFont="1" applyFill="1" applyBorder="1" applyAlignment="1">
      <alignment horizontal="center"/>
    </xf>
    <xf numFmtId="0" fontId="7" fillId="0" borderId="21" xfId="0" applyFont="1" applyFill="1" applyBorder="1" applyAlignment="1">
      <alignment horizontal="center"/>
    </xf>
    <xf numFmtId="0" fontId="4" fillId="0" borderId="0" xfId="0" applyFont="1" applyFill="1" applyBorder="1" applyAlignment="1">
      <alignment horizontal="center"/>
    </xf>
    <xf numFmtId="0" fontId="7" fillId="0" borderId="0" xfId="0" applyFont="1" applyFill="1" applyBorder="1" applyAlignment="1">
      <alignment horizontal="center"/>
    </xf>
    <xf numFmtId="0" fontId="7" fillId="0" borderId="0" xfId="0" applyFont="1" applyFill="1" applyAlignment="1">
      <alignment horizontal="center"/>
    </xf>
    <xf numFmtId="0" fontId="4" fillId="0" borderId="22" xfId="0" applyFont="1" applyFill="1" applyBorder="1" applyAlignment="1">
      <alignment horizontal="center" vertical="top" wrapText="1"/>
    </xf>
    <xf numFmtId="0" fontId="4" fillId="0" borderId="26" xfId="0" applyFont="1" applyFill="1" applyBorder="1" applyAlignment="1">
      <alignment horizontal="center" vertical="top" wrapText="1"/>
    </xf>
    <xf numFmtId="0" fontId="4" fillId="0" borderId="1" xfId="0" applyFont="1" applyFill="1" applyBorder="1" applyAlignment="1">
      <alignment horizontal="right"/>
    </xf>
    <xf numFmtId="0" fontId="4" fillId="0" borderId="2" xfId="0" applyFont="1" applyFill="1" applyBorder="1" applyAlignment="1">
      <alignment horizontal="right"/>
    </xf>
    <xf numFmtId="0" fontId="4" fillId="0" borderId="2" xfId="0" applyFont="1" applyFill="1" applyBorder="1" applyAlignment="1">
      <alignment horizontal="center" vertical="top" wrapText="1"/>
    </xf>
    <xf numFmtId="0" fontId="4" fillId="0" borderId="3" xfId="0" applyFont="1" applyFill="1" applyBorder="1" applyAlignment="1">
      <alignment horizontal="center" vertical="top" wrapText="1"/>
    </xf>
    <xf numFmtId="0" fontId="4" fillId="0" borderId="4" xfId="0" applyFont="1" applyFill="1" applyBorder="1" applyAlignment="1">
      <alignment horizontal="center" vertical="top" wrapText="1"/>
    </xf>
    <xf numFmtId="0" fontId="6" fillId="0" borderId="9" xfId="0" applyFont="1" applyFill="1" applyBorder="1" applyAlignment="1">
      <alignment horizontal="left"/>
    </xf>
    <xf numFmtId="0" fontId="6" fillId="0" borderId="0" xfId="0" applyFont="1" applyFill="1" applyBorder="1" applyAlignment="1">
      <alignment horizontal="left"/>
    </xf>
    <xf numFmtId="0" fontId="6" fillId="0" borderId="11" xfId="0" applyFont="1" applyFill="1" applyBorder="1" applyAlignment="1">
      <alignment horizontal="left"/>
    </xf>
    <xf numFmtId="0" fontId="6" fillId="0" borderId="12" xfId="0" applyFont="1" applyFill="1" applyBorder="1" applyAlignment="1">
      <alignment horizontal="left"/>
    </xf>
    <xf numFmtId="0" fontId="6" fillId="0" borderId="2" xfId="0" applyFont="1" applyFill="1" applyBorder="1" applyAlignment="1">
      <alignment horizontal="center"/>
    </xf>
    <xf numFmtId="0" fontId="6" fillId="0" borderId="3" xfId="0" applyFont="1" applyFill="1" applyBorder="1" applyAlignment="1">
      <alignment horizontal="center"/>
    </xf>
    <xf numFmtId="0" fontId="6" fillId="0" borderId="4" xfId="0" applyFont="1" applyFill="1" applyBorder="1" applyAlignment="1">
      <alignment horizontal="center"/>
    </xf>
    <xf numFmtId="0" fontId="6" fillId="0" borderId="2" xfId="0" applyFont="1" applyFill="1" applyBorder="1" applyAlignment="1">
      <alignment horizontal="right"/>
    </xf>
    <xf numFmtId="0" fontId="6" fillId="0" borderId="3" xfId="0" applyFont="1" applyFill="1" applyBorder="1" applyAlignment="1">
      <alignment horizontal="right"/>
    </xf>
    <xf numFmtId="0" fontId="12" fillId="0" borderId="2" xfId="0" applyFont="1" applyFill="1" applyBorder="1" applyAlignment="1">
      <alignment horizontal="right"/>
    </xf>
    <xf numFmtId="0" fontId="12" fillId="0" borderId="3" xfId="0" applyFont="1" applyFill="1" applyBorder="1" applyAlignment="1">
      <alignment horizontal="right"/>
    </xf>
    <xf numFmtId="0" fontId="12" fillId="0" borderId="9" xfId="0" applyFont="1" applyFill="1" applyBorder="1" applyAlignment="1">
      <alignment horizontal="left"/>
    </xf>
    <xf numFmtId="0" fontId="12" fillId="0" borderId="0" xfId="0" applyFont="1" applyFill="1" applyBorder="1" applyAlignment="1">
      <alignment horizontal="left"/>
    </xf>
    <xf numFmtId="0" fontId="12" fillId="0" borderId="11" xfId="0" applyFont="1" applyFill="1" applyBorder="1" applyAlignment="1">
      <alignment horizontal="left"/>
    </xf>
    <xf numFmtId="0" fontId="12" fillId="0" borderId="12" xfId="0" applyFont="1" applyFill="1" applyBorder="1" applyAlignment="1">
      <alignment horizontal="left"/>
    </xf>
    <xf numFmtId="0" fontId="12" fillId="0" borderId="2" xfId="0" applyFont="1" applyFill="1" applyBorder="1" applyAlignment="1">
      <alignment horizontal="center"/>
    </xf>
    <xf numFmtId="0" fontId="12" fillId="0" borderId="3" xfId="0" applyFont="1" applyFill="1" applyBorder="1" applyAlignment="1">
      <alignment horizontal="center"/>
    </xf>
  </cellXfs>
  <cellStyles count="4">
    <cellStyle name="Currency" xfId="1" builtinId="4"/>
    <cellStyle name="Normal" xfId="0" builtinId="0"/>
    <cellStyle name="Normal 2 2" xfId="2"/>
    <cellStyle name="Normal 6 3"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39"/>
  <sheetViews>
    <sheetView workbookViewId="0">
      <selection activeCell="E23" sqref="E23"/>
    </sheetView>
  </sheetViews>
  <sheetFormatPr defaultColWidth="9.1796875" defaultRowHeight="13" x14ac:dyDescent="0.3"/>
  <cols>
    <col min="1" max="1" width="20.7265625" style="14" customWidth="1"/>
    <col min="2" max="2" width="20.81640625" style="14" customWidth="1"/>
    <col min="3" max="4" width="9.1796875" style="14"/>
    <col min="5" max="5" width="9.81640625" style="14" bestFit="1" customWidth="1"/>
    <col min="6" max="16384" width="9.1796875" style="14"/>
  </cols>
  <sheetData>
    <row r="2" spans="1:4" x14ac:dyDescent="0.3">
      <c r="A2" s="209" t="s">
        <v>0</v>
      </c>
      <c r="B2" s="209"/>
    </row>
    <row r="3" spans="1:4" x14ac:dyDescent="0.3">
      <c r="A3" s="209" t="s">
        <v>1</v>
      </c>
      <c r="B3" s="209"/>
    </row>
    <row r="4" spans="1:4" x14ac:dyDescent="0.3">
      <c r="A4" s="210" t="s">
        <v>2</v>
      </c>
      <c r="B4" s="210"/>
    </row>
    <row r="5" spans="1:4" x14ac:dyDescent="0.3">
      <c r="A5" s="211" t="s">
        <v>3</v>
      </c>
      <c r="B5" s="211"/>
    </row>
    <row r="6" spans="1:4" x14ac:dyDescent="0.3">
      <c r="A6" s="211" t="s">
        <v>4</v>
      </c>
      <c r="B6" s="211"/>
    </row>
    <row r="8" spans="1:4" ht="13.5" thickBot="1" x14ac:dyDescent="0.35"/>
    <row r="9" spans="1:4" ht="13.5" thickBot="1" x14ac:dyDescent="0.35">
      <c r="A9" s="207" t="s">
        <v>5</v>
      </c>
      <c r="B9" s="208"/>
    </row>
    <row r="10" spans="1:4" x14ac:dyDescent="0.3">
      <c r="A10" s="64" t="s">
        <v>6</v>
      </c>
      <c r="B10" s="65" t="s">
        <v>7</v>
      </c>
    </row>
    <row r="11" spans="1:4" x14ac:dyDescent="0.3">
      <c r="A11" s="66" t="s">
        <v>8</v>
      </c>
      <c r="B11" s="2">
        <f>'Base Recurring'!H284</f>
        <v>0</v>
      </c>
    </row>
    <row r="12" spans="1:4" x14ac:dyDescent="0.3">
      <c r="A12" s="66" t="s">
        <v>9</v>
      </c>
      <c r="B12" s="2">
        <f>'Option 1 Recurring '!H255</f>
        <v>0</v>
      </c>
    </row>
    <row r="13" spans="1:4" x14ac:dyDescent="0.3">
      <c r="A13" s="66" t="s">
        <v>10</v>
      </c>
      <c r="B13" s="2">
        <f>'Option 2 Recurring'!H255</f>
        <v>0</v>
      </c>
    </row>
    <row r="14" spans="1:4" x14ac:dyDescent="0.3">
      <c r="A14" s="66" t="s">
        <v>11</v>
      </c>
      <c r="B14" s="2">
        <f>'Option 3 Recurring'!H255</f>
        <v>0</v>
      </c>
    </row>
    <row r="15" spans="1:4" x14ac:dyDescent="0.3">
      <c r="A15" s="66" t="s">
        <v>12</v>
      </c>
      <c r="B15" s="2">
        <f>'Option 4 Recurring'!H260</f>
        <v>0</v>
      </c>
    </row>
    <row r="16" spans="1:4" x14ac:dyDescent="0.3">
      <c r="A16" s="66" t="s">
        <v>13</v>
      </c>
      <c r="B16" s="2" t="e">
        <f>' 6 Month Option Recurring '!#REF!</f>
        <v>#REF!</v>
      </c>
      <c r="D16" s="14" t="s">
        <v>14</v>
      </c>
    </row>
    <row r="17" spans="1:5" ht="13.5" thickBot="1" x14ac:dyDescent="0.35">
      <c r="A17" s="67" t="s">
        <v>15</v>
      </c>
      <c r="B17" s="68" t="e">
        <f>SUM(B11:B16)</f>
        <v>#REF!</v>
      </c>
      <c r="D17" s="69" t="s">
        <v>14</v>
      </c>
    </row>
    <row r="18" spans="1:5" x14ac:dyDescent="0.3">
      <c r="B18" s="70"/>
    </row>
    <row r="19" spans="1:5" ht="13.5" thickBot="1" x14ac:dyDescent="0.35">
      <c r="B19" s="70"/>
    </row>
    <row r="20" spans="1:5" ht="13.5" thickBot="1" x14ac:dyDescent="0.35">
      <c r="A20" s="207" t="s">
        <v>16</v>
      </c>
      <c r="B20" s="208"/>
    </row>
    <row r="21" spans="1:5" x14ac:dyDescent="0.3">
      <c r="A21" s="64" t="s">
        <v>6</v>
      </c>
      <c r="B21" s="65" t="s">
        <v>7</v>
      </c>
    </row>
    <row r="22" spans="1:5" x14ac:dyDescent="0.3">
      <c r="A22" s="66" t="s">
        <v>8</v>
      </c>
      <c r="B22" s="3">
        <f>'Base Non-Recurring'!G139</f>
        <v>0</v>
      </c>
      <c r="E22" s="69" t="s">
        <v>14</v>
      </c>
    </row>
    <row r="23" spans="1:5" x14ac:dyDescent="0.3">
      <c r="A23" s="66" t="s">
        <v>9</v>
      </c>
      <c r="B23" s="2">
        <f>'Option1 Non-Recurring '!G139</f>
        <v>0</v>
      </c>
    </row>
    <row r="24" spans="1:5" x14ac:dyDescent="0.3">
      <c r="A24" s="66" t="s">
        <v>10</v>
      </c>
      <c r="B24" s="2">
        <f>'Option 2 Non-Recurring'!G139</f>
        <v>0</v>
      </c>
    </row>
    <row r="25" spans="1:5" x14ac:dyDescent="0.3">
      <c r="A25" s="66" t="s">
        <v>11</v>
      </c>
      <c r="B25" s="2">
        <f>'Option 3 Non-Recurring'!G139</f>
        <v>0</v>
      </c>
    </row>
    <row r="26" spans="1:5" x14ac:dyDescent="0.3">
      <c r="A26" s="66" t="s">
        <v>12</v>
      </c>
      <c r="B26" s="2">
        <f>'Option 4 Non-Recurring'!G139</f>
        <v>0</v>
      </c>
    </row>
    <row r="27" spans="1:5" x14ac:dyDescent="0.3">
      <c r="A27" s="66" t="s">
        <v>13</v>
      </c>
      <c r="B27" s="2">
        <f>'6 Month Option Non-Recurring'!G139</f>
        <v>0</v>
      </c>
    </row>
    <row r="28" spans="1:5" ht="13.5" thickBot="1" x14ac:dyDescent="0.35">
      <c r="A28" s="67" t="s">
        <v>15</v>
      </c>
      <c r="B28" s="68">
        <f>SUM(B22:B27)</f>
        <v>0</v>
      </c>
    </row>
    <row r="29" spans="1:5" x14ac:dyDescent="0.3">
      <c r="B29" s="70"/>
    </row>
    <row r="30" spans="1:5" ht="13.5" thickBot="1" x14ac:dyDescent="0.35">
      <c r="B30" s="70"/>
    </row>
    <row r="31" spans="1:5" ht="13.5" thickBot="1" x14ac:dyDescent="0.35">
      <c r="A31" s="207" t="s">
        <v>17</v>
      </c>
      <c r="B31" s="208"/>
    </row>
    <row r="32" spans="1:5" x14ac:dyDescent="0.3">
      <c r="A32" s="64" t="s">
        <v>6</v>
      </c>
      <c r="B32" s="65" t="s">
        <v>7</v>
      </c>
    </row>
    <row r="33" spans="1:4" x14ac:dyDescent="0.3">
      <c r="A33" s="66" t="s">
        <v>8</v>
      </c>
      <c r="B33" s="2">
        <f t="shared" ref="B33:B38" si="0">B11+B22</f>
        <v>0</v>
      </c>
    </row>
    <row r="34" spans="1:4" x14ac:dyDescent="0.3">
      <c r="A34" s="66" t="s">
        <v>9</v>
      </c>
      <c r="B34" s="2">
        <f t="shared" si="0"/>
        <v>0</v>
      </c>
    </row>
    <row r="35" spans="1:4" x14ac:dyDescent="0.3">
      <c r="A35" s="66" t="s">
        <v>10</v>
      </c>
      <c r="B35" s="2">
        <f t="shared" si="0"/>
        <v>0</v>
      </c>
    </row>
    <row r="36" spans="1:4" x14ac:dyDescent="0.3">
      <c r="A36" s="66" t="s">
        <v>11</v>
      </c>
      <c r="B36" s="2">
        <f t="shared" si="0"/>
        <v>0</v>
      </c>
    </row>
    <row r="37" spans="1:4" x14ac:dyDescent="0.3">
      <c r="A37" s="66" t="s">
        <v>12</v>
      </c>
      <c r="B37" s="2">
        <f t="shared" si="0"/>
        <v>0</v>
      </c>
    </row>
    <row r="38" spans="1:4" x14ac:dyDescent="0.3">
      <c r="A38" s="66" t="s">
        <v>13</v>
      </c>
      <c r="B38" s="2" t="e">
        <f t="shared" si="0"/>
        <v>#REF!</v>
      </c>
    </row>
    <row r="39" spans="1:4" ht="13.5" thickBot="1" x14ac:dyDescent="0.35">
      <c r="A39" s="67" t="s">
        <v>15</v>
      </c>
      <c r="B39" s="68" t="e">
        <f>SUM(B33:B38)</f>
        <v>#REF!</v>
      </c>
      <c r="D39" s="69" t="s">
        <v>14</v>
      </c>
    </row>
  </sheetData>
  <mergeCells count="8">
    <mergeCell ref="A9:B9"/>
    <mergeCell ref="A20:B20"/>
    <mergeCell ref="A31:B31"/>
    <mergeCell ref="A2:B2"/>
    <mergeCell ref="A3:B3"/>
    <mergeCell ref="A4:B4"/>
    <mergeCell ref="A6:B6"/>
    <mergeCell ref="A5:B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sheetPr>
  <dimension ref="A1:J366"/>
  <sheetViews>
    <sheetView topLeftCell="A64" workbookViewId="0">
      <selection activeCell="O8" sqref="O8"/>
    </sheetView>
  </sheetViews>
  <sheetFormatPr defaultColWidth="9.1796875" defaultRowHeight="13" x14ac:dyDescent="0.3"/>
  <cols>
    <col min="1" max="1" width="9.1796875" style="49"/>
    <col min="2" max="3" width="10.7265625" style="49" customWidth="1"/>
    <col min="4" max="4" width="62" style="18" customWidth="1"/>
    <col min="5" max="6" width="15.7265625" style="49" customWidth="1"/>
    <col min="7" max="8" width="15.7265625" style="74" customWidth="1"/>
    <col min="9" max="10" width="10.7265625" style="18" customWidth="1"/>
    <col min="11" max="11" width="9.81640625" style="18" customWidth="1"/>
    <col min="12" max="16384" width="9.1796875" style="18"/>
  </cols>
  <sheetData>
    <row r="1" spans="1:10" ht="15.75" customHeight="1" x14ac:dyDescent="0.3">
      <c r="A1" s="21"/>
      <c r="B1" s="22"/>
      <c r="C1" s="22"/>
      <c r="D1" s="79" t="s">
        <v>0</v>
      </c>
      <c r="E1" s="22"/>
      <c r="F1" s="22"/>
      <c r="G1" s="71"/>
      <c r="H1" s="75"/>
    </row>
    <row r="2" spans="1:10" ht="15.75" customHeight="1" x14ac:dyDescent="0.3">
      <c r="A2" s="26"/>
      <c r="B2" s="17"/>
      <c r="C2" s="17"/>
      <c r="D2" s="81" t="s">
        <v>1</v>
      </c>
      <c r="E2" s="17"/>
      <c r="F2" s="17"/>
      <c r="G2" s="72"/>
      <c r="H2" s="76"/>
    </row>
    <row r="3" spans="1:10" ht="15.75" customHeight="1" x14ac:dyDescent="0.3">
      <c r="A3" s="26"/>
      <c r="B3" s="17"/>
      <c r="C3" s="17"/>
      <c r="D3" s="82" t="s">
        <v>2</v>
      </c>
      <c r="E3" s="17"/>
      <c r="F3" s="17"/>
      <c r="G3" s="72"/>
      <c r="H3" s="76"/>
    </row>
    <row r="4" spans="1:10" ht="15.75" customHeight="1" x14ac:dyDescent="0.3">
      <c r="A4" s="26"/>
      <c r="B4" s="17"/>
      <c r="C4" s="17"/>
      <c r="D4" s="81" t="s">
        <v>3</v>
      </c>
      <c r="E4" s="17"/>
      <c r="F4" s="17"/>
      <c r="G4" s="72"/>
      <c r="H4" s="76"/>
    </row>
    <row r="5" spans="1:10" ht="15.75" customHeight="1" x14ac:dyDescent="0.3">
      <c r="A5" s="51" t="s">
        <v>18</v>
      </c>
      <c r="B5" s="52"/>
      <c r="C5" s="52"/>
      <c r="D5" s="52"/>
      <c r="E5" s="17"/>
      <c r="F5" s="17"/>
      <c r="G5" s="72"/>
      <c r="H5" s="76"/>
    </row>
    <row r="6" spans="1:10" ht="15.75" customHeight="1" x14ac:dyDescent="0.3">
      <c r="A6" s="51" t="s">
        <v>19</v>
      </c>
      <c r="B6" s="52"/>
      <c r="C6" s="52"/>
      <c r="D6" s="52"/>
      <c r="E6" s="17"/>
      <c r="F6" s="17"/>
      <c r="G6" s="72"/>
      <c r="H6" s="76"/>
    </row>
    <row r="7" spans="1:10" ht="15.75" customHeight="1" x14ac:dyDescent="0.3">
      <c r="A7" s="53" t="s">
        <v>20</v>
      </c>
      <c r="B7" s="54"/>
      <c r="C7" s="54"/>
      <c r="D7" s="54"/>
      <c r="E7" s="30"/>
      <c r="F7" s="30"/>
      <c r="G7" s="73"/>
      <c r="H7" s="77"/>
    </row>
    <row r="8" spans="1:10" ht="53.25" customHeight="1" x14ac:dyDescent="0.3">
      <c r="A8" s="84" t="s">
        <v>21</v>
      </c>
      <c r="B8" s="84" t="s">
        <v>22</v>
      </c>
      <c r="C8" s="84" t="s">
        <v>23</v>
      </c>
      <c r="D8" s="55" t="s">
        <v>24</v>
      </c>
      <c r="E8" s="38" t="s">
        <v>25</v>
      </c>
      <c r="F8" s="38" t="s">
        <v>26</v>
      </c>
      <c r="G8" s="38" t="s">
        <v>27</v>
      </c>
      <c r="H8" s="38" t="s">
        <v>7</v>
      </c>
    </row>
    <row r="9" spans="1:10" x14ac:dyDescent="0.3">
      <c r="A9" s="216" t="s">
        <v>28</v>
      </c>
      <c r="B9" s="217"/>
      <c r="C9" s="217"/>
      <c r="D9" s="218"/>
      <c r="E9" s="38"/>
      <c r="F9" s="38"/>
      <c r="G9" s="38"/>
      <c r="H9" s="38"/>
    </row>
    <row r="10" spans="1:10" x14ac:dyDescent="0.3">
      <c r="A10" s="13" t="s">
        <v>29</v>
      </c>
      <c r="B10" s="13"/>
      <c r="C10" s="13" t="s">
        <v>14</v>
      </c>
      <c r="D10" s="15" t="s">
        <v>30</v>
      </c>
      <c r="E10" s="56"/>
      <c r="F10" s="56"/>
      <c r="G10" s="63"/>
      <c r="H10" s="63"/>
      <c r="J10" s="57" t="s">
        <v>14</v>
      </c>
    </row>
    <row r="11" spans="1:10" x14ac:dyDescent="0.3">
      <c r="A11" s="13" t="s">
        <v>31</v>
      </c>
      <c r="B11" s="13">
        <v>1503050</v>
      </c>
      <c r="C11" s="13"/>
      <c r="D11" s="58" t="s">
        <v>32</v>
      </c>
      <c r="E11" s="56"/>
      <c r="F11" s="56"/>
      <c r="G11" s="63"/>
      <c r="H11" s="63"/>
      <c r="J11" s="57" t="s">
        <v>14</v>
      </c>
    </row>
    <row r="12" spans="1:10" ht="12.75" customHeight="1" x14ac:dyDescent="0.3">
      <c r="A12" s="8" t="s">
        <v>33</v>
      </c>
      <c r="B12" s="8">
        <v>1503050</v>
      </c>
      <c r="C12" s="8">
        <v>3.1</v>
      </c>
      <c r="D12" s="9" t="s">
        <v>2869</v>
      </c>
      <c r="E12" s="59">
        <v>12</v>
      </c>
      <c r="F12" s="56" t="s">
        <v>34</v>
      </c>
      <c r="G12" s="63">
        <f>H12/E12</f>
        <v>0</v>
      </c>
      <c r="H12" s="63">
        <v>0</v>
      </c>
      <c r="J12" s="57" t="s">
        <v>14</v>
      </c>
    </row>
    <row r="13" spans="1:10" x14ac:dyDescent="0.3">
      <c r="A13" s="8" t="s">
        <v>35</v>
      </c>
      <c r="B13" s="8">
        <v>1503050</v>
      </c>
      <c r="C13" s="8">
        <v>3.1</v>
      </c>
      <c r="D13" s="9" t="s">
        <v>36</v>
      </c>
      <c r="E13" s="59">
        <v>12</v>
      </c>
      <c r="F13" s="56" t="s">
        <v>34</v>
      </c>
      <c r="G13" s="63">
        <f t="shared" ref="G13:G19" si="0">H13/E13</f>
        <v>0</v>
      </c>
      <c r="H13" s="63">
        <v>0</v>
      </c>
      <c r="J13" s="57"/>
    </row>
    <row r="14" spans="1:10" x14ac:dyDescent="0.3">
      <c r="A14" s="8" t="s">
        <v>37</v>
      </c>
      <c r="B14" s="8">
        <v>1503050</v>
      </c>
      <c r="C14" s="8">
        <v>3.1</v>
      </c>
      <c r="D14" s="9" t="s">
        <v>38</v>
      </c>
      <c r="E14" s="59">
        <v>12</v>
      </c>
      <c r="F14" s="56" t="s">
        <v>34</v>
      </c>
      <c r="G14" s="63">
        <f t="shared" si="0"/>
        <v>0</v>
      </c>
      <c r="H14" s="63">
        <v>0</v>
      </c>
      <c r="J14" s="57"/>
    </row>
    <row r="15" spans="1:10" x14ac:dyDescent="0.3">
      <c r="A15" s="8" t="s">
        <v>39</v>
      </c>
      <c r="B15" s="8">
        <v>1503050</v>
      </c>
      <c r="C15" s="8">
        <v>3.2</v>
      </c>
      <c r="D15" s="9" t="s">
        <v>40</v>
      </c>
      <c r="E15" s="59">
        <v>12</v>
      </c>
      <c r="F15" s="56" t="s">
        <v>34</v>
      </c>
      <c r="G15" s="63">
        <f t="shared" si="0"/>
        <v>0</v>
      </c>
      <c r="H15" s="63">
        <v>0</v>
      </c>
      <c r="J15" s="57" t="s">
        <v>14</v>
      </c>
    </row>
    <row r="16" spans="1:10" x14ac:dyDescent="0.3">
      <c r="A16" s="8" t="s">
        <v>41</v>
      </c>
      <c r="B16" s="8">
        <v>1503050</v>
      </c>
      <c r="C16" s="8">
        <v>3.3</v>
      </c>
      <c r="D16" s="9" t="s">
        <v>2870</v>
      </c>
      <c r="E16" s="59">
        <v>12</v>
      </c>
      <c r="F16" s="56" t="s">
        <v>34</v>
      </c>
      <c r="G16" s="63">
        <f t="shared" si="0"/>
        <v>0</v>
      </c>
      <c r="H16" s="63">
        <v>0</v>
      </c>
      <c r="J16" s="57" t="s">
        <v>14</v>
      </c>
    </row>
    <row r="17" spans="1:10" x14ac:dyDescent="0.3">
      <c r="A17" s="8" t="s">
        <v>42</v>
      </c>
      <c r="B17" s="8">
        <v>1503050</v>
      </c>
      <c r="C17" s="8">
        <v>3.5</v>
      </c>
      <c r="D17" s="9" t="s">
        <v>2871</v>
      </c>
      <c r="E17" s="59">
        <v>12</v>
      </c>
      <c r="F17" s="56" t="s">
        <v>34</v>
      </c>
      <c r="G17" s="63">
        <f t="shared" si="0"/>
        <v>0</v>
      </c>
      <c r="H17" s="63">
        <v>0</v>
      </c>
      <c r="J17" s="57" t="s">
        <v>14</v>
      </c>
    </row>
    <row r="18" spans="1:10" x14ac:dyDescent="0.3">
      <c r="A18" s="8" t="s">
        <v>43</v>
      </c>
      <c r="B18" s="8">
        <v>1503050</v>
      </c>
      <c r="C18" s="8">
        <v>3.6</v>
      </c>
      <c r="D18" s="9" t="s">
        <v>44</v>
      </c>
      <c r="E18" s="59">
        <v>12</v>
      </c>
      <c r="F18" s="56" t="s">
        <v>34</v>
      </c>
      <c r="G18" s="63">
        <f t="shared" si="0"/>
        <v>0</v>
      </c>
      <c r="H18" s="63">
        <v>0</v>
      </c>
      <c r="J18" s="57"/>
    </row>
    <row r="19" spans="1:10" x14ac:dyDescent="0.3">
      <c r="A19" s="49" t="s">
        <v>45</v>
      </c>
      <c r="B19" s="8">
        <v>1503050</v>
      </c>
      <c r="C19" s="8">
        <v>3.7</v>
      </c>
      <c r="D19" s="9" t="s">
        <v>46</v>
      </c>
      <c r="E19" s="59">
        <v>12</v>
      </c>
      <c r="F19" s="56" t="s">
        <v>34</v>
      </c>
      <c r="G19" s="63">
        <f t="shared" si="0"/>
        <v>0</v>
      </c>
      <c r="H19" s="63">
        <v>0</v>
      </c>
      <c r="J19" s="57" t="s">
        <v>14</v>
      </c>
    </row>
    <row r="20" spans="1:10" x14ac:dyDescent="0.3">
      <c r="A20" s="13"/>
      <c r="B20" s="13"/>
      <c r="C20" s="13"/>
      <c r="D20" s="83" t="s">
        <v>47</v>
      </c>
      <c r="E20" s="59">
        <v>12</v>
      </c>
      <c r="F20" s="56" t="s">
        <v>34</v>
      </c>
      <c r="G20" s="63">
        <f>SUM(G12:G19)</f>
        <v>0</v>
      </c>
      <c r="H20" s="63">
        <f>SUM(H12:H19)</f>
        <v>0</v>
      </c>
      <c r="J20" s="57"/>
    </row>
    <row r="21" spans="1:10" x14ac:dyDescent="0.3">
      <c r="A21" s="13" t="s">
        <v>48</v>
      </c>
      <c r="B21" s="13">
        <v>1503050</v>
      </c>
      <c r="C21" s="8"/>
      <c r="D21" s="58" t="s">
        <v>49</v>
      </c>
      <c r="E21" s="56"/>
      <c r="F21" s="56"/>
      <c r="G21" s="63"/>
      <c r="H21" s="63"/>
      <c r="J21" s="57"/>
    </row>
    <row r="22" spans="1:10" x14ac:dyDescent="0.3">
      <c r="A22" s="8" t="s">
        <v>50</v>
      </c>
      <c r="B22" s="8">
        <v>1503050</v>
      </c>
      <c r="C22" s="8">
        <v>3.1</v>
      </c>
      <c r="D22" s="9" t="s">
        <v>51</v>
      </c>
      <c r="E22" s="8">
        <v>12</v>
      </c>
      <c r="F22" s="8" t="s">
        <v>34</v>
      </c>
      <c r="G22" s="20">
        <v>0</v>
      </c>
      <c r="H22" s="20">
        <v>0</v>
      </c>
      <c r="J22" s="57"/>
    </row>
    <row r="23" spans="1:10" x14ac:dyDescent="0.3">
      <c r="A23" s="8" t="s">
        <v>52</v>
      </c>
      <c r="B23" s="8">
        <v>1503050</v>
      </c>
      <c r="C23" s="8">
        <v>3.1</v>
      </c>
      <c r="D23" s="9" t="s">
        <v>2872</v>
      </c>
      <c r="E23" s="59">
        <v>12</v>
      </c>
      <c r="F23" s="56" t="s">
        <v>34</v>
      </c>
      <c r="G23" s="63">
        <f>H23/E23</f>
        <v>0</v>
      </c>
      <c r="H23" s="63">
        <v>0</v>
      </c>
      <c r="J23" s="57"/>
    </row>
    <row r="24" spans="1:10" x14ac:dyDescent="0.3">
      <c r="A24" s="8" t="s">
        <v>53</v>
      </c>
      <c r="B24" s="8">
        <v>1503050</v>
      </c>
      <c r="C24" s="8">
        <v>3.1</v>
      </c>
      <c r="D24" s="9" t="s">
        <v>2873</v>
      </c>
      <c r="E24" s="59">
        <v>12</v>
      </c>
      <c r="F24" s="56" t="s">
        <v>34</v>
      </c>
      <c r="G24" s="63">
        <f t="shared" ref="G24:G29" si="1">H24/E24</f>
        <v>0</v>
      </c>
      <c r="H24" s="63">
        <v>0</v>
      </c>
      <c r="J24" s="57"/>
    </row>
    <row r="25" spans="1:10" x14ac:dyDescent="0.3">
      <c r="A25" s="8" t="s">
        <v>54</v>
      </c>
      <c r="B25" s="8">
        <v>1503050</v>
      </c>
      <c r="C25" s="8">
        <v>3.2</v>
      </c>
      <c r="D25" s="9" t="s">
        <v>55</v>
      </c>
      <c r="E25" s="59">
        <v>12</v>
      </c>
      <c r="F25" s="56" t="s">
        <v>34</v>
      </c>
      <c r="G25" s="63">
        <f t="shared" si="1"/>
        <v>0</v>
      </c>
      <c r="H25" s="63">
        <v>0</v>
      </c>
      <c r="J25" s="57"/>
    </row>
    <row r="26" spans="1:10" x14ac:dyDescent="0.3">
      <c r="A26" s="8" t="s">
        <v>56</v>
      </c>
      <c r="B26" s="8">
        <v>1503050</v>
      </c>
      <c r="C26" s="8">
        <v>3.3</v>
      </c>
      <c r="D26" s="9" t="s">
        <v>57</v>
      </c>
      <c r="E26" s="59">
        <v>12</v>
      </c>
      <c r="F26" s="56" t="s">
        <v>34</v>
      </c>
      <c r="G26" s="63">
        <f t="shared" si="1"/>
        <v>0</v>
      </c>
      <c r="H26" s="63">
        <v>0</v>
      </c>
      <c r="J26" s="57"/>
    </row>
    <row r="27" spans="1:10" x14ac:dyDescent="0.3">
      <c r="A27" s="8" t="s">
        <v>58</v>
      </c>
      <c r="B27" s="8">
        <v>1503050</v>
      </c>
      <c r="C27" s="8">
        <v>3.5</v>
      </c>
      <c r="D27" s="9" t="s">
        <v>2874</v>
      </c>
      <c r="E27" s="59">
        <v>12</v>
      </c>
      <c r="F27" s="56" t="s">
        <v>34</v>
      </c>
      <c r="G27" s="63">
        <f t="shared" si="1"/>
        <v>0</v>
      </c>
      <c r="H27" s="63">
        <v>0</v>
      </c>
      <c r="J27" s="57"/>
    </row>
    <row r="28" spans="1:10" x14ac:dyDescent="0.3">
      <c r="A28" s="8" t="s">
        <v>59</v>
      </c>
      <c r="B28" s="8">
        <v>1503050</v>
      </c>
      <c r="C28" s="8">
        <v>3.6</v>
      </c>
      <c r="D28" s="9" t="s">
        <v>60</v>
      </c>
      <c r="E28" s="59">
        <v>12</v>
      </c>
      <c r="F28" s="56" t="s">
        <v>34</v>
      </c>
      <c r="G28" s="63">
        <f t="shared" si="1"/>
        <v>0</v>
      </c>
      <c r="H28" s="63">
        <v>0</v>
      </c>
      <c r="J28" s="57"/>
    </row>
    <row r="29" spans="1:10" x14ac:dyDescent="0.3">
      <c r="A29" s="8" t="s">
        <v>61</v>
      </c>
      <c r="B29" s="8">
        <v>1503050</v>
      </c>
      <c r="C29" s="8">
        <v>3.7</v>
      </c>
      <c r="D29" s="9" t="s">
        <v>62</v>
      </c>
      <c r="E29" s="59">
        <v>12</v>
      </c>
      <c r="F29" s="56" t="s">
        <v>34</v>
      </c>
      <c r="G29" s="63">
        <f t="shared" si="1"/>
        <v>0</v>
      </c>
      <c r="H29" s="63">
        <v>0</v>
      </c>
      <c r="J29" s="57"/>
    </row>
    <row r="30" spans="1:10" x14ac:dyDescent="0.3">
      <c r="A30" s="13"/>
      <c r="B30" s="13"/>
      <c r="C30" s="13"/>
      <c r="D30" s="83" t="s">
        <v>63</v>
      </c>
      <c r="E30" s="59">
        <v>12</v>
      </c>
      <c r="F30" s="56" t="s">
        <v>34</v>
      </c>
      <c r="G30" s="63">
        <f>SUM(G22:G29)</f>
        <v>0</v>
      </c>
      <c r="H30" s="63">
        <f>SUM(H22:H29)</f>
        <v>0</v>
      </c>
      <c r="J30" s="57"/>
    </row>
    <row r="31" spans="1:10" x14ac:dyDescent="0.3">
      <c r="A31" s="13" t="s">
        <v>64</v>
      </c>
      <c r="B31" s="13">
        <v>1503050</v>
      </c>
      <c r="C31" s="13"/>
      <c r="D31" s="192" t="s">
        <v>65</v>
      </c>
      <c r="E31" s="56"/>
      <c r="F31" s="56"/>
      <c r="G31" s="63"/>
      <c r="H31" s="63"/>
      <c r="J31" s="57"/>
    </row>
    <row r="32" spans="1:10" x14ac:dyDescent="0.3">
      <c r="A32" s="8" t="s">
        <v>66</v>
      </c>
      <c r="B32" s="8">
        <v>1503050</v>
      </c>
      <c r="C32" s="8">
        <v>3.1</v>
      </c>
      <c r="D32" s="4" t="s">
        <v>67</v>
      </c>
      <c r="E32" s="59">
        <v>12</v>
      </c>
      <c r="F32" s="56" t="s">
        <v>34</v>
      </c>
      <c r="G32" s="63">
        <f t="shared" ref="G32:G39" si="2">H32/E32</f>
        <v>0</v>
      </c>
      <c r="H32" s="63">
        <v>0</v>
      </c>
      <c r="J32" s="57"/>
    </row>
    <row r="33" spans="1:10" x14ac:dyDescent="0.3">
      <c r="A33" s="8" t="s">
        <v>68</v>
      </c>
      <c r="B33" s="8">
        <v>1503050</v>
      </c>
      <c r="C33" s="8">
        <v>3.1</v>
      </c>
      <c r="D33" s="4" t="s">
        <v>2875</v>
      </c>
      <c r="E33" s="59">
        <v>12</v>
      </c>
      <c r="F33" s="56" t="s">
        <v>34</v>
      </c>
      <c r="G33" s="63">
        <f t="shared" si="2"/>
        <v>0</v>
      </c>
      <c r="H33" s="63">
        <v>0</v>
      </c>
      <c r="J33" s="57"/>
    </row>
    <row r="34" spans="1:10" x14ac:dyDescent="0.3">
      <c r="A34" s="8" t="s">
        <v>69</v>
      </c>
      <c r="B34" s="8">
        <v>1503050</v>
      </c>
      <c r="C34" s="8">
        <v>3.1</v>
      </c>
      <c r="D34" s="4" t="s">
        <v>70</v>
      </c>
      <c r="E34" s="59">
        <v>12</v>
      </c>
      <c r="F34" s="56" t="s">
        <v>34</v>
      </c>
      <c r="G34" s="63">
        <f t="shared" si="2"/>
        <v>0</v>
      </c>
      <c r="H34" s="63">
        <v>0</v>
      </c>
      <c r="J34" s="57"/>
    </row>
    <row r="35" spans="1:10" ht="12.75" customHeight="1" x14ac:dyDescent="0.3">
      <c r="A35" s="8" t="s">
        <v>71</v>
      </c>
      <c r="B35" s="8">
        <v>1503050</v>
      </c>
      <c r="C35" s="8">
        <v>3.2</v>
      </c>
      <c r="D35" s="60" t="s">
        <v>72</v>
      </c>
      <c r="E35" s="59">
        <v>12</v>
      </c>
      <c r="F35" s="56" t="s">
        <v>34</v>
      </c>
      <c r="G35" s="63">
        <f t="shared" si="2"/>
        <v>0</v>
      </c>
      <c r="H35" s="63">
        <v>0</v>
      </c>
      <c r="J35" s="57"/>
    </row>
    <row r="36" spans="1:10" x14ac:dyDescent="0.3">
      <c r="A36" s="8" t="s">
        <v>73</v>
      </c>
      <c r="B36" s="8">
        <v>1503050</v>
      </c>
      <c r="C36" s="8">
        <v>3.3</v>
      </c>
      <c r="D36" s="9" t="s">
        <v>74</v>
      </c>
      <c r="E36" s="59">
        <v>12</v>
      </c>
      <c r="F36" s="56" t="s">
        <v>34</v>
      </c>
      <c r="G36" s="63">
        <f t="shared" si="2"/>
        <v>0</v>
      </c>
      <c r="H36" s="63">
        <v>0</v>
      </c>
      <c r="J36" s="57"/>
    </row>
    <row r="37" spans="1:10" x14ac:dyDescent="0.3">
      <c r="A37" s="8" t="s">
        <v>75</v>
      </c>
      <c r="B37" s="8">
        <v>1503050</v>
      </c>
      <c r="C37" s="8">
        <v>3.5</v>
      </c>
      <c r="D37" s="9" t="s">
        <v>2876</v>
      </c>
      <c r="E37" s="59">
        <v>12</v>
      </c>
      <c r="F37" s="56" t="s">
        <v>34</v>
      </c>
      <c r="G37" s="63">
        <f t="shared" si="2"/>
        <v>0</v>
      </c>
      <c r="H37" s="63">
        <v>0</v>
      </c>
      <c r="J37" s="57"/>
    </row>
    <row r="38" spans="1:10" x14ac:dyDescent="0.3">
      <c r="A38" s="8" t="s">
        <v>76</v>
      </c>
      <c r="B38" s="8">
        <v>1503050</v>
      </c>
      <c r="C38" s="8">
        <v>3.6</v>
      </c>
      <c r="D38" s="9" t="s">
        <v>77</v>
      </c>
      <c r="E38" s="59">
        <v>12</v>
      </c>
      <c r="F38" s="56" t="s">
        <v>34</v>
      </c>
      <c r="G38" s="63">
        <f t="shared" si="2"/>
        <v>0</v>
      </c>
      <c r="H38" s="63">
        <v>0</v>
      </c>
      <c r="J38" s="57"/>
    </row>
    <row r="39" spans="1:10" x14ac:dyDescent="0.3">
      <c r="A39" s="8" t="s">
        <v>78</v>
      </c>
      <c r="B39" s="8">
        <v>1503050</v>
      </c>
      <c r="C39" s="8">
        <v>3.7</v>
      </c>
      <c r="D39" s="9" t="s">
        <v>79</v>
      </c>
      <c r="E39" s="59">
        <v>12</v>
      </c>
      <c r="F39" s="56" t="s">
        <v>34</v>
      </c>
      <c r="G39" s="63">
        <f t="shared" si="2"/>
        <v>0</v>
      </c>
      <c r="H39" s="63">
        <v>0</v>
      </c>
      <c r="J39" s="57"/>
    </row>
    <row r="40" spans="1:10" ht="12.75" customHeight="1" x14ac:dyDescent="0.3">
      <c r="A40" s="13"/>
      <c r="B40" s="13"/>
      <c r="C40" s="13"/>
      <c r="D40" s="83" t="s">
        <v>80</v>
      </c>
      <c r="E40" s="59">
        <v>12</v>
      </c>
      <c r="F40" s="56" t="s">
        <v>34</v>
      </c>
      <c r="G40" s="63">
        <f t="shared" ref="G40:H40" si="3">SUM(G32:G39)</f>
        <v>0</v>
      </c>
      <c r="H40" s="63">
        <f t="shared" si="3"/>
        <v>0</v>
      </c>
      <c r="J40" s="57"/>
    </row>
    <row r="41" spans="1:10" x14ac:dyDescent="0.3">
      <c r="A41" s="13" t="s">
        <v>81</v>
      </c>
      <c r="B41" s="13">
        <v>1503050</v>
      </c>
      <c r="C41" s="8"/>
      <c r="D41" s="192" t="s">
        <v>82</v>
      </c>
      <c r="E41" s="56"/>
      <c r="F41" s="56"/>
      <c r="G41" s="63"/>
      <c r="H41" s="63"/>
      <c r="J41" s="57"/>
    </row>
    <row r="42" spans="1:10" x14ac:dyDescent="0.3">
      <c r="A42" s="8" t="s">
        <v>83</v>
      </c>
      <c r="B42" s="8">
        <v>1503050</v>
      </c>
      <c r="C42" s="8">
        <v>3.1</v>
      </c>
      <c r="D42" s="9" t="s">
        <v>84</v>
      </c>
      <c r="E42" s="59">
        <v>12</v>
      </c>
      <c r="F42" s="56" t="s">
        <v>34</v>
      </c>
      <c r="G42" s="63">
        <f t="shared" ref="G42:G49" si="4">H42/E42</f>
        <v>0</v>
      </c>
      <c r="H42" s="63">
        <v>0</v>
      </c>
      <c r="J42" s="57"/>
    </row>
    <row r="43" spans="1:10" x14ac:dyDescent="0.3">
      <c r="A43" s="8" t="s">
        <v>85</v>
      </c>
      <c r="B43" s="8">
        <v>1503050</v>
      </c>
      <c r="C43" s="8">
        <v>3.1</v>
      </c>
      <c r="D43" s="9" t="s">
        <v>86</v>
      </c>
      <c r="E43" s="59">
        <v>12</v>
      </c>
      <c r="F43" s="56" t="s">
        <v>34</v>
      </c>
      <c r="G43" s="63">
        <f t="shared" si="4"/>
        <v>0</v>
      </c>
      <c r="H43" s="63">
        <v>0</v>
      </c>
      <c r="J43" s="57"/>
    </row>
    <row r="44" spans="1:10" x14ac:dyDescent="0.3">
      <c r="A44" s="8" t="s">
        <v>87</v>
      </c>
      <c r="B44" s="8">
        <v>1503050</v>
      </c>
      <c r="C44" s="8">
        <v>3.1</v>
      </c>
      <c r="D44" s="9" t="s">
        <v>88</v>
      </c>
      <c r="E44" s="59">
        <v>12</v>
      </c>
      <c r="F44" s="56" t="s">
        <v>34</v>
      </c>
      <c r="G44" s="63">
        <f t="shared" si="4"/>
        <v>0</v>
      </c>
      <c r="H44" s="63">
        <v>0</v>
      </c>
      <c r="J44" s="57"/>
    </row>
    <row r="45" spans="1:10" x14ac:dyDescent="0.3">
      <c r="A45" s="8" t="s">
        <v>89</v>
      </c>
      <c r="B45" s="8">
        <v>1503050</v>
      </c>
      <c r="C45" s="8">
        <v>3.2</v>
      </c>
      <c r="D45" s="9" t="s">
        <v>90</v>
      </c>
      <c r="E45" s="59">
        <v>12</v>
      </c>
      <c r="F45" s="56" t="s">
        <v>34</v>
      </c>
      <c r="G45" s="63">
        <f t="shared" si="4"/>
        <v>0</v>
      </c>
      <c r="H45" s="63">
        <v>0</v>
      </c>
      <c r="J45" s="57"/>
    </row>
    <row r="46" spans="1:10" x14ac:dyDescent="0.3">
      <c r="A46" s="8" t="s">
        <v>91</v>
      </c>
      <c r="B46" s="8">
        <v>1503050</v>
      </c>
      <c r="C46" s="8">
        <v>3.3</v>
      </c>
      <c r="D46" s="9" t="s">
        <v>92</v>
      </c>
      <c r="E46" s="59">
        <v>12</v>
      </c>
      <c r="F46" s="56" t="s">
        <v>34</v>
      </c>
      <c r="G46" s="63">
        <f t="shared" si="4"/>
        <v>0</v>
      </c>
      <c r="H46" s="63">
        <v>0</v>
      </c>
      <c r="J46" s="57"/>
    </row>
    <row r="47" spans="1:10" x14ac:dyDescent="0.3">
      <c r="A47" s="8" t="s">
        <v>93</v>
      </c>
      <c r="B47" s="8">
        <v>1503050</v>
      </c>
      <c r="C47" s="8">
        <v>3.5</v>
      </c>
      <c r="D47" s="9" t="s">
        <v>94</v>
      </c>
      <c r="E47" s="59">
        <v>12</v>
      </c>
      <c r="F47" s="56" t="s">
        <v>34</v>
      </c>
      <c r="G47" s="63">
        <f t="shared" si="4"/>
        <v>0</v>
      </c>
      <c r="H47" s="63">
        <v>0</v>
      </c>
      <c r="J47" s="57"/>
    </row>
    <row r="48" spans="1:10" x14ac:dyDescent="0.3">
      <c r="A48" s="8" t="s">
        <v>95</v>
      </c>
      <c r="B48" s="8">
        <v>1503050</v>
      </c>
      <c r="C48" s="8">
        <v>3.6</v>
      </c>
      <c r="D48" s="9" t="s">
        <v>96</v>
      </c>
      <c r="E48" s="59">
        <v>12</v>
      </c>
      <c r="F48" s="56" t="s">
        <v>34</v>
      </c>
      <c r="G48" s="63">
        <f t="shared" si="4"/>
        <v>0</v>
      </c>
      <c r="H48" s="63">
        <v>0</v>
      </c>
      <c r="J48" s="57"/>
    </row>
    <row r="49" spans="1:10" x14ac:dyDescent="0.3">
      <c r="A49" s="8" t="s">
        <v>97</v>
      </c>
      <c r="B49" s="8">
        <v>1503050</v>
      </c>
      <c r="C49" s="8">
        <v>3.7</v>
      </c>
      <c r="D49" s="9" t="s">
        <v>98</v>
      </c>
      <c r="E49" s="59">
        <v>12</v>
      </c>
      <c r="F49" s="56" t="s">
        <v>34</v>
      </c>
      <c r="G49" s="63">
        <f t="shared" si="4"/>
        <v>0</v>
      </c>
      <c r="H49" s="63">
        <v>0</v>
      </c>
      <c r="J49" s="57"/>
    </row>
    <row r="50" spans="1:10" x14ac:dyDescent="0.3">
      <c r="A50" s="13"/>
      <c r="B50" s="13"/>
      <c r="C50" s="13"/>
      <c r="D50" s="83" t="s">
        <v>99</v>
      </c>
      <c r="E50" s="59">
        <v>12</v>
      </c>
      <c r="F50" s="56" t="s">
        <v>34</v>
      </c>
      <c r="G50" s="63">
        <f t="shared" ref="G50:H50" si="5">SUM(G42:G49)</f>
        <v>0</v>
      </c>
      <c r="H50" s="63">
        <f t="shared" si="5"/>
        <v>0</v>
      </c>
      <c r="J50" s="57"/>
    </row>
    <row r="51" spans="1:10" ht="12.75" customHeight="1" x14ac:dyDescent="0.3">
      <c r="A51" s="13" t="s">
        <v>100</v>
      </c>
      <c r="B51" s="13">
        <v>1503050</v>
      </c>
      <c r="C51" s="13"/>
      <c r="D51" s="192" t="s">
        <v>101</v>
      </c>
      <c r="E51" s="56"/>
      <c r="F51" s="56"/>
      <c r="G51" s="63"/>
      <c r="H51" s="63"/>
      <c r="J51" s="57"/>
    </row>
    <row r="52" spans="1:10" x14ac:dyDescent="0.3">
      <c r="A52" s="8" t="s">
        <v>102</v>
      </c>
      <c r="B52" s="8">
        <v>1503050</v>
      </c>
      <c r="C52" s="8">
        <v>3.1</v>
      </c>
      <c r="D52" s="4" t="s">
        <v>2877</v>
      </c>
      <c r="E52" s="59">
        <v>12</v>
      </c>
      <c r="F52" s="56" t="s">
        <v>34</v>
      </c>
      <c r="G52" s="63">
        <f t="shared" ref="G52:G59" si="6">H52/E52</f>
        <v>0</v>
      </c>
      <c r="H52" s="63">
        <v>0</v>
      </c>
      <c r="J52" s="57"/>
    </row>
    <row r="53" spans="1:10" x14ac:dyDescent="0.3">
      <c r="A53" s="8" t="s">
        <v>103</v>
      </c>
      <c r="B53" s="8">
        <v>1503050</v>
      </c>
      <c r="C53" s="8">
        <v>3.1</v>
      </c>
      <c r="D53" s="4" t="s">
        <v>2878</v>
      </c>
      <c r="E53" s="59">
        <v>12</v>
      </c>
      <c r="F53" s="56" t="s">
        <v>34</v>
      </c>
      <c r="G53" s="63">
        <f t="shared" si="6"/>
        <v>0</v>
      </c>
      <c r="H53" s="63">
        <v>0</v>
      </c>
      <c r="J53" s="57"/>
    </row>
    <row r="54" spans="1:10" x14ac:dyDescent="0.3">
      <c r="A54" s="8" t="s">
        <v>104</v>
      </c>
      <c r="B54" s="8">
        <v>1503050</v>
      </c>
      <c r="C54" s="8">
        <v>3.1</v>
      </c>
      <c r="D54" s="4" t="s">
        <v>105</v>
      </c>
      <c r="E54" s="59">
        <v>12</v>
      </c>
      <c r="F54" s="56" t="s">
        <v>34</v>
      </c>
      <c r="G54" s="63">
        <f t="shared" si="6"/>
        <v>0</v>
      </c>
      <c r="H54" s="63">
        <v>0</v>
      </c>
      <c r="J54" s="57"/>
    </row>
    <row r="55" spans="1:10" ht="12.75" customHeight="1" x14ac:dyDescent="0.3">
      <c r="A55" s="8" t="s">
        <v>106</v>
      </c>
      <c r="B55" s="8">
        <v>1503050</v>
      </c>
      <c r="C55" s="8">
        <v>3.2</v>
      </c>
      <c r="D55" s="60" t="s">
        <v>2879</v>
      </c>
      <c r="E55" s="59">
        <v>12</v>
      </c>
      <c r="F55" s="56" t="s">
        <v>34</v>
      </c>
      <c r="G55" s="63">
        <f t="shared" si="6"/>
        <v>0</v>
      </c>
      <c r="H55" s="63">
        <v>0</v>
      </c>
      <c r="J55" s="57"/>
    </row>
    <row r="56" spans="1:10" x14ac:dyDescent="0.3">
      <c r="A56" s="8" t="s">
        <v>107</v>
      </c>
      <c r="B56" s="8">
        <v>1503050</v>
      </c>
      <c r="C56" s="8">
        <v>3.3</v>
      </c>
      <c r="D56" s="9" t="s">
        <v>108</v>
      </c>
      <c r="E56" s="59">
        <v>12</v>
      </c>
      <c r="F56" s="56" t="s">
        <v>34</v>
      </c>
      <c r="G56" s="63">
        <f t="shared" si="6"/>
        <v>0</v>
      </c>
      <c r="H56" s="63">
        <v>0</v>
      </c>
      <c r="J56" s="57"/>
    </row>
    <row r="57" spans="1:10" x14ac:dyDescent="0.3">
      <c r="A57" s="8" t="s">
        <v>109</v>
      </c>
      <c r="B57" s="8">
        <v>1503050</v>
      </c>
      <c r="C57" s="8">
        <v>3.5</v>
      </c>
      <c r="D57" s="9" t="s">
        <v>2880</v>
      </c>
      <c r="E57" s="59">
        <v>12</v>
      </c>
      <c r="F57" s="56" t="s">
        <v>34</v>
      </c>
      <c r="G57" s="63">
        <f t="shared" si="6"/>
        <v>0</v>
      </c>
      <c r="H57" s="63">
        <v>0</v>
      </c>
      <c r="J57" s="57"/>
    </row>
    <row r="58" spans="1:10" x14ac:dyDescent="0.3">
      <c r="A58" s="8" t="s">
        <v>110</v>
      </c>
      <c r="B58" s="8">
        <v>1503050</v>
      </c>
      <c r="C58" s="8">
        <v>3.6</v>
      </c>
      <c r="D58" s="9" t="s">
        <v>111</v>
      </c>
      <c r="E58" s="59">
        <v>12</v>
      </c>
      <c r="F58" s="56" t="s">
        <v>34</v>
      </c>
      <c r="G58" s="63">
        <f t="shared" si="6"/>
        <v>0</v>
      </c>
      <c r="H58" s="63">
        <v>0</v>
      </c>
      <c r="J58" s="57"/>
    </row>
    <row r="59" spans="1:10" x14ac:dyDescent="0.3">
      <c r="A59" s="8" t="s">
        <v>112</v>
      </c>
      <c r="B59" s="8">
        <v>1503050</v>
      </c>
      <c r="C59" s="8">
        <v>3.7</v>
      </c>
      <c r="D59" s="9" t="s">
        <v>113</v>
      </c>
      <c r="E59" s="59">
        <v>12</v>
      </c>
      <c r="F59" s="56" t="s">
        <v>34</v>
      </c>
      <c r="G59" s="63">
        <f t="shared" si="6"/>
        <v>0</v>
      </c>
      <c r="H59" s="63">
        <v>0</v>
      </c>
      <c r="J59" s="57"/>
    </row>
    <row r="60" spans="1:10" x14ac:dyDescent="0.3">
      <c r="A60" s="13"/>
      <c r="B60" s="13"/>
      <c r="C60" s="13"/>
      <c r="D60" s="83" t="s">
        <v>114</v>
      </c>
      <c r="E60" s="59">
        <v>12</v>
      </c>
      <c r="F60" s="56" t="s">
        <v>34</v>
      </c>
      <c r="G60" s="63">
        <f t="shared" ref="G60:H60" si="7">SUM(G52:G59)</f>
        <v>0</v>
      </c>
      <c r="H60" s="63">
        <f t="shared" si="7"/>
        <v>0</v>
      </c>
      <c r="J60" s="57"/>
    </row>
    <row r="61" spans="1:10" x14ac:dyDescent="0.3">
      <c r="A61" s="13" t="s">
        <v>115</v>
      </c>
      <c r="B61" s="13">
        <v>1503050</v>
      </c>
      <c r="C61" s="8"/>
      <c r="D61" s="192" t="s">
        <v>116</v>
      </c>
      <c r="E61" s="56"/>
      <c r="F61" s="56"/>
      <c r="G61" s="63"/>
      <c r="H61" s="63"/>
      <c r="J61" s="57"/>
    </row>
    <row r="62" spans="1:10" x14ac:dyDescent="0.3">
      <c r="A62" s="8" t="s">
        <v>117</v>
      </c>
      <c r="B62" s="8">
        <v>1503050</v>
      </c>
      <c r="C62" s="8">
        <v>3.1</v>
      </c>
      <c r="D62" s="9" t="s">
        <v>2881</v>
      </c>
      <c r="E62" s="59">
        <v>12</v>
      </c>
      <c r="F62" s="56" t="s">
        <v>34</v>
      </c>
      <c r="G62" s="63">
        <f t="shared" ref="G62:G69" si="8">H62/E62</f>
        <v>0</v>
      </c>
      <c r="H62" s="63">
        <v>0</v>
      </c>
      <c r="J62" s="57"/>
    </row>
    <row r="63" spans="1:10" x14ac:dyDescent="0.3">
      <c r="A63" s="8" t="s">
        <v>118</v>
      </c>
      <c r="B63" s="8">
        <v>1503050</v>
      </c>
      <c r="C63" s="8">
        <v>3.1</v>
      </c>
      <c r="D63" s="9" t="s">
        <v>2882</v>
      </c>
      <c r="E63" s="59">
        <v>12</v>
      </c>
      <c r="F63" s="56" t="s">
        <v>34</v>
      </c>
      <c r="G63" s="63">
        <f t="shared" si="8"/>
        <v>0</v>
      </c>
      <c r="H63" s="63">
        <v>0</v>
      </c>
      <c r="J63" s="57"/>
    </row>
    <row r="64" spans="1:10" x14ac:dyDescent="0.3">
      <c r="A64" s="8" t="s">
        <v>119</v>
      </c>
      <c r="B64" s="8">
        <v>1503050</v>
      </c>
      <c r="C64" s="8">
        <v>3.1</v>
      </c>
      <c r="D64" s="9" t="s">
        <v>120</v>
      </c>
      <c r="E64" s="59">
        <v>12</v>
      </c>
      <c r="F64" s="56" t="s">
        <v>34</v>
      </c>
      <c r="G64" s="63">
        <f t="shared" si="8"/>
        <v>0</v>
      </c>
      <c r="H64" s="63">
        <v>0</v>
      </c>
      <c r="J64" s="57"/>
    </row>
    <row r="65" spans="1:10" x14ac:dyDescent="0.3">
      <c r="A65" s="8" t="s">
        <v>121</v>
      </c>
      <c r="B65" s="8">
        <v>1503050</v>
      </c>
      <c r="C65" s="8">
        <v>3.2</v>
      </c>
      <c r="D65" s="9" t="s">
        <v>2883</v>
      </c>
      <c r="E65" s="59">
        <v>12</v>
      </c>
      <c r="F65" s="56" t="s">
        <v>34</v>
      </c>
      <c r="G65" s="63">
        <f t="shared" si="8"/>
        <v>0</v>
      </c>
      <c r="H65" s="63">
        <v>0</v>
      </c>
      <c r="J65" s="57"/>
    </row>
    <row r="66" spans="1:10" x14ac:dyDescent="0.3">
      <c r="A66" s="8" t="s">
        <v>122</v>
      </c>
      <c r="B66" s="8">
        <v>1503050</v>
      </c>
      <c r="C66" s="8">
        <v>3.3</v>
      </c>
      <c r="D66" s="9" t="s">
        <v>2884</v>
      </c>
      <c r="E66" s="59">
        <v>12</v>
      </c>
      <c r="F66" s="56" t="s">
        <v>34</v>
      </c>
      <c r="G66" s="63">
        <f t="shared" si="8"/>
        <v>0</v>
      </c>
      <c r="H66" s="63">
        <v>0</v>
      </c>
      <c r="J66" s="57"/>
    </row>
    <row r="67" spans="1:10" x14ac:dyDescent="0.3">
      <c r="A67" s="8" t="s">
        <v>123</v>
      </c>
      <c r="B67" s="8">
        <v>1503050</v>
      </c>
      <c r="C67" s="8">
        <v>3.5</v>
      </c>
      <c r="D67" s="9" t="s">
        <v>2885</v>
      </c>
      <c r="E67" s="59">
        <v>12</v>
      </c>
      <c r="F67" s="56" t="s">
        <v>34</v>
      </c>
      <c r="G67" s="63">
        <f t="shared" si="8"/>
        <v>0</v>
      </c>
      <c r="H67" s="63">
        <v>0</v>
      </c>
      <c r="J67" s="57"/>
    </row>
    <row r="68" spans="1:10" x14ac:dyDescent="0.3">
      <c r="A68" s="8" t="s">
        <v>124</v>
      </c>
      <c r="B68" s="8">
        <v>1503050</v>
      </c>
      <c r="C68" s="8">
        <v>3.6</v>
      </c>
      <c r="D68" s="9" t="s">
        <v>125</v>
      </c>
      <c r="E68" s="59">
        <v>12</v>
      </c>
      <c r="F68" s="56" t="s">
        <v>34</v>
      </c>
      <c r="G68" s="63">
        <f t="shared" si="8"/>
        <v>0</v>
      </c>
      <c r="H68" s="63">
        <v>0</v>
      </c>
      <c r="J68" s="57"/>
    </row>
    <row r="69" spans="1:10" x14ac:dyDescent="0.3">
      <c r="A69" s="8" t="s">
        <v>126</v>
      </c>
      <c r="B69" s="8">
        <v>1503050</v>
      </c>
      <c r="C69" s="8">
        <v>3.7</v>
      </c>
      <c r="D69" s="9" t="s">
        <v>127</v>
      </c>
      <c r="E69" s="59">
        <v>12</v>
      </c>
      <c r="F69" s="56" t="s">
        <v>34</v>
      </c>
      <c r="G69" s="63">
        <f t="shared" si="8"/>
        <v>0</v>
      </c>
      <c r="H69" s="63">
        <v>0</v>
      </c>
      <c r="J69" s="57"/>
    </row>
    <row r="70" spans="1:10" x14ac:dyDescent="0.3">
      <c r="A70" s="13"/>
      <c r="B70" s="13"/>
      <c r="C70" s="13"/>
      <c r="D70" s="83" t="s">
        <v>128</v>
      </c>
      <c r="E70" s="59">
        <v>12</v>
      </c>
      <c r="F70" s="56" t="s">
        <v>34</v>
      </c>
      <c r="G70" s="63">
        <f t="shared" ref="G70:H70" si="9">SUM(G62:G69)</f>
        <v>0</v>
      </c>
      <c r="H70" s="63">
        <f t="shared" si="9"/>
        <v>0</v>
      </c>
      <c r="J70" s="57"/>
    </row>
    <row r="71" spans="1:10" ht="12.75" customHeight="1" x14ac:dyDescent="0.3">
      <c r="A71" s="13" t="s">
        <v>129</v>
      </c>
      <c r="B71" s="13">
        <v>1503050</v>
      </c>
      <c r="C71" s="13"/>
      <c r="D71" s="192" t="s">
        <v>130</v>
      </c>
      <c r="E71" s="56"/>
      <c r="F71" s="56"/>
      <c r="G71" s="63"/>
      <c r="H71" s="63"/>
      <c r="J71" s="57"/>
    </row>
    <row r="72" spans="1:10" x14ac:dyDescent="0.3">
      <c r="A72" s="8" t="s">
        <v>131</v>
      </c>
      <c r="B72" s="8">
        <v>1503050</v>
      </c>
      <c r="C72" s="8">
        <v>3.1</v>
      </c>
      <c r="D72" s="4" t="s">
        <v>2886</v>
      </c>
      <c r="E72" s="59">
        <v>12</v>
      </c>
      <c r="F72" s="56" t="s">
        <v>34</v>
      </c>
      <c r="G72" s="63">
        <f t="shared" ref="G72:G79" si="10">H72/E72</f>
        <v>0</v>
      </c>
      <c r="H72" s="63">
        <v>0</v>
      </c>
      <c r="J72" s="57"/>
    </row>
    <row r="73" spans="1:10" x14ac:dyDescent="0.3">
      <c r="A73" s="8" t="s">
        <v>132</v>
      </c>
      <c r="B73" s="8">
        <v>1503050</v>
      </c>
      <c r="C73" s="8">
        <v>3.1</v>
      </c>
      <c r="D73" s="4" t="s">
        <v>133</v>
      </c>
      <c r="E73" s="59">
        <v>12</v>
      </c>
      <c r="F73" s="56" t="s">
        <v>34</v>
      </c>
      <c r="G73" s="63">
        <f t="shared" si="10"/>
        <v>0</v>
      </c>
      <c r="H73" s="63">
        <v>0</v>
      </c>
      <c r="J73" s="57"/>
    </row>
    <row r="74" spans="1:10" x14ac:dyDescent="0.3">
      <c r="A74" s="8" t="s">
        <v>134</v>
      </c>
      <c r="B74" s="8">
        <v>1503050</v>
      </c>
      <c r="C74" s="8">
        <v>3.1</v>
      </c>
      <c r="D74" s="4" t="s">
        <v>135</v>
      </c>
      <c r="E74" s="59">
        <v>12</v>
      </c>
      <c r="F74" s="56" t="s">
        <v>34</v>
      </c>
      <c r="G74" s="63">
        <f t="shared" si="10"/>
        <v>0</v>
      </c>
      <c r="H74" s="63">
        <v>0</v>
      </c>
      <c r="J74" s="57"/>
    </row>
    <row r="75" spans="1:10" ht="12.75" customHeight="1" x14ac:dyDescent="0.3">
      <c r="A75" s="8" t="s">
        <v>136</v>
      </c>
      <c r="B75" s="8">
        <v>1503050</v>
      </c>
      <c r="C75" s="8">
        <v>3.2</v>
      </c>
      <c r="D75" s="60" t="s">
        <v>137</v>
      </c>
      <c r="E75" s="59">
        <v>12</v>
      </c>
      <c r="F75" s="56" t="s">
        <v>34</v>
      </c>
      <c r="G75" s="63">
        <f t="shared" si="10"/>
        <v>0</v>
      </c>
      <c r="H75" s="63">
        <v>0</v>
      </c>
      <c r="J75" s="57"/>
    </row>
    <row r="76" spans="1:10" x14ac:dyDescent="0.3">
      <c r="A76" s="8" t="s">
        <v>138</v>
      </c>
      <c r="B76" s="8">
        <v>1503050</v>
      </c>
      <c r="C76" s="8">
        <v>3.3</v>
      </c>
      <c r="D76" s="9" t="s">
        <v>139</v>
      </c>
      <c r="E76" s="59">
        <v>12</v>
      </c>
      <c r="F76" s="56" t="s">
        <v>34</v>
      </c>
      <c r="G76" s="63">
        <f t="shared" si="10"/>
        <v>0</v>
      </c>
      <c r="H76" s="63">
        <v>0</v>
      </c>
      <c r="J76" s="57"/>
    </row>
    <row r="77" spans="1:10" x14ac:dyDescent="0.3">
      <c r="A77" s="8" t="s">
        <v>140</v>
      </c>
      <c r="B77" s="8">
        <v>1503050</v>
      </c>
      <c r="C77" s="8">
        <v>3.5</v>
      </c>
      <c r="D77" s="9" t="s">
        <v>2887</v>
      </c>
      <c r="E77" s="59">
        <v>12</v>
      </c>
      <c r="F77" s="56" t="s">
        <v>34</v>
      </c>
      <c r="G77" s="63">
        <f t="shared" si="10"/>
        <v>0</v>
      </c>
      <c r="H77" s="63">
        <v>0</v>
      </c>
      <c r="J77" s="57"/>
    </row>
    <row r="78" spans="1:10" x14ac:dyDescent="0.3">
      <c r="A78" s="8" t="s">
        <v>141</v>
      </c>
      <c r="B78" s="8">
        <v>1503050</v>
      </c>
      <c r="C78" s="8">
        <v>3.6</v>
      </c>
      <c r="D78" s="9" t="s">
        <v>142</v>
      </c>
      <c r="E78" s="59">
        <v>12</v>
      </c>
      <c r="F78" s="56" t="s">
        <v>34</v>
      </c>
      <c r="G78" s="63">
        <f t="shared" si="10"/>
        <v>0</v>
      </c>
      <c r="H78" s="63">
        <v>0</v>
      </c>
      <c r="J78" s="57"/>
    </row>
    <row r="79" spans="1:10" x14ac:dyDescent="0.3">
      <c r="A79" s="8" t="s">
        <v>143</v>
      </c>
      <c r="B79" s="8">
        <v>1503050</v>
      </c>
      <c r="C79" s="8">
        <v>3.7</v>
      </c>
      <c r="D79" s="9" t="s">
        <v>144</v>
      </c>
      <c r="E79" s="59">
        <v>12</v>
      </c>
      <c r="F79" s="56" t="s">
        <v>34</v>
      </c>
      <c r="G79" s="63">
        <f t="shared" si="10"/>
        <v>0</v>
      </c>
      <c r="H79" s="63">
        <v>0</v>
      </c>
      <c r="J79" s="57"/>
    </row>
    <row r="80" spans="1:10" x14ac:dyDescent="0.3">
      <c r="A80" s="13"/>
      <c r="B80" s="13"/>
      <c r="C80" s="13"/>
      <c r="D80" s="83" t="s">
        <v>145</v>
      </c>
      <c r="E80" s="59">
        <v>12</v>
      </c>
      <c r="F80" s="56" t="s">
        <v>34</v>
      </c>
      <c r="G80" s="63">
        <f t="shared" ref="G80:H80" si="11">SUM(G72:G79)</f>
        <v>0</v>
      </c>
      <c r="H80" s="63">
        <f t="shared" si="11"/>
        <v>0</v>
      </c>
      <c r="J80" s="57"/>
    </row>
    <row r="81" spans="1:10" x14ac:dyDescent="0.3">
      <c r="A81" s="13" t="s">
        <v>29</v>
      </c>
      <c r="B81" s="13">
        <v>1503050</v>
      </c>
      <c r="C81" s="13" t="s">
        <v>14</v>
      </c>
      <c r="D81" s="83" t="s">
        <v>146</v>
      </c>
      <c r="E81" s="59">
        <v>12</v>
      </c>
      <c r="F81" s="56" t="s">
        <v>34</v>
      </c>
      <c r="G81" s="63">
        <f>G80+G70+G60+G50+G40+G30+G20</f>
        <v>0</v>
      </c>
      <c r="H81" s="63">
        <f>H80+H70+H60+H50+H40+H30+H20</f>
        <v>0</v>
      </c>
      <c r="J81" s="57" t="s">
        <v>14</v>
      </c>
    </row>
    <row r="82" spans="1:10" x14ac:dyDescent="0.3">
      <c r="A82" s="13" t="s">
        <v>147</v>
      </c>
      <c r="B82" s="147">
        <v>1503050</v>
      </c>
      <c r="C82" s="148"/>
      <c r="D82" s="185" t="s">
        <v>2706</v>
      </c>
      <c r="E82" s="59"/>
      <c r="F82" s="56"/>
      <c r="G82" s="63"/>
      <c r="H82" s="63"/>
      <c r="J82" s="57"/>
    </row>
    <row r="83" spans="1:10" x14ac:dyDescent="0.3">
      <c r="A83" s="13" t="s">
        <v>2707</v>
      </c>
      <c r="B83" s="147">
        <v>1503050</v>
      </c>
      <c r="C83" s="148"/>
      <c r="D83" s="186" t="s">
        <v>2710</v>
      </c>
      <c r="E83" s="59"/>
      <c r="F83" s="56"/>
      <c r="G83" s="63"/>
      <c r="H83" s="63"/>
      <c r="J83" s="57"/>
    </row>
    <row r="84" spans="1:10" x14ac:dyDescent="0.3">
      <c r="A84" s="8" t="s">
        <v>2858</v>
      </c>
      <c r="B84" s="8">
        <v>1503050</v>
      </c>
      <c r="C84" s="149">
        <v>3.1</v>
      </c>
      <c r="D84" s="150" t="s">
        <v>2859</v>
      </c>
      <c r="E84" s="194">
        <v>12</v>
      </c>
      <c r="F84" s="195" t="s">
        <v>34</v>
      </c>
      <c r="G84" s="196">
        <f t="shared" ref="G84:G90" si="12">H84/E84</f>
        <v>0</v>
      </c>
      <c r="H84" s="196">
        <v>0</v>
      </c>
      <c r="J84" s="57"/>
    </row>
    <row r="85" spans="1:10" x14ac:dyDescent="0.3">
      <c r="A85" s="8" t="s">
        <v>2860</v>
      </c>
      <c r="B85" s="8">
        <v>1503050</v>
      </c>
      <c r="C85" s="8">
        <v>3.1</v>
      </c>
      <c r="D85" s="151" t="s">
        <v>2714</v>
      </c>
      <c r="E85" s="59">
        <v>12</v>
      </c>
      <c r="F85" s="56" t="s">
        <v>34</v>
      </c>
      <c r="G85" s="63">
        <f t="shared" si="12"/>
        <v>0</v>
      </c>
      <c r="H85" s="63">
        <v>0</v>
      </c>
      <c r="J85" s="57"/>
    </row>
    <row r="86" spans="1:10" x14ac:dyDescent="0.3">
      <c r="A86" s="8" t="s">
        <v>2861</v>
      </c>
      <c r="B86" s="8">
        <v>1503050</v>
      </c>
      <c r="C86" s="8">
        <v>3.1</v>
      </c>
      <c r="D86" s="151" t="s">
        <v>2716</v>
      </c>
      <c r="E86" s="59">
        <v>12</v>
      </c>
      <c r="F86" s="56" t="s">
        <v>34</v>
      </c>
      <c r="G86" s="63">
        <f t="shared" si="12"/>
        <v>0</v>
      </c>
      <c r="H86" s="63">
        <v>0</v>
      </c>
      <c r="J86" s="57"/>
    </row>
    <row r="87" spans="1:10" x14ac:dyDescent="0.3">
      <c r="A87" s="8" t="s">
        <v>2862</v>
      </c>
      <c r="B87" s="8">
        <v>1503050</v>
      </c>
      <c r="C87" s="8">
        <v>3.2</v>
      </c>
      <c r="D87" s="60" t="s">
        <v>2718</v>
      </c>
      <c r="E87" s="59">
        <v>12</v>
      </c>
      <c r="F87" s="56" t="s">
        <v>34</v>
      </c>
      <c r="G87" s="63">
        <f t="shared" si="12"/>
        <v>0</v>
      </c>
      <c r="H87" s="63">
        <v>0</v>
      </c>
      <c r="J87" s="57"/>
    </row>
    <row r="88" spans="1:10" x14ac:dyDescent="0.3">
      <c r="A88" s="8" t="s">
        <v>2863</v>
      </c>
      <c r="B88" s="8">
        <v>1503050</v>
      </c>
      <c r="C88" s="8">
        <v>3.3</v>
      </c>
      <c r="D88" s="9" t="s">
        <v>2864</v>
      </c>
      <c r="E88" s="59">
        <v>12</v>
      </c>
      <c r="F88" s="56" t="s">
        <v>34</v>
      </c>
      <c r="G88" s="63">
        <f t="shared" si="12"/>
        <v>0</v>
      </c>
      <c r="H88" s="63">
        <v>0</v>
      </c>
      <c r="J88" s="57"/>
    </row>
    <row r="89" spans="1:10" x14ac:dyDescent="0.3">
      <c r="A89" s="8" t="s">
        <v>2865</v>
      </c>
      <c r="B89" s="8">
        <v>1503050</v>
      </c>
      <c r="C89" s="8">
        <v>3.5</v>
      </c>
      <c r="D89" s="9" t="s">
        <v>2722</v>
      </c>
      <c r="E89" s="59">
        <v>12</v>
      </c>
      <c r="F89" s="56" t="s">
        <v>34</v>
      </c>
      <c r="G89" s="63">
        <f t="shared" si="12"/>
        <v>0</v>
      </c>
      <c r="H89" s="63">
        <v>0</v>
      </c>
      <c r="J89" s="57"/>
    </row>
    <row r="90" spans="1:10" x14ac:dyDescent="0.3">
      <c r="A90" s="8" t="s">
        <v>2866</v>
      </c>
      <c r="B90" s="8">
        <v>1503050</v>
      </c>
      <c r="C90" s="8">
        <v>3.6</v>
      </c>
      <c r="D90" s="9" t="s">
        <v>2724</v>
      </c>
      <c r="E90" s="59">
        <v>12</v>
      </c>
      <c r="F90" s="56" t="s">
        <v>34</v>
      </c>
      <c r="G90" s="63">
        <f t="shared" si="12"/>
        <v>0</v>
      </c>
      <c r="H90" s="63">
        <v>0</v>
      </c>
      <c r="J90" s="57"/>
    </row>
    <row r="91" spans="1:10" x14ac:dyDescent="0.3">
      <c r="A91" s="8" t="s">
        <v>2867</v>
      </c>
      <c r="B91" s="8">
        <v>1503050</v>
      </c>
      <c r="C91" s="8">
        <v>3.7</v>
      </c>
      <c r="D91" s="152" t="s">
        <v>2726</v>
      </c>
      <c r="E91" s="59">
        <v>12</v>
      </c>
      <c r="F91" s="56" t="s">
        <v>34</v>
      </c>
      <c r="G91" s="63">
        <f t="shared" ref="G91:H91" si="13">SUM(G83:G90)</f>
        <v>0</v>
      </c>
      <c r="H91" s="63">
        <f t="shared" si="13"/>
        <v>0</v>
      </c>
      <c r="J91" s="57"/>
    </row>
    <row r="92" spans="1:10" x14ac:dyDescent="0.3">
      <c r="A92" s="13"/>
      <c r="B92" s="13"/>
      <c r="C92" s="13"/>
      <c r="D92" s="153" t="s">
        <v>2609</v>
      </c>
      <c r="E92" s="59">
        <v>12</v>
      </c>
      <c r="F92" s="56" t="s">
        <v>34</v>
      </c>
      <c r="G92" s="63">
        <v>0</v>
      </c>
      <c r="H92" s="63">
        <v>0</v>
      </c>
      <c r="J92" s="57"/>
    </row>
    <row r="93" spans="1:10" x14ac:dyDescent="0.3">
      <c r="A93" s="13" t="s">
        <v>2610</v>
      </c>
      <c r="B93" s="13">
        <v>1503050</v>
      </c>
      <c r="C93" s="8"/>
      <c r="D93" s="154" t="s">
        <v>2611</v>
      </c>
      <c r="E93" s="59"/>
      <c r="F93" s="56"/>
      <c r="G93" s="63"/>
      <c r="H93" s="63"/>
      <c r="J93" s="57"/>
    </row>
    <row r="94" spans="1:10" x14ac:dyDescent="0.3">
      <c r="A94" s="8" t="s">
        <v>2612</v>
      </c>
      <c r="B94" s="8">
        <v>1503050</v>
      </c>
      <c r="C94" s="8">
        <v>3.1</v>
      </c>
      <c r="D94" s="150" t="s">
        <v>2613</v>
      </c>
      <c r="E94" s="59">
        <v>12</v>
      </c>
      <c r="F94" s="56" t="s">
        <v>34</v>
      </c>
      <c r="G94" s="63">
        <f t="shared" ref="G94:G100" si="14">H94/E94</f>
        <v>0</v>
      </c>
      <c r="H94" s="63">
        <v>0</v>
      </c>
      <c r="J94" s="57"/>
    </row>
    <row r="95" spans="1:10" x14ac:dyDescent="0.3">
      <c r="A95" s="8" t="s">
        <v>2614</v>
      </c>
      <c r="B95" s="8">
        <v>1503050</v>
      </c>
      <c r="C95" s="8">
        <v>3.1</v>
      </c>
      <c r="D95" s="151" t="s">
        <v>2615</v>
      </c>
      <c r="E95" s="59">
        <v>12</v>
      </c>
      <c r="F95" s="56" t="s">
        <v>34</v>
      </c>
      <c r="G95" s="63">
        <f t="shared" si="14"/>
        <v>0</v>
      </c>
      <c r="H95" s="63">
        <v>0</v>
      </c>
      <c r="J95" s="57"/>
    </row>
    <row r="96" spans="1:10" x14ac:dyDescent="0.3">
      <c r="A96" s="8" t="s">
        <v>2616</v>
      </c>
      <c r="B96" s="8">
        <v>1503050</v>
      </c>
      <c r="C96" s="8">
        <v>3.1</v>
      </c>
      <c r="D96" s="151" t="s">
        <v>2617</v>
      </c>
      <c r="E96" s="59">
        <v>12</v>
      </c>
      <c r="F96" s="56" t="s">
        <v>34</v>
      </c>
      <c r="G96" s="63">
        <f t="shared" si="14"/>
        <v>0</v>
      </c>
      <c r="H96" s="63">
        <v>0</v>
      </c>
      <c r="J96" s="57"/>
    </row>
    <row r="97" spans="1:10" x14ac:dyDescent="0.3">
      <c r="A97" s="8" t="s">
        <v>2618</v>
      </c>
      <c r="B97" s="8">
        <v>1503050</v>
      </c>
      <c r="C97" s="8">
        <v>3.2</v>
      </c>
      <c r="D97" s="60" t="s">
        <v>2619</v>
      </c>
      <c r="E97" s="59">
        <v>12</v>
      </c>
      <c r="F97" s="56" t="s">
        <v>34</v>
      </c>
      <c r="G97" s="63">
        <f t="shared" si="14"/>
        <v>0</v>
      </c>
      <c r="H97" s="63">
        <v>0</v>
      </c>
      <c r="J97" s="57"/>
    </row>
    <row r="98" spans="1:10" x14ac:dyDescent="0.3">
      <c r="A98" s="8" t="s">
        <v>2620</v>
      </c>
      <c r="B98" s="8">
        <v>1503050</v>
      </c>
      <c r="C98" s="8">
        <v>3.3</v>
      </c>
      <c r="D98" s="9" t="s">
        <v>2621</v>
      </c>
      <c r="E98" s="59">
        <v>12</v>
      </c>
      <c r="F98" s="56" t="s">
        <v>34</v>
      </c>
      <c r="G98" s="63">
        <f t="shared" si="14"/>
        <v>0</v>
      </c>
      <c r="H98" s="63">
        <v>0</v>
      </c>
      <c r="J98" s="57"/>
    </row>
    <row r="99" spans="1:10" x14ac:dyDescent="0.3">
      <c r="A99" s="8" t="s">
        <v>2622</v>
      </c>
      <c r="B99" s="8">
        <v>1503050</v>
      </c>
      <c r="C99" s="8">
        <v>3.5</v>
      </c>
      <c r="D99" s="9" t="s">
        <v>2623</v>
      </c>
      <c r="E99" s="59">
        <v>12</v>
      </c>
      <c r="F99" s="56" t="s">
        <v>34</v>
      </c>
      <c r="G99" s="63">
        <f t="shared" si="14"/>
        <v>0</v>
      </c>
      <c r="H99" s="63">
        <v>0</v>
      </c>
      <c r="J99" s="57"/>
    </row>
    <row r="100" spans="1:10" x14ac:dyDescent="0.3">
      <c r="A100" s="8" t="s">
        <v>2624</v>
      </c>
      <c r="B100" s="8">
        <v>1503050</v>
      </c>
      <c r="C100" s="8">
        <v>3.6</v>
      </c>
      <c r="D100" s="9" t="s">
        <v>2625</v>
      </c>
      <c r="E100" s="59">
        <v>12</v>
      </c>
      <c r="F100" s="56" t="s">
        <v>34</v>
      </c>
      <c r="G100" s="63">
        <f t="shared" si="14"/>
        <v>0</v>
      </c>
      <c r="H100" s="63">
        <v>0</v>
      </c>
      <c r="J100" s="57"/>
    </row>
    <row r="101" spans="1:10" x14ac:dyDescent="0.3">
      <c r="A101" s="8" t="s">
        <v>2626</v>
      </c>
      <c r="B101" s="8">
        <v>1503050</v>
      </c>
      <c r="C101" s="8">
        <v>3.7</v>
      </c>
      <c r="D101" s="152" t="s">
        <v>2627</v>
      </c>
      <c r="E101" s="59">
        <v>12</v>
      </c>
      <c r="F101" s="56" t="s">
        <v>34</v>
      </c>
      <c r="G101" s="63">
        <f t="shared" ref="G101" si="15">SUM(G93:G100)</f>
        <v>0</v>
      </c>
      <c r="H101" s="63">
        <f>SUM(H92:H100)</f>
        <v>0</v>
      </c>
      <c r="J101" s="57"/>
    </row>
    <row r="102" spans="1:10" x14ac:dyDescent="0.3">
      <c r="A102" s="13"/>
      <c r="B102" s="13"/>
      <c r="C102" s="13"/>
      <c r="D102" s="155" t="s">
        <v>2628</v>
      </c>
      <c r="E102" s="59">
        <v>12</v>
      </c>
      <c r="F102" s="59" t="s">
        <v>34</v>
      </c>
      <c r="G102" s="63">
        <v>0</v>
      </c>
      <c r="H102" s="63">
        <v>0</v>
      </c>
      <c r="J102" s="57" t="s">
        <v>14</v>
      </c>
    </row>
    <row r="103" spans="1:10" x14ac:dyDescent="0.3">
      <c r="A103" s="13" t="s">
        <v>2629</v>
      </c>
      <c r="B103" s="147">
        <v>1503050</v>
      </c>
      <c r="C103" s="156"/>
      <c r="D103" s="197" t="s">
        <v>2630</v>
      </c>
      <c r="E103" s="56"/>
      <c r="F103" s="56"/>
      <c r="G103" s="63"/>
      <c r="H103" s="63"/>
      <c r="J103" s="57"/>
    </row>
    <row r="104" spans="1:10" x14ac:dyDescent="0.3">
      <c r="A104" s="8" t="s">
        <v>2631</v>
      </c>
      <c r="B104" s="8">
        <v>1503050</v>
      </c>
      <c r="C104" s="149">
        <v>3.1</v>
      </c>
      <c r="D104" s="150" t="s">
        <v>2632</v>
      </c>
      <c r="E104" s="59">
        <v>12</v>
      </c>
      <c r="F104" s="59" t="s">
        <v>34</v>
      </c>
      <c r="G104" s="63">
        <v>0</v>
      </c>
      <c r="H104" s="63">
        <v>0</v>
      </c>
      <c r="J104" s="57" t="s">
        <v>14</v>
      </c>
    </row>
    <row r="105" spans="1:10" ht="12.75" customHeight="1" x14ac:dyDescent="0.3">
      <c r="A105" s="8" t="s">
        <v>2633</v>
      </c>
      <c r="B105" s="8">
        <v>1503050</v>
      </c>
      <c r="C105" s="8">
        <v>3.1</v>
      </c>
      <c r="D105" s="151" t="s">
        <v>2634</v>
      </c>
      <c r="E105" s="59">
        <v>12</v>
      </c>
      <c r="F105" s="59" t="s">
        <v>34</v>
      </c>
      <c r="G105" s="63">
        <v>0</v>
      </c>
      <c r="H105" s="63">
        <v>0</v>
      </c>
      <c r="J105" s="57"/>
    </row>
    <row r="106" spans="1:10" x14ac:dyDescent="0.3">
      <c r="A106" s="8" t="s">
        <v>2635</v>
      </c>
      <c r="B106" s="8">
        <v>1503050</v>
      </c>
      <c r="C106" s="8">
        <v>3.1</v>
      </c>
      <c r="D106" s="151" t="s">
        <v>2636</v>
      </c>
      <c r="E106" s="59">
        <v>12</v>
      </c>
      <c r="F106" s="56" t="s">
        <v>34</v>
      </c>
      <c r="G106" s="63">
        <f t="shared" ref="G106:G112" si="16">H106/E106</f>
        <v>0</v>
      </c>
      <c r="H106" s="63">
        <v>0</v>
      </c>
      <c r="J106" s="57"/>
    </row>
    <row r="107" spans="1:10" x14ac:dyDescent="0.3">
      <c r="A107" s="8" t="s">
        <v>2637</v>
      </c>
      <c r="B107" s="8">
        <v>1503050</v>
      </c>
      <c r="C107" s="8">
        <v>3.2</v>
      </c>
      <c r="D107" s="60" t="s">
        <v>2638</v>
      </c>
      <c r="E107" s="59">
        <v>12</v>
      </c>
      <c r="F107" s="56" t="s">
        <v>34</v>
      </c>
      <c r="G107" s="63">
        <f t="shared" si="16"/>
        <v>0</v>
      </c>
      <c r="H107" s="63">
        <v>0</v>
      </c>
      <c r="J107" s="57"/>
    </row>
    <row r="108" spans="1:10" x14ac:dyDescent="0.3">
      <c r="A108" s="8" t="s">
        <v>2639</v>
      </c>
      <c r="B108" s="8">
        <v>1503050</v>
      </c>
      <c r="C108" s="8">
        <v>3.3</v>
      </c>
      <c r="D108" s="9" t="s">
        <v>2640</v>
      </c>
      <c r="E108" s="59">
        <v>12</v>
      </c>
      <c r="F108" s="56" t="s">
        <v>34</v>
      </c>
      <c r="G108" s="63">
        <f t="shared" si="16"/>
        <v>0</v>
      </c>
      <c r="H108" s="63">
        <v>0</v>
      </c>
      <c r="J108" s="57"/>
    </row>
    <row r="109" spans="1:10" ht="12.75" customHeight="1" x14ac:dyDescent="0.3">
      <c r="A109" s="8" t="s">
        <v>2641</v>
      </c>
      <c r="B109" s="8">
        <v>1503050</v>
      </c>
      <c r="C109" s="8">
        <v>3.5</v>
      </c>
      <c r="D109" s="9" t="s">
        <v>2642</v>
      </c>
      <c r="E109" s="59">
        <v>12</v>
      </c>
      <c r="F109" s="56" t="s">
        <v>34</v>
      </c>
      <c r="G109" s="63">
        <f t="shared" si="16"/>
        <v>0</v>
      </c>
      <c r="H109" s="63">
        <v>0</v>
      </c>
      <c r="J109" s="57"/>
    </row>
    <row r="110" spans="1:10" x14ac:dyDescent="0.3">
      <c r="A110" s="8" t="s">
        <v>2643</v>
      </c>
      <c r="B110" s="8">
        <v>1503050</v>
      </c>
      <c r="C110" s="8">
        <v>3.6</v>
      </c>
      <c r="D110" s="9" t="s">
        <v>2644</v>
      </c>
      <c r="E110" s="59">
        <v>12</v>
      </c>
      <c r="F110" s="56" t="s">
        <v>34</v>
      </c>
      <c r="G110" s="63">
        <f t="shared" si="16"/>
        <v>0</v>
      </c>
      <c r="H110" s="63">
        <v>0</v>
      </c>
      <c r="J110" s="57"/>
    </row>
    <row r="111" spans="1:10" x14ac:dyDescent="0.3">
      <c r="A111" s="8" t="s">
        <v>2645</v>
      </c>
      <c r="B111" s="8">
        <v>1503050</v>
      </c>
      <c r="C111" s="8">
        <v>3.7</v>
      </c>
      <c r="D111" s="152" t="s">
        <v>2646</v>
      </c>
      <c r="E111" s="59">
        <v>12</v>
      </c>
      <c r="F111" s="56" t="s">
        <v>34</v>
      </c>
      <c r="G111" s="63">
        <f t="shared" si="16"/>
        <v>0</v>
      </c>
      <c r="H111" s="63">
        <v>0</v>
      </c>
      <c r="J111" s="57"/>
    </row>
    <row r="112" spans="1:10" x14ac:dyDescent="0.3">
      <c r="A112" s="13"/>
      <c r="B112" s="13"/>
      <c r="C112" s="13"/>
      <c r="D112" s="153" t="s">
        <v>2647</v>
      </c>
      <c r="E112" s="59">
        <v>12</v>
      </c>
      <c r="F112" s="56" t="s">
        <v>34</v>
      </c>
      <c r="G112" s="63">
        <f t="shared" si="16"/>
        <v>0</v>
      </c>
      <c r="H112" s="63">
        <v>0</v>
      </c>
      <c r="J112" s="57"/>
    </row>
    <row r="113" spans="1:10" x14ac:dyDescent="0.3">
      <c r="A113" s="13" t="s">
        <v>2648</v>
      </c>
      <c r="B113" s="147">
        <v>1503050</v>
      </c>
      <c r="C113" s="156"/>
      <c r="D113" s="197" t="s">
        <v>2649</v>
      </c>
      <c r="E113" s="59"/>
      <c r="F113" s="56"/>
      <c r="G113" s="63"/>
      <c r="H113" s="63"/>
      <c r="J113" s="57"/>
    </row>
    <row r="114" spans="1:10" x14ac:dyDescent="0.3">
      <c r="A114" s="8" t="s">
        <v>2650</v>
      </c>
      <c r="B114" s="8">
        <v>1503050</v>
      </c>
      <c r="C114" s="149">
        <v>3.1</v>
      </c>
      <c r="D114" s="150" t="s">
        <v>2651</v>
      </c>
      <c r="E114" s="59">
        <v>12</v>
      </c>
      <c r="F114" s="56" t="s">
        <v>34</v>
      </c>
      <c r="G114" s="63">
        <f t="shared" ref="G114" si="17">SUM(G106:G113)</f>
        <v>0</v>
      </c>
      <c r="H114" s="63">
        <f>SUM(H104:H113)</f>
        <v>0</v>
      </c>
      <c r="J114" s="57"/>
    </row>
    <row r="115" spans="1:10" x14ac:dyDescent="0.3">
      <c r="A115" s="8" t="s">
        <v>2652</v>
      </c>
      <c r="B115" s="8">
        <v>1503050</v>
      </c>
      <c r="C115" s="8">
        <v>3.1</v>
      </c>
      <c r="D115" s="151" t="s">
        <v>2653</v>
      </c>
      <c r="E115" s="59">
        <v>12</v>
      </c>
      <c r="F115" s="59" t="s">
        <v>34</v>
      </c>
      <c r="G115" s="63">
        <v>0</v>
      </c>
      <c r="H115" s="63">
        <v>0</v>
      </c>
      <c r="J115" s="57"/>
    </row>
    <row r="116" spans="1:10" x14ac:dyDescent="0.3">
      <c r="A116" s="8" t="s">
        <v>2654</v>
      </c>
      <c r="B116" s="8">
        <v>1503050</v>
      </c>
      <c r="C116" s="8">
        <v>3.1</v>
      </c>
      <c r="D116" s="151" t="s">
        <v>2655</v>
      </c>
      <c r="E116" s="59">
        <v>12</v>
      </c>
      <c r="F116" s="56" t="s">
        <v>34</v>
      </c>
      <c r="G116" s="63">
        <f t="shared" ref="G116:G122" si="18">H116/E116</f>
        <v>0</v>
      </c>
      <c r="H116" s="63">
        <v>0</v>
      </c>
      <c r="J116" s="57"/>
    </row>
    <row r="117" spans="1:10" x14ac:dyDescent="0.3">
      <c r="A117" s="8" t="s">
        <v>2656</v>
      </c>
      <c r="B117" s="8">
        <v>1503050</v>
      </c>
      <c r="C117" s="8">
        <v>3.2</v>
      </c>
      <c r="D117" s="60" t="s">
        <v>2657</v>
      </c>
      <c r="E117" s="59">
        <v>12</v>
      </c>
      <c r="F117" s="56" t="s">
        <v>34</v>
      </c>
      <c r="G117" s="63">
        <f t="shared" si="18"/>
        <v>0</v>
      </c>
      <c r="H117" s="63">
        <v>0</v>
      </c>
      <c r="J117" s="57"/>
    </row>
    <row r="118" spans="1:10" x14ac:dyDescent="0.3">
      <c r="A118" s="8" t="s">
        <v>2658</v>
      </c>
      <c r="B118" s="8">
        <v>1503050</v>
      </c>
      <c r="C118" s="8">
        <v>3.3</v>
      </c>
      <c r="D118" s="9" t="s">
        <v>2659</v>
      </c>
      <c r="E118" s="59">
        <v>12</v>
      </c>
      <c r="F118" s="56" t="s">
        <v>34</v>
      </c>
      <c r="G118" s="63">
        <f t="shared" si="18"/>
        <v>0</v>
      </c>
      <c r="H118" s="63">
        <v>0</v>
      </c>
      <c r="J118" s="57"/>
    </row>
    <row r="119" spans="1:10" x14ac:dyDescent="0.3">
      <c r="A119" s="8" t="s">
        <v>2660</v>
      </c>
      <c r="B119" s="8">
        <v>1503050</v>
      </c>
      <c r="C119" s="8">
        <v>3.5</v>
      </c>
      <c r="D119" s="9" t="s">
        <v>2661</v>
      </c>
      <c r="E119" s="59">
        <v>12</v>
      </c>
      <c r="F119" s="56" t="s">
        <v>34</v>
      </c>
      <c r="G119" s="63">
        <f t="shared" si="18"/>
        <v>0</v>
      </c>
      <c r="H119" s="63">
        <v>0</v>
      </c>
      <c r="J119" s="57"/>
    </row>
    <row r="120" spans="1:10" x14ac:dyDescent="0.3">
      <c r="A120" s="8" t="s">
        <v>2662</v>
      </c>
      <c r="B120" s="8">
        <v>1503050</v>
      </c>
      <c r="C120" s="8">
        <v>3.6</v>
      </c>
      <c r="D120" s="9" t="s">
        <v>2663</v>
      </c>
      <c r="E120" s="59">
        <v>12</v>
      </c>
      <c r="F120" s="56" t="s">
        <v>34</v>
      </c>
      <c r="G120" s="63">
        <f t="shared" si="18"/>
        <v>0</v>
      </c>
      <c r="H120" s="63">
        <v>0</v>
      </c>
      <c r="J120" s="57"/>
    </row>
    <row r="121" spans="1:10" x14ac:dyDescent="0.3">
      <c r="A121" s="8" t="s">
        <v>2664</v>
      </c>
      <c r="B121" s="8">
        <v>1503050</v>
      </c>
      <c r="C121" s="8">
        <v>3.7</v>
      </c>
      <c r="D121" s="152" t="s">
        <v>2665</v>
      </c>
      <c r="E121" s="59">
        <v>12</v>
      </c>
      <c r="F121" s="56" t="s">
        <v>34</v>
      </c>
      <c r="G121" s="63">
        <f t="shared" si="18"/>
        <v>0</v>
      </c>
      <c r="H121" s="63">
        <v>0</v>
      </c>
      <c r="J121" s="57"/>
    </row>
    <row r="122" spans="1:10" x14ac:dyDescent="0.3">
      <c r="A122" s="13"/>
      <c r="B122" s="13"/>
      <c r="C122" s="13"/>
      <c r="D122" s="153" t="s">
        <v>2666</v>
      </c>
      <c r="E122" s="59">
        <v>12</v>
      </c>
      <c r="F122" s="56" t="s">
        <v>34</v>
      </c>
      <c r="G122" s="63">
        <f t="shared" si="18"/>
        <v>0</v>
      </c>
      <c r="H122" s="63">
        <v>0</v>
      </c>
      <c r="J122" s="57"/>
    </row>
    <row r="123" spans="1:10" x14ac:dyDescent="0.3">
      <c r="A123" s="13" t="s">
        <v>2667</v>
      </c>
      <c r="B123" s="147">
        <v>1503050</v>
      </c>
      <c r="C123" s="156"/>
      <c r="D123" s="197" t="s">
        <v>2668</v>
      </c>
      <c r="E123" s="59"/>
      <c r="F123" s="56"/>
      <c r="G123" s="63"/>
      <c r="H123" s="63"/>
      <c r="J123" s="57"/>
    </row>
    <row r="124" spans="1:10" x14ac:dyDescent="0.3">
      <c r="A124" s="8" t="s">
        <v>2669</v>
      </c>
      <c r="B124" s="8">
        <v>1503050</v>
      </c>
      <c r="C124" s="149">
        <v>3.1</v>
      </c>
      <c r="D124" s="150" t="s">
        <v>2670</v>
      </c>
      <c r="E124" s="59">
        <v>12</v>
      </c>
      <c r="F124" s="56" t="s">
        <v>34</v>
      </c>
      <c r="G124" s="63">
        <f t="shared" ref="G124" si="19">SUM(G116:G123)</f>
        <v>0</v>
      </c>
      <c r="H124" s="63">
        <f>SUM(H115:H123)</f>
        <v>0</v>
      </c>
      <c r="J124" s="57"/>
    </row>
    <row r="125" spans="1:10" ht="12.75" customHeight="1" x14ac:dyDescent="0.3">
      <c r="A125" s="8" t="s">
        <v>2671</v>
      </c>
      <c r="B125" s="8">
        <v>1503050</v>
      </c>
      <c r="C125" s="8">
        <v>3.1</v>
      </c>
      <c r="D125" s="151" t="s">
        <v>2672</v>
      </c>
      <c r="E125" s="59">
        <v>12</v>
      </c>
      <c r="F125" s="59" t="s">
        <v>34</v>
      </c>
      <c r="G125" s="63">
        <v>0</v>
      </c>
      <c r="H125" s="63">
        <v>0</v>
      </c>
      <c r="J125" s="57"/>
    </row>
    <row r="126" spans="1:10" x14ac:dyDescent="0.3">
      <c r="A126" s="8" t="s">
        <v>2673</v>
      </c>
      <c r="B126" s="8">
        <v>1503050</v>
      </c>
      <c r="C126" s="8">
        <v>3.1</v>
      </c>
      <c r="D126" s="151" t="s">
        <v>2674</v>
      </c>
      <c r="E126" s="59">
        <v>12</v>
      </c>
      <c r="F126" s="56" t="s">
        <v>34</v>
      </c>
      <c r="G126" s="63">
        <f t="shared" ref="G126:G132" si="20">H126/E126</f>
        <v>0</v>
      </c>
      <c r="H126" s="63">
        <v>0</v>
      </c>
      <c r="J126" s="57"/>
    </row>
    <row r="127" spans="1:10" x14ac:dyDescent="0.3">
      <c r="A127" s="8" t="s">
        <v>2675</v>
      </c>
      <c r="B127" s="8">
        <v>1503050</v>
      </c>
      <c r="C127" s="8">
        <v>3.2</v>
      </c>
      <c r="D127" s="60" t="s">
        <v>2676</v>
      </c>
      <c r="E127" s="59">
        <v>12</v>
      </c>
      <c r="F127" s="56" t="s">
        <v>34</v>
      </c>
      <c r="G127" s="63">
        <f t="shared" si="20"/>
        <v>0</v>
      </c>
      <c r="H127" s="63">
        <v>0</v>
      </c>
      <c r="J127" s="57"/>
    </row>
    <row r="128" spans="1:10" x14ac:dyDescent="0.3">
      <c r="A128" s="8" t="s">
        <v>2677</v>
      </c>
      <c r="B128" s="8">
        <v>1503050</v>
      </c>
      <c r="C128" s="8">
        <v>3.3</v>
      </c>
      <c r="D128" s="9" t="s">
        <v>2678</v>
      </c>
      <c r="E128" s="59">
        <v>12</v>
      </c>
      <c r="F128" s="56" t="s">
        <v>34</v>
      </c>
      <c r="G128" s="63">
        <f t="shared" si="20"/>
        <v>0</v>
      </c>
      <c r="H128" s="63">
        <v>0</v>
      </c>
      <c r="J128" s="57"/>
    </row>
    <row r="129" spans="1:10" ht="12.75" customHeight="1" x14ac:dyDescent="0.3">
      <c r="A129" s="8" t="s">
        <v>2679</v>
      </c>
      <c r="B129" s="8">
        <v>1503050</v>
      </c>
      <c r="C129" s="8">
        <v>3.5</v>
      </c>
      <c r="D129" s="9" t="s">
        <v>2680</v>
      </c>
      <c r="E129" s="59">
        <v>12</v>
      </c>
      <c r="F129" s="56" t="s">
        <v>34</v>
      </c>
      <c r="G129" s="63">
        <f t="shared" si="20"/>
        <v>0</v>
      </c>
      <c r="H129" s="63">
        <v>0</v>
      </c>
      <c r="J129" s="57"/>
    </row>
    <row r="130" spans="1:10" x14ac:dyDescent="0.3">
      <c r="A130" s="8" t="s">
        <v>2681</v>
      </c>
      <c r="B130" s="8">
        <v>1503050</v>
      </c>
      <c r="C130" s="8">
        <v>3.6</v>
      </c>
      <c r="D130" s="9" t="s">
        <v>2682</v>
      </c>
      <c r="E130" s="59">
        <v>12</v>
      </c>
      <c r="F130" s="56" t="s">
        <v>34</v>
      </c>
      <c r="G130" s="63">
        <f t="shared" si="20"/>
        <v>0</v>
      </c>
      <c r="H130" s="63">
        <v>0</v>
      </c>
      <c r="J130" s="57"/>
    </row>
    <row r="131" spans="1:10" x14ac:dyDescent="0.3">
      <c r="A131" s="8" t="s">
        <v>2683</v>
      </c>
      <c r="B131" s="8">
        <v>1503050</v>
      </c>
      <c r="C131" s="8">
        <v>3.7</v>
      </c>
      <c r="D131" s="152" t="s">
        <v>2684</v>
      </c>
      <c r="E131" s="59">
        <v>12</v>
      </c>
      <c r="F131" s="56" t="s">
        <v>34</v>
      </c>
      <c r="G131" s="63">
        <f t="shared" si="20"/>
        <v>0</v>
      </c>
      <c r="H131" s="63">
        <v>0</v>
      </c>
      <c r="J131" s="57"/>
    </row>
    <row r="132" spans="1:10" x14ac:dyDescent="0.3">
      <c r="A132" s="13"/>
      <c r="B132" s="13"/>
      <c r="C132" s="13"/>
      <c r="D132" s="153" t="s">
        <v>2685</v>
      </c>
      <c r="E132" s="59">
        <v>12</v>
      </c>
      <c r="F132" s="56" t="s">
        <v>34</v>
      </c>
      <c r="G132" s="63">
        <f t="shared" si="20"/>
        <v>0</v>
      </c>
      <c r="H132" s="63">
        <v>0</v>
      </c>
      <c r="J132" s="57"/>
    </row>
    <row r="133" spans="1:10" x14ac:dyDescent="0.3">
      <c r="A133" s="13" t="s">
        <v>2686</v>
      </c>
      <c r="B133" s="147">
        <v>1503050</v>
      </c>
      <c r="C133" s="156"/>
      <c r="D133" s="197" t="s">
        <v>2687</v>
      </c>
      <c r="E133" s="59"/>
      <c r="F133" s="56"/>
      <c r="G133" s="63"/>
      <c r="H133" s="63"/>
      <c r="J133" s="57"/>
    </row>
    <row r="134" spans="1:10" x14ac:dyDescent="0.3">
      <c r="A134" s="8" t="s">
        <v>2688</v>
      </c>
      <c r="B134" s="8">
        <v>1503050</v>
      </c>
      <c r="C134" s="149">
        <v>3.1</v>
      </c>
      <c r="D134" s="150" t="s">
        <v>2689</v>
      </c>
      <c r="E134" s="59">
        <v>12</v>
      </c>
      <c r="F134" s="56" t="s">
        <v>34</v>
      </c>
      <c r="G134" s="63">
        <f t="shared" ref="G134" si="21">SUM(G126:G133)</f>
        <v>0</v>
      </c>
      <c r="H134" s="63">
        <f>SUM(H125:H133)</f>
        <v>0</v>
      </c>
      <c r="J134" s="57"/>
    </row>
    <row r="135" spans="1:10" x14ac:dyDescent="0.3">
      <c r="A135" s="8" t="s">
        <v>2690</v>
      </c>
      <c r="B135" s="8">
        <v>1503050</v>
      </c>
      <c r="C135" s="8">
        <v>3.1</v>
      </c>
      <c r="D135" s="151" t="s">
        <v>2691</v>
      </c>
      <c r="E135" s="59">
        <v>12</v>
      </c>
      <c r="F135" s="59" t="s">
        <v>34</v>
      </c>
      <c r="G135" s="63">
        <v>0</v>
      </c>
      <c r="H135" s="63">
        <v>0</v>
      </c>
      <c r="J135" s="57"/>
    </row>
    <row r="136" spans="1:10" x14ac:dyDescent="0.3">
      <c r="A136" s="8" t="s">
        <v>2692</v>
      </c>
      <c r="B136" s="8">
        <v>1503050</v>
      </c>
      <c r="C136" s="8">
        <v>3.1</v>
      </c>
      <c r="D136" s="151" t="s">
        <v>2693</v>
      </c>
      <c r="E136" s="59">
        <v>12</v>
      </c>
      <c r="F136" s="56" t="s">
        <v>34</v>
      </c>
      <c r="G136" s="63">
        <f t="shared" ref="G136:G143" si="22">H136/E136</f>
        <v>0</v>
      </c>
      <c r="H136" s="63">
        <v>0</v>
      </c>
      <c r="J136" s="57"/>
    </row>
    <row r="137" spans="1:10" x14ac:dyDescent="0.3">
      <c r="A137" s="8" t="s">
        <v>2694</v>
      </c>
      <c r="B137" s="8">
        <v>1503050</v>
      </c>
      <c r="C137" s="8">
        <v>3.2</v>
      </c>
      <c r="D137" s="60" t="s">
        <v>2695</v>
      </c>
      <c r="E137" s="59">
        <v>12</v>
      </c>
      <c r="F137" s="56" t="s">
        <v>34</v>
      </c>
      <c r="G137" s="63">
        <f t="shared" si="22"/>
        <v>0</v>
      </c>
      <c r="H137" s="63">
        <v>0</v>
      </c>
      <c r="J137" s="57"/>
    </row>
    <row r="138" spans="1:10" x14ac:dyDescent="0.3">
      <c r="A138" s="8" t="s">
        <v>2696</v>
      </c>
      <c r="B138" s="8">
        <v>1503050</v>
      </c>
      <c r="C138" s="8">
        <v>3.3</v>
      </c>
      <c r="D138" s="9" t="s">
        <v>2697</v>
      </c>
      <c r="E138" s="59">
        <v>12</v>
      </c>
      <c r="F138" s="56" t="s">
        <v>34</v>
      </c>
      <c r="G138" s="63">
        <f t="shared" si="22"/>
        <v>0</v>
      </c>
      <c r="H138" s="63">
        <v>0</v>
      </c>
      <c r="J138" s="57"/>
    </row>
    <row r="139" spans="1:10" x14ac:dyDescent="0.3">
      <c r="A139" s="8" t="s">
        <v>2698</v>
      </c>
      <c r="B139" s="8">
        <v>1503050</v>
      </c>
      <c r="C139" s="8">
        <v>3.5</v>
      </c>
      <c r="D139" s="9" t="s">
        <v>2699</v>
      </c>
      <c r="E139" s="59">
        <v>12</v>
      </c>
      <c r="F139" s="56" t="s">
        <v>34</v>
      </c>
      <c r="G139" s="63">
        <f t="shared" si="22"/>
        <v>0</v>
      </c>
      <c r="H139" s="63">
        <v>0</v>
      </c>
      <c r="J139" s="57"/>
    </row>
    <row r="140" spans="1:10" x14ac:dyDescent="0.3">
      <c r="A140" s="8" t="s">
        <v>2700</v>
      </c>
      <c r="B140" s="8">
        <v>1503050</v>
      </c>
      <c r="C140" s="8">
        <v>3.6</v>
      </c>
      <c r="D140" s="9" t="s">
        <v>2701</v>
      </c>
      <c r="E140" s="59">
        <v>12</v>
      </c>
      <c r="F140" s="56" t="s">
        <v>34</v>
      </c>
      <c r="G140" s="63">
        <f t="shared" si="22"/>
        <v>0</v>
      </c>
      <c r="H140" s="63">
        <v>0</v>
      </c>
      <c r="J140" s="57"/>
    </row>
    <row r="141" spans="1:10" x14ac:dyDescent="0.3">
      <c r="A141" s="157" t="s">
        <v>2702</v>
      </c>
      <c r="B141" s="157">
        <v>1503050</v>
      </c>
      <c r="C141" s="157">
        <v>3.7</v>
      </c>
      <c r="D141" s="158" t="s">
        <v>2703</v>
      </c>
      <c r="E141" s="59">
        <v>12</v>
      </c>
      <c r="F141" s="56" t="s">
        <v>34</v>
      </c>
      <c r="G141" s="63">
        <f t="shared" si="22"/>
        <v>0</v>
      </c>
      <c r="H141" s="63">
        <v>0</v>
      </c>
      <c r="J141" s="57"/>
    </row>
    <row r="142" spans="1:10" x14ac:dyDescent="0.3">
      <c r="A142" s="156"/>
      <c r="B142" s="156"/>
      <c r="C142" s="156"/>
      <c r="D142" s="159" t="s">
        <v>2704</v>
      </c>
      <c r="E142" s="59">
        <v>12</v>
      </c>
      <c r="F142" s="56" t="s">
        <v>34</v>
      </c>
      <c r="G142" s="63">
        <f t="shared" si="22"/>
        <v>0</v>
      </c>
      <c r="H142" s="63">
        <v>0</v>
      </c>
      <c r="J142" s="57"/>
    </row>
    <row r="143" spans="1:10" x14ac:dyDescent="0.3">
      <c r="A143" s="156" t="s">
        <v>147</v>
      </c>
      <c r="B143" s="156">
        <v>1503050</v>
      </c>
      <c r="C143" s="156" t="s">
        <v>14</v>
      </c>
      <c r="D143" s="159" t="s">
        <v>2705</v>
      </c>
      <c r="E143" s="193">
        <v>12</v>
      </c>
      <c r="F143" s="189" t="s">
        <v>34</v>
      </c>
      <c r="G143" s="190">
        <f t="shared" si="22"/>
        <v>0</v>
      </c>
      <c r="H143" s="63">
        <v>0</v>
      </c>
      <c r="J143" s="57"/>
    </row>
    <row r="144" spans="1:10" x14ac:dyDescent="0.3">
      <c r="A144" s="156" t="s">
        <v>378</v>
      </c>
      <c r="B144" s="156">
        <v>1503050</v>
      </c>
      <c r="C144" s="156"/>
      <c r="D144" s="197" t="s">
        <v>2708</v>
      </c>
      <c r="E144" s="59"/>
      <c r="F144" s="56"/>
      <c r="G144" s="63"/>
      <c r="H144" s="63"/>
      <c r="J144" s="57"/>
    </row>
    <row r="145" spans="1:10" ht="12.75" customHeight="1" x14ac:dyDescent="0.3">
      <c r="A145" s="160" t="s">
        <v>2709</v>
      </c>
      <c r="B145" s="160">
        <v>1503050</v>
      </c>
      <c r="C145" s="161"/>
      <c r="D145" s="198" t="s">
        <v>2710</v>
      </c>
      <c r="E145" s="56"/>
      <c r="F145" s="56"/>
      <c r="G145" s="63"/>
      <c r="H145" s="63"/>
      <c r="J145" s="57"/>
    </row>
    <row r="146" spans="1:10" x14ac:dyDescent="0.3">
      <c r="A146" s="8" t="s">
        <v>2711</v>
      </c>
      <c r="B146" s="8">
        <v>1503050</v>
      </c>
      <c r="C146" s="8">
        <v>3.1</v>
      </c>
      <c r="D146" s="150" t="s">
        <v>2712</v>
      </c>
      <c r="E146" s="194">
        <v>12</v>
      </c>
      <c r="F146" s="195" t="s">
        <v>34</v>
      </c>
      <c r="G146" s="196">
        <f t="shared" ref="G146:G153" si="23">H146/E146</f>
        <v>0</v>
      </c>
      <c r="H146" s="63">
        <v>0</v>
      </c>
      <c r="J146" s="57"/>
    </row>
    <row r="147" spans="1:10" x14ac:dyDescent="0.3">
      <c r="A147" s="8" t="s">
        <v>2713</v>
      </c>
      <c r="B147" s="8">
        <v>1503050</v>
      </c>
      <c r="C147" s="8">
        <v>3.1</v>
      </c>
      <c r="D147" s="151" t="s">
        <v>2714</v>
      </c>
      <c r="E147" s="59">
        <v>12</v>
      </c>
      <c r="F147" s="56" t="s">
        <v>34</v>
      </c>
      <c r="G147" s="63">
        <f t="shared" si="23"/>
        <v>0</v>
      </c>
      <c r="H147" s="63">
        <v>0</v>
      </c>
      <c r="J147" s="57"/>
    </row>
    <row r="148" spans="1:10" x14ac:dyDescent="0.3">
      <c r="A148" s="8" t="s">
        <v>2715</v>
      </c>
      <c r="B148" s="8">
        <v>1503050</v>
      </c>
      <c r="C148" s="8">
        <v>3.1</v>
      </c>
      <c r="D148" s="162" t="s">
        <v>2716</v>
      </c>
      <c r="E148" s="59">
        <v>12</v>
      </c>
      <c r="F148" s="56" t="s">
        <v>34</v>
      </c>
      <c r="G148" s="63">
        <f t="shared" si="23"/>
        <v>0</v>
      </c>
      <c r="H148" s="63">
        <v>0</v>
      </c>
      <c r="J148" s="57"/>
    </row>
    <row r="149" spans="1:10" ht="12.75" customHeight="1" x14ac:dyDescent="0.3">
      <c r="A149" s="8" t="s">
        <v>2717</v>
      </c>
      <c r="B149" s="8">
        <v>1503050</v>
      </c>
      <c r="C149" s="8">
        <v>3.2</v>
      </c>
      <c r="D149" s="60" t="s">
        <v>2718</v>
      </c>
      <c r="E149" s="59">
        <v>12</v>
      </c>
      <c r="F149" s="56" t="s">
        <v>34</v>
      </c>
      <c r="G149" s="63">
        <f t="shared" si="23"/>
        <v>0</v>
      </c>
      <c r="H149" s="63">
        <v>0</v>
      </c>
      <c r="J149" s="57"/>
    </row>
    <row r="150" spans="1:10" x14ac:dyDescent="0.3">
      <c r="A150" s="8" t="s">
        <v>2719</v>
      </c>
      <c r="B150" s="8">
        <v>1503050</v>
      </c>
      <c r="C150" s="8">
        <v>3.3</v>
      </c>
      <c r="D150" s="9" t="s">
        <v>2720</v>
      </c>
      <c r="E150" s="59">
        <v>12</v>
      </c>
      <c r="F150" s="56" t="s">
        <v>34</v>
      </c>
      <c r="G150" s="63">
        <f t="shared" si="23"/>
        <v>0</v>
      </c>
      <c r="H150" s="63">
        <v>0</v>
      </c>
      <c r="J150" s="57"/>
    </row>
    <row r="151" spans="1:10" x14ac:dyDescent="0.3">
      <c r="A151" s="8" t="s">
        <v>2721</v>
      </c>
      <c r="B151" s="8">
        <v>1503050</v>
      </c>
      <c r="C151" s="8">
        <v>3.5</v>
      </c>
      <c r="D151" s="9" t="s">
        <v>2722</v>
      </c>
      <c r="E151" s="59">
        <v>12</v>
      </c>
      <c r="F151" s="56" t="s">
        <v>34</v>
      </c>
      <c r="G151" s="63">
        <f t="shared" si="23"/>
        <v>0</v>
      </c>
      <c r="H151" s="63">
        <v>0</v>
      </c>
      <c r="J151" s="57"/>
    </row>
    <row r="152" spans="1:10" x14ac:dyDescent="0.3">
      <c r="A152" s="8" t="s">
        <v>2723</v>
      </c>
      <c r="B152" s="8">
        <v>1503050</v>
      </c>
      <c r="C152" s="8">
        <v>3.6</v>
      </c>
      <c r="D152" s="9" t="s">
        <v>2724</v>
      </c>
      <c r="E152" s="59">
        <v>12</v>
      </c>
      <c r="F152" s="56" t="s">
        <v>34</v>
      </c>
      <c r="G152" s="63">
        <f t="shared" si="23"/>
        <v>0</v>
      </c>
      <c r="H152" s="63">
        <v>0</v>
      </c>
      <c r="J152" s="57"/>
    </row>
    <row r="153" spans="1:10" x14ac:dyDescent="0.3">
      <c r="A153" s="8" t="s">
        <v>2725</v>
      </c>
      <c r="B153" s="8">
        <v>1503050</v>
      </c>
      <c r="C153" s="8">
        <v>3.7</v>
      </c>
      <c r="D153" s="152" t="s">
        <v>2726</v>
      </c>
      <c r="E153" s="59">
        <v>12</v>
      </c>
      <c r="F153" s="56" t="s">
        <v>34</v>
      </c>
      <c r="G153" s="63">
        <f t="shared" si="23"/>
        <v>0</v>
      </c>
      <c r="H153" s="63">
        <v>0</v>
      </c>
      <c r="J153" s="57"/>
    </row>
    <row r="154" spans="1:10" x14ac:dyDescent="0.3">
      <c r="A154" s="13"/>
      <c r="B154" s="13"/>
      <c r="C154" s="13"/>
      <c r="D154" s="153" t="s">
        <v>2727</v>
      </c>
      <c r="E154" s="193">
        <v>12</v>
      </c>
      <c r="F154" s="189" t="s">
        <v>34</v>
      </c>
      <c r="G154" s="190">
        <f t="shared" ref="G154:H154" si="24">SUM(G146:G153)</f>
        <v>0</v>
      </c>
      <c r="H154" s="190">
        <f t="shared" si="24"/>
        <v>0</v>
      </c>
      <c r="J154" s="57"/>
    </row>
    <row r="155" spans="1:10" x14ac:dyDescent="0.3">
      <c r="A155" s="160" t="s">
        <v>2729</v>
      </c>
      <c r="B155" s="160">
        <v>1503050</v>
      </c>
      <c r="C155" s="161"/>
      <c r="D155" s="198" t="s">
        <v>2728</v>
      </c>
      <c r="E155" s="56"/>
      <c r="F155" s="56"/>
      <c r="G155" s="63"/>
      <c r="H155" s="63"/>
      <c r="J155" s="57"/>
    </row>
    <row r="156" spans="1:10" x14ac:dyDescent="0.3">
      <c r="A156" s="8" t="s">
        <v>2729</v>
      </c>
      <c r="B156" s="8">
        <v>1503050</v>
      </c>
      <c r="C156" s="8">
        <v>3.1</v>
      </c>
      <c r="D156" s="150" t="s">
        <v>2730</v>
      </c>
      <c r="E156" s="194">
        <v>12</v>
      </c>
      <c r="F156" s="195" t="s">
        <v>34</v>
      </c>
      <c r="G156" s="196">
        <f t="shared" ref="G156:G163" si="25">H156/E156</f>
        <v>0</v>
      </c>
      <c r="H156" s="196">
        <v>0</v>
      </c>
      <c r="J156" s="57"/>
    </row>
    <row r="157" spans="1:10" x14ac:dyDescent="0.3">
      <c r="A157" s="8" t="s">
        <v>2731</v>
      </c>
      <c r="B157" s="8">
        <v>1503050</v>
      </c>
      <c r="C157" s="8">
        <v>3.1</v>
      </c>
      <c r="D157" s="151" t="s">
        <v>2732</v>
      </c>
      <c r="E157" s="59">
        <v>12</v>
      </c>
      <c r="F157" s="56" t="s">
        <v>34</v>
      </c>
      <c r="G157" s="63">
        <f t="shared" si="25"/>
        <v>0</v>
      </c>
      <c r="H157" s="63">
        <v>0</v>
      </c>
      <c r="J157" s="57"/>
    </row>
    <row r="158" spans="1:10" x14ac:dyDescent="0.3">
      <c r="A158" s="8" t="s">
        <v>2733</v>
      </c>
      <c r="B158" s="8">
        <v>1503050</v>
      </c>
      <c r="C158" s="8">
        <v>3.1</v>
      </c>
      <c r="D158" s="162" t="s">
        <v>2734</v>
      </c>
      <c r="E158" s="59">
        <v>12</v>
      </c>
      <c r="F158" s="56" t="s">
        <v>34</v>
      </c>
      <c r="G158" s="63">
        <f t="shared" si="25"/>
        <v>0</v>
      </c>
      <c r="H158" s="63">
        <v>0</v>
      </c>
      <c r="J158" s="57"/>
    </row>
    <row r="159" spans="1:10" x14ac:dyDescent="0.3">
      <c r="A159" s="8" t="s">
        <v>2735</v>
      </c>
      <c r="B159" s="8">
        <v>1503050</v>
      </c>
      <c r="C159" s="8">
        <v>3.2</v>
      </c>
      <c r="D159" s="60" t="s">
        <v>2736</v>
      </c>
      <c r="E159" s="59">
        <v>12</v>
      </c>
      <c r="F159" s="56" t="s">
        <v>34</v>
      </c>
      <c r="G159" s="63">
        <f t="shared" si="25"/>
        <v>0</v>
      </c>
      <c r="H159" s="63">
        <v>0</v>
      </c>
      <c r="J159" s="57"/>
    </row>
    <row r="160" spans="1:10" x14ac:dyDescent="0.3">
      <c r="A160" s="8" t="s">
        <v>2737</v>
      </c>
      <c r="B160" s="8">
        <v>1503050</v>
      </c>
      <c r="C160" s="8">
        <v>3.3</v>
      </c>
      <c r="D160" s="9" t="s">
        <v>2738</v>
      </c>
      <c r="E160" s="59">
        <v>12</v>
      </c>
      <c r="F160" s="56" t="s">
        <v>34</v>
      </c>
      <c r="G160" s="63">
        <f t="shared" si="25"/>
        <v>0</v>
      </c>
      <c r="H160" s="63">
        <v>0</v>
      </c>
      <c r="J160" s="57"/>
    </row>
    <row r="161" spans="1:10" x14ac:dyDescent="0.3">
      <c r="A161" s="8" t="s">
        <v>2739</v>
      </c>
      <c r="B161" s="8">
        <v>1503050</v>
      </c>
      <c r="C161" s="8">
        <v>3.5</v>
      </c>
      <c r="D161" s="9" t="s">
        <v>2740</v>
      </c>
      <c r="E161" s="59">
        <v>12</v>
      </c>
      <c r="F161" s="56" t="s">
        <v>34</v>
      </c>
      <c r="G161" s="63">
        <f t="shared" si="25"/>
        <v>0</v>
      </c>
      <c r="H161" s="63">
        <v>0</v>
      </c>
      <c r="J161" s="57"/>
    </row>
    <row r="162" spans="1:10" x14ac:dyDescent="0.3">
      <c r="A162" s="8" t="s">
        <v>2741</v>
      </c>
      <c r="B162" s="8">
        <v>1503050</v>
      </c>
      <c r="C162" s="8">
        <v>3.6</v>
      </c>
      <c r="D162" s="9" t="s">
        <v>2742</v>
      </c>
      <c r="E162" s="59">
        <v>12</v>
      </c>
      <c r="F162" s="56" t="s">
        <v>34</v>
      </c>
      <c r="G162" s="63">
        <f t="shared" si="25"/>
        <v>0</v>
      </c>
      <c r="H162" s="63">
        <v>0</v>
      </c>
      <c r="J162" s="57"/>
    </row>
    <row r="163" spans="1:10" x14ac:dyDescent="0.3">
      <c r="A163" s="8" t="s">
        <v>2743</v>
      </c>
      <c r="B163" s="8">
        <v>1503050</v>
      </c>
      <c r="C163" s="8">
        <v>3.7</v>
      </c>
      <c r="D163" s="152" t="s">
        <v>2744</v>
      </c>
      <c r="E163" s="59">
        <v>12</v>
      </c>
      <c r="F163" s="56" t="s">
        <v>34</v>
      </c>
      <c r="G163" s="63">
        <f t="shared" si="25"/>
        <v>0</v>
      </c>
      <c r="H163" s="63">
        <v>0</v>
      </c>
      <c r="J163" s="57"/>
    </row>
    <row r="164" spans="1:10" x14ac:dyDescent="0.3">
      <c r="A164" s="13"/>
      <c r="B164" s="13"/>
      <c r="C164" s="13"/>
      <c r="D164" s="153" t="s">
        <v>2745</v>
      </c>
      <c r="E164" s="193">
        <v>12</v>
      </c>
      <c r="F164" s="189" t="s">
        <v>34</v>
      </c>
      <c r="G164" s="190">
        <f t="shared" ref="G164:H164" si="26">SUM(G156:G163)</f>
        <v>0</v>
      </c>
      <c r="H164" s="63">
        <f t="shared" si="26"/>
        <v>0</v>
      </c>
      <c r="J164" s="57"/>
    </row>
    <row r="165" spans="1:10" ht="12.75" customHeight="1" x14ac:dyDescent="0.3">
      <c r="A165" s="160" t="s">
        <v>2746</v>
      </c>
      <c r="B165" s="160">
        <v>1503050</v>
      </c>
      <c r="C165" s="161"/>
      <c r="D165" s="198" t="s">
        <v>2868</v>
      </c>
      <c r="E165" s="56"/>
      <c r="F165" s="56"/>
      <c r="G165" s="63"/>
      <c r="H165" s="63"/>
      <c r="J165" s="57"/>
    </row>
    <row r="166" spans="1:10" x14ac:dyDescent="0.3">
      <c r="A166" s="8" t="s">
        <v>2747</v>
      </c>
      <c r="B166" s="8">
        <v>1503050</v>
      </c>
      <c r="C166" s="8">
        <v>3.1</v>
      </c>
      <c r="D166" s="150" t="s">
        <v>2748</v>
      </c>
      <c r="E166" s="194">
        <v>12</v>
      </c>
      <c r="F166" s="195" t="s">
        <v>34</v>
      </c>
      <c r="G166" s="196">
        <f t="shared" ref="G166:G173" si="27">H166/E166</f>
        <v>0</v>
      </c>
      <c r="H166" s="63">
        <v>0</v>
      </c>
      <c r="J166" s="57"/>
    </row>
    <row r="167" spans="1:10" x14ac:dyDescent="0.3">
      <c r="A167" s="8" t="s">
        <v>2749</v>
      </c>
      <c r="B167" s="8">
        <v>1503050</v>
      </c>
      <c r="C167" s="8">
        <v>3.1</v>
      </c>
      <c r="D167" s="151" t="s">
        <v>2750</v>
      </c>
      <c r="E167" s="59">
        <v>12</v>
      </c>
      <c r="F167" s="56" t="s">
        <v>34</v>
      </c>
      <c r="G167" s="63">
        <f t="shared" si="27"/>
        <v>0</v>
      </c>
      <c r="H167" s="63">
        <v>0</v>
      </c>
      <c r="J167" s="57"/>
    </row>
    <row r="168" spans="1:10" x14ac:dyDescent="0.3">
      <c r="A168" s="8" t="s">
        <v>2751</v>
      </c>
      <c r="B168" s="8">
        <v>1503050</v>
      </c>
      <c r="C168" s="8">
        <v>3.1</v>
      </c>
      <c r="D168" s="162" t="s">
        <v>2752</v>
      </c>
      <c r="E168" s="59">
        <v>12</v>
      </c>
      <c r="F168" s="56" t="s">
        <v>34</v>
      </c>
      <c r="G168" s="63">
        <f t="shared" si="27"/>
        <v>0</v>
      </c>
      <c r="H168" s="63">
        <v>0</v>
      </c>
      <c r="J168" s="57"/>
    </row>
    <row r="169" spans="1:10" ht="12.75" customHeight="1" x14ac:dyDescent="0.3">
      <c r="A169" s="8" t="s">
        <v>2753</v>
      </c>
      <c r="B169" s="8">
        <v>1503050</v>
      </c>
      <c r="C169" s="8">
        <v>3.2</v>
      </c>
      <c r="D169" s="60" t="s">
        <v>2754</v>
      </c>
      <c r="E169" s="59">
        <v>12</v>
      </c>
      <c r="F169" s="56" t="s">
        <v>34</v>
      </c>
      <c r="G169" s="63">
        <f t="shared" si="27"/>
        <v>0</v>
      </c>
      <c r="H169" s="63">
        <v>0</v>
      </c>
      <c r="J169" s="57"/>
    </row>
    <row r="170" spans="1:10" x14ac:dyDescent="0.3">
      <c r="A170" s="8" t="s">
        <v>2755</v>
      </c>
      <c r="B170" s="8">
        <v>1503050</v>
      </c>
      <c r="C170" s="8">
        <v>3.3</v>
      </c>
      <c r="D170" s="9" t="s">
        <v>2756</v>
      </c>
      <c r="E170" s="59">
        <v>12</v>
      </c>
      <c r="F170" s="56" t="s">
        <v>34</v>
      </c>
      <c r="G170" s="63">
        <f t="shared" si="27"/>
        <v>0</v>
      </c>
      <c r="H170" s="63">
        <v>0</v>
      </c>
      <c r="J170" s="57"/>
    </row>
    <row r="171" spans="1:10" x14ac:dyDescent="0.3">
      <c r="A171" s="8" t="s">
        <v>2757</v>
      </c>
      <c r="B171" s="8">
        <v>1503050</v>
      </c>
      <c r="C171" s="8">
        <v>3.5</v>
      </c>
      <c r="D171" s="9" t="s">
        <v>2758</v>
      </c>
      <c r="E171" s="59">
        <v>12</v>
      </c>
      <c r="F171" s="56" t="s">
        <v>34</v>
      </c>
      <c r="G171" s="63">
        <f t="shared" si="27"/>
        <v>0</v>
      </c>
      <c r="H171" s="63">
        <v>0</v>
      </c>
      <c r="J171" s="57"/>
    </row>
    <row r="172" spans="1:10" x14ac:dyDescent="0.3">
      <c r="A172" s="8" t="s">
        <v>2759</v>
      </c>
      <c r="B172" s="8">
        <v>1503050</v>
      </c>
      <c r="C172" s="8">
        <v>3.6</v>
      </c>
      <c r="D172" s="9" t="s">
        <v>2760</v>
      </c>
      <c r="E172" s="59">
        <v>12</v>
      </c>
      <c r="F172" s="56" t="s">
        <v>34</v>
      </c>
      <c r="G172" s="63">
        <f t="shared" si="27"/>
        <v>0</v>
      </c>
      <c r="H172" s="63">
        <v>0</v>
      </c>
      <c r="J172" s="57"/>
    </row>
    <row r="173" spans="1:10" x14ac:dyDescent="0.3">
      <c r="A173" s="8" t="s">
        <v>2761</v>
      </c>
      <c r="B173" s="8">
        <v>1503050</v>
      </c>
      <c r="C173" s="8">
        <v>3.7</v>
      </c>
      <c r="D173" s="152" t="s">
        <v>2762</v>
      </c>
      <c r="E173" s="59">
        <v>12</v>
      </c>
      <c r="F173" s="56" t="s">
        <v>34</v>
      </c>
      <c r="G173" s="63">
        <f t="shared" si="27"/>
        <v>0</v>
      </c>
      <c r="H173" s="63">
        <v>0</v>
      </c>
      <c r="J173" s="57"/>
    </row>
    <row r="174" spans="1:10" x14ac:dyDescent="0.3">
      <c r="A174" s="13"/>
      <c r="B174" s="13"/>
      <c r="C174" s="13"/>
      <c r="D174" s="153" t="s">
        <v>2763</v>
      </c>
      <c r="E174" s="193">
        <v>12</v>
      </c>
      <c r="F174" s="189" t="s">
        <v>34</v>
      </c>
      <c r="G174" s="190">
        <f t="shared" ref="G174:H174" si="28">SUM(G166:G173)</f>
        <v>0</v>
      </c>
      <c r="H174" s="63">
        <f t="shared" si="28"/>
        <v>0</v>
      </c>
      <c r="J174" s="57"/>
    </row>
    <row r="175" spans="1:10" x14ac:dyDescent="0.3">
      <c r="A175" s="160" t="s">
        <v>2764</v>
      </c>
      <c r="B175" s="160">
        <v>1503050</v>
      </c>
      <c r="C175" s="161"/>
      <c r="D175" s="198" t="s">
        <v>2765</v>
      </c>
      <c r="E175" s="59"/>
      <c r="F175" s="56"/>
      <c r="G175" s="63"/>
      <c r="H175" s="63"/>
      <c r="J175" s="57"/>
    </row>
    <row r="176" spans="1:10" x14ac:dyDescent="0.3">
      <c r="A176" s="8" t="s">
        <v>2766</v>
      </c>
      <c r="B176" s="8">
        <v>1503050</v>
      </c>
      <c r="C176" s="8">
        <v>3.1</v>
      </c>
      <c r="D176" s="150" t="s">
        <v>2767</v>
      </c>
      <c r="E176" s="194">
        <v>12</v>
      </c>
      <c r="F176" s="195" t="s">
        <v>34</v>
      </c>
      <c r="G176" s="196">
        <f t="shared" ref="G176:G183" si="29">H176/E176</f>
        <v>0</v>
      </c>
      <c r="H176" s="63">
        <v>0</v>
      </c>
      <c r="J176" s="57"/>
    </row>
    <row r="177" spans="1:10" x14ac:dyDescent="0.3">
      <c r="A177" s="8" t="s">
        <v>2768</v>
      </c>
      <c r="B177" s="8">
        <v>1503050</v>
      </c>
      <c r="C177" s="8">
        <v>3.1</v>
      </c>
      <c r="D177" s="151" t="s">
        <v>2769</v>
      </c>
      <c r="E177" s="59">
        <v>12</v>
      </c>
      <c r="F177" s="56" t="s">
        <v>34</v>
      </c>
      <c r="G177" s="63">
        <f t="shared" si="29"/>
        <v>0</v>
      </c>
      <c r="H177" s="63">
        <v>0</v>
      </c>
      <c r="J177" s="57"/>
    </row>
    <row r="178" spans="1:10" x14ac:dyDescent="0.3">
      <c r="A178" s="8" t="s">
        <v>2770</v>
      </c>
      <c r="B178" s="8">
        <v>1503050</v>
      </c>
      <c r="C178" s="8">
        <v>3.1</v>
      </c>
      <c r="D178" s="162" t="s">
        <v>2771</v>
      </c>
      <c r="E178" s="59">
        <v>12</v>
      </c>
      <c r="F178" s="56" t="s">
        <v>34</v>
      </c>
      <c r="G178" s="63">
        <f t="shared" si="29"/>
        <v>0</v>
      </c>
      <c r="H178" s="63">
        <v>0</v>
      </c>
      <c r="J178" s="57"/>
    </row>
    <row r="179" spans="1:10" x14ac:dyDescent="0.3">
      <c r="A179" s="8" t="s">
        <v>2772</v>
      </c>
      <c r="B179" s="8">
        <v>1503050</v>
      </c>
      <c r="C179" s="8">
        <v>3.2</v>
      </c>
      <c r="D179" s="60" t="s">
        <v>2773</v>
      </c>
      <c r="E179" s="59">
        <v>12</v>
      </c>
      <c r="F179" s="56" t="s">
        <v>34</v>
      </c>
      <c r="G179" s="63">
        <f t="shared" si="29"/>
        <v>0</v>
      </c>
      <c r="H179" s="63">
        <v>0</v>
      </c>
      <c r="J179" s="57"/>
    </row>
    <row r="180" spans="1:10" x14ac:dyDescent="0.3">
      <c r="A180" s="8" t="s">
        <v>2774</v>
      </c>
      <c r="B180" s="8">
        <v>1503050</v>
      </c>
      <c r="C180" s="8">
        <v>3.3</v>
      </c>
      <c r="D180" s="9" t="s">
        <v>2775</v>
      </c>
      <c r="E180" s="59">
        <v>12</v>
      </c>
      <c r="F180" s="56" t="s">
        <v>34</v>
      </c>
      <c r="G180" s="63">
        <f t="shared" si="29"/>
        <v>0</v>
      </c>
      <c r="H180" s="63">
        <v>0</v>
      </c>
      <c r="J180" s="57"/>
    </row>
    <row r="181" spans="1:10" x14ac:dyDescent="0.3">
      <c r="A181" s="8" t="s">
        <v>2776</v>
      </c>
      <c r="B181" s="8">
        <v>1503050</v>
      </c>
      <c r="C181" s="8">
        <v>3.5</v>
      </c>
      <c r="D181" s="9" t="s">
        <v>2777</v>
      </c>
      <c r="E181" s="59">
        <v>12</v>
      </c>
      <c r="F181" s="56" t="s">
        <v>34</v>
      </c>
      <c r="G181" s="63">
        <f t="shared" si="29"/>
        <v>0</v>
      </c>
      <c r="H181" s="63">
        <v>0</v>
      </c>
      <c r="J181" s="57"/>
    </row>
    <row r="182" spans="1:10" x14ac:dyDescent="0.3">
      <c r="A182" s="8" t="s">
        <v>2778</v>
      </c>
      <c r="B182" s="8">
        <v>1503050</v>
      </c>
      <c r="C182" s="8">
        <v>3.6</v>
      </c>
      <c r="D182" s="9" t="s">
        <v>2779</v>
      </c>
      <c r="E182" s="59">
        <v>12</v>
      </c>
      <c r="F182" s="56" t="s">
        <v>34</v>
      </c>
      <c r="G182" s="63">
        <f t="shared" si="29"/>
        <v>0</v>
      </c>
      <c r="H182" s="63">
        <v>0</v>
      </c>
      <c r="J182" s="57"/>
    </row>
    <row r="183" spans="1:10" x14ac:dyDescent="0.3">
      <c r="A183" s="8" t="s">
        <v>2780</v>
      </c>
      <c r="B183" s="8">
        <v>1503050</v>
      </c>
      <c r="C183" s="8">
        <v>3.7</v>
      </c>
      <c r="D183" s="152" t="s">
        <v>2781</v>
      </c>
      <c r="E183" s="59">
        <v>12</v>
      </c>
      <c r="F183" s="56" t="s">
        <v>34</v>
      </c>
      <c r="G183" s="63">
        <f t="shared" si="29"/>
        <v>0</v>
      </c>
      <c r="H183" s="63">
        <v>0</v>
      </c>
      <c r="J183" s="57"/>
    </row>
    <row r="184" spans="1:10" x14ac:dyDescent="0.3">
      <c r="A184" s="13"/>
      <c r="B184" s="13"/>
      <c r="C184" s="13"/>
      <c r="D184" s="153" t="s">
        <v>2782</v>
      </c>
      <c r="E184" s="59">
        <v>12</v>
      </c>
      <c r="F184" s="56" t="s">
        <v>34</v>
      </c>
      <c r="G184" s="63">
        <f t="shared" ref="G184:H184" si="30">SUM(G176:G183)</f>
        <v>0</v>
      </c>
      <c r="H184" s="63">
        <f t="shared" si="30"/>
        <v>0</v>
      </c>
      <c r="J184" s="57"/>
    </row>
    <row r="185" spans="1:10" x14ac:dyDescent="0.3">
      <c r="A185" s="13" t="s">
        <v>378</v>
      </c>
      <c r="B185" s="13">
        <v>1503050</v>
      </c>
      <c r="C185" s="13" t="s">
        <v>14</v>
      </c>
      <c r="D185" s="153" t="s">
        <v>2783</v>
      </c>
      <c r="E185" s="193">
        <v>12</v>
      </c>
      <c r="F185" s="189" t="s">
        <v>34</v>
      </c>
      <c r="G185" s="190">
        <f>G184+G174+G164+G154+G144+G134+G124+G114</f>
        <v>0</v>
      </c>
      <c r="H185" s="63">
        <f>H184+H174+H164+H154+H144+H134+H124+H114</f>
        <v>0</v>
      </c>
      <c r="J185" s="57" t="s">
        <v>14</v>
      </c>
    </row>
    <row r="186" spans="1:10" x14ac:dyDescent="0.3">
      <c r="A186" s="13" t="s">
        <v>149</v>
      </c>
      <c r="B186" s="13">
        <v>1503050</v>
      </c>
      <c r="C186" s="13" t="s">
        <v>14</v>
      </c>
      <c r="D186" s="199" t="s">
        <v>2784</v>
      </c>
      <c r="E186" s="56"/>
      <c r="F186" s="56"/>
      <c r="G186" s="63"/>
      <c r="H186" s="63"/>
      <c r="J186" s="57" t="s">
        <v>14</v>
      </c>
    </row>
    <row r="187" spans="1:10" ht="12.75" customHeight="1" x14ac:dyDescent="0.3">
      <c r="A187" s="13" t="s">
        <v>150</v>
      </c>
      <c r="B187" s="13">
        <v>1503050</v>
      </c>
      <c r="C187" s="13"/>
      <c r="D187" s="200" t="s">
        <v>2785</v>
      </c>
      <c r="E187" s="56"/>
      <c r="F187" s="56"/>
      <c r="G187" s="63"/>
      <c r="H187" s="63"/>
      <c r="J187" s="57"/>
    </row>
    <row r="188" spans="1:10" x14ac:dyDescent="0.3">
      <c r="A188" s="13" t="s">
        <v>151</v>
      </c>
      <c r="B188" s="13"/>
      <c r="C188" s="147" t="s">
        <v>14</v>
      </c>
      <c r="D188" s="185" t="s">
        <v>152</v>
      </c>
      <c r="E188" s="59"/>
      <c r="F188" s="56"/>
      <c r="G188" s="63"/>
      <c r="H188" s="63"/>
      <c r="J188" s="57"/>
    </row>
    <row r="189" spans="1:10" x14ac:dyDescent="0.3">
      <c r="A189" s="13" t="s">
        <v>153</v>
      </c>
      <c r="B189" s="13">
        <v>1503050</v>
      </c>
      <c r="C189" s="147"/>
      <c r="D189" s="179" t="s">
        <v>2786</v>
      </c>
      <c r="E189" s="59"/>
      <c r="F189" s="56"/>
      <c r="G189" s="63"/>
      <c r="H189" s="63"/>
      <c r="J189" s="57"/>
    </row>
    <row r="190" spans="1:10" x14ac:dyDescent="0.3">
      <c r="A190" s="8" t="s">
        <v>154</v>
      </c>
      <c r="B190" s="8">
        <v>1503050</v>
      </c>
      <c r="C190" s="146">
        <v>3.1</v>
      </c>
      <c r="D190" s="164" t="s">
        <v>155</v>
      </c>
      <c r="E190" s="194">
        <v>12</v>
      </c>
      <c r="F190" s="195" t="s">
        <v>34</v>
      </c>
      <c r="G190" s="196">
        <f t="shared" ref="G190:G195" si="31">H190/E190</f>
        <v>0</v>
      </c>
      <c r="H190" s="63">
        <v>0</v>
      </c>
      <c r="J190" s="57"/>
    </row>
    <row r="191" spans="1:10" ht="12.75" customHeight="1" x14ac:dyDescent="0.3">
      <c r="A191" s="8" t="s">
        <v>156</v>
      </c>
      <c r="B191" s="8">
        <v>1503050</v>
      </c>
      <c r="C191" s="146">
        <v>3.1</v>
      </c>
      <c r="D191" s="165" t="s">
        <v>2787</v>
      </c>
      <c r="E191" s="59">
        <v>12</v>
      </c>
      <c r="F191" s="56" t="s">
        <v>34</v>
      </c>
      <c r="G191" s="63">
        <f t="shared" si="31"/>
        <v>0</v>
      </c>
      <c r="H191" s="63">
        <v>0</v>
      </c>
      <c r="J191" s="57"/>
    </row>
    <row r="192" spans="1:10" x14ac:dyDescent="0.3">
      <c r="A192" s="8" t="s">
        <v>157</v>
      </c>
      <c r="B192" s="8">
        <v>1503050</v>
      </c>
      <c r="C192" s="8">
        <v>3.1</v>
      </c>
      <c r="D192" s="166" t="s">
        <v>158</v>
      </c>
      <c r="E192" s="59">
        <v>12</v>
      </c>
      <c r="F192" s="56" t="s">
        <v>34</v>
      </c>
      <c r="G192" s="63">
        <f t="shared" si="31"/>
        <v>0</v>
      </c>
      <c r="H192" s="63">
        <v>0</v>
      </c>
      <c r="J192" s="57"/>
    </row>
    <row r="193" spans="1:10" x14ac:dyDescent="0.3">
      <c r="A193" s="8" t="s">
        <v>159</v>
      </c>
      <c r="B193" s="8">
        <v>1503050</v>
      </c>
      <c r="C193" s="8">
        <v>3.2</v>
      </c>
      <c r="D193" s="60" t="s">
        <v>160</v>
      </c>
      <c r="E193" s="59">
        <v>12</v>
      </c>
      <c r="F193" s="56" t="s">
        <v>34</v>
      </c>
      <c r="G193" s="63">
        <f t="shared" si="31"/>
        <v>0</v>
      </c>
      <c r="H193" s="63">
        <v>0</v>
      </c>
      <c r="J193" s="57"/>
    </row>
    <row r="194" spans="1:10" x14ac:dyDescent="0.3">
      <c r="A194" s="8" t="s">
        <v>161</v>
      </c>
      <c r="B194" s="8">
        <v>1503050</v>
      </c>
      <c r="C194" s="8">
        <v>3.3</v>
      </c>
      <c r="D194" s="9" t="s">
        <v>162</v>
      </c>
      <c r="E194" s="59">
        <v>12</v>
      </c>
      <c r="F194" s="56" t="s">
        <v>34</v>
      </c>
      <c r="G194" s="63">
        <f t="shared" si="31"/>
        <v>0</v>
      </c>
      <c r="H194" s="63">
        <v>0</v>
      </c>
      <c r="J194" s="57"/>
    </row>
    <row r="195" spans="1:10" x14ac:dyDescent="0.3">
      <c r="A195" s="8" t="s">
        <v>163</v>
      </c>
      <c r="B195" s="8">
        <v>1503050</v>
      </c>
      <c r="C195" s="8">
        <v>3.5</v>
      </c>
      <c r="D195" s="9" t="s">
        <v>2788</v>
      </c>
      <c r="E195" s="59">
        <v>12</v>
      </c>
      <c r="F195" s="56" t="s">
        <v>34</v>
      </c>
      <c r="G195" s="63">
        <f t="shared" si="31"/>
        <v>0</v>
      </c>
      <c r="H195" s="63">
        <v>0</v>
      </c>
      <c r="J195" s="57"/>
    </row>
    <row r="196" spans="1:10" x14ac:dyDescent="0.3">
      <c r="A196" s="8" t="s">
        <v>164</v>
      </c>
      <c r="B196" s="8">
        <v>1503050</v>
      </c>
      <c r="C196" s="8">
        <v>3.6</v>
      </c>
      <c r="D196" s="9" t="s">
        <v>165</v>
      </c>
      <c r="E196" s="59">
        <v>12</v>
      </c>
      <c r="F196" s="56" t="s">
        <v>34</v>
      </c>
      <c r="G196" s="63">
        <f t="shared" ref="G196:H196" si="32">SUM(G188:G195)</f>
        <v>0</v>
      </c>
      <c r="H196" s="63">
        <f t="shared" si="32"/>
        <v>0</v>
      </c>
      <c r="J196" s="57"/>
    </row>
    <row r="197" spans="1:10" x14ac:dyDescent="0.3">
      <c r="A197" s="8" t="s">
        <v>166</v>
      </c>
      <c r="B197" s="8">
        <v>1503050</v>
      </c>
      <c r="C197" s="8">
        <v>3.7</v>
      </c>
      <c r="D197" s="152" t="s">
        <v>167</v>
      </c>
      <c r="E197" s="59">
        <v>12</v>
      </c>
      <c r="F197" s="59" t="s">
        <v>34</v>
      </c>
      <c r="G197" s="63">
        <v>0</v>
      </c>
      <c r="H197" s="63">
        <v>0</v>
      </c>
      <c r="J197" s="57"/>
    </row>
    <row r="198" spans="1:10" x14ac:dyDescent="0.3">
      <c r="A198" s="13"/>
      <c r="B198" s="13"/>
      <c r="C198" s="13"/>
      <c r="D198" s="155" t="s">
        <v>168</v>
      </c>
      <c r="E198" s="193">
        <v>12</v>
      </c>
      <c r="F198" s="189" t="s">
        <v>34</v>
      </c>
      <c r="G198" s="190">
        <f t="shared" ref="G198:G205" si="33">H198/E198</f>
        <v>0</v>
      </c>
      <c r="H198" s="63">
        <v>0</v>
      </c>
      <c r="J198" s="57"/>
    </row>
    <row r="199" spans="1:10" x14ac:dyDescent="0.3">
      <c r="A199" s="13" t="s">
        <v>169</v>
      </c>
      <c r="B199" s="13">
        <v>1503050</v>
      </c>
      <c r="C199" s="146"/>
      <c r="D199" s="179" t="s">
        <v>2789</v>
      </c>
      <c r="E199" s="59"/>
      <c r="F199" s="56"/>
      <c r="G199" s="63"/>
      <c r="H199" s="63"/>
      <c r="J199" s="57"/>
    </row>
    <row r="200" spans="1:10" x14ac:dyDescent="0.3">
      <c r="A200" s="8" t="s">
        <v>170</v>
      </c>
      <c r="B200" s="8">
        <v>1503050</v>
      </c>
      <c r="C200" s="146">
        <v>3.1</v>
      </c>
      <c r="D200" s="167" t="s">
        <v>171</v>
      </c>
      <c r="E200" s="194">
        <v>12</v>
      </c>
      <c r="F200" s="195" t="s">
        <v>34</v>
      </c>
      <c r="G200" s="196">
        <f t="shared" si="33"/>
        <v>0</v>
      </c>
      <c r="H200" s="63">
        <v>0</v>
      </c>
      <c r="J200" s="57"/>
    </row>
    <row r="201" spans="1:10" x14ac:dyDescent="0.3">
      <c r="A201" s="8" t="s">
        <v>172</v>
      </c>
      <c r="B201" s="8">
        <v>1503050</v>
      </c>
      <c r="C201" s="146">
        <v>3.1</v>
      </c>
      <c r="D201" s="168" t="s">
        <v>2790</v>
      </c>
      <c r="E201" s="59">
        <v>12</v>
      </c>
      <c r="F201" s="56" t="s">
        <v>34</v>
      </c>
      <c r="G201" s="63">
        <f t="shared" si="33"/>
        <v>0</v>
      </c>
      <c r="H201" s="63">
        <v>0</v>
      </c>
      <c r="J201" s="57"/>
    </row>
    <row r="202" spans="1:10" x14ac:dyDescent="0.3">
      <c r="A202" s="8" t="s">
        <v>173</v>
      </c>
      <c r="B202" s="8">
        <v>1503050</v>
      </c>
      <c r="C202" s="8">
        <v>3.1</v>
      </c>
      <c r="D202" s="169" t="s">
        <v>174</v>
      </c>
      <c r="E202" s="59">
        <v>12</v>
      </c>
      <c r="F202" s="56" t="s">
        <v>34</v>
      </c>
      <c r="G202" s="63">
        <f t="shared" si="33"/>
        <v>0</v>
      </c>
      <c r="H202" s="63">
        <v>0</v>
      </c>
      <c r="J202" s="57"/>
    </row>
    <row r="203" spans="1:10" x14ac:dyDescent="0.3">
      <c r="A203" s="8" t="s">
        <v>175</v>
      </c>
      <c r="B203" s="8">
        <v>1503050</v>
      </c>
      <c r="C203" s="8">
        <v>3.2</v>
      </c>
      <c r="D203" s="9" t="s">
        <v>176</v>
      </c>
      <c r="E203" s="59">
        <v>12</v>
      </c>
      <c r="F203" s="56" t="s">
        <v>34</v>
      </c>
      <c r="G203" s="63">
        <f t="shared" si="33"/>
        <v>0</v>
      </c>
      <c r="H203" s="63">
        <v>0</v>
      </c>
      <c r="J203" s="57"/>
    </row>
    <row r="204" spans="1:10" x14ac:dyDescent="0.3">
      <c r="A204" s="8" t="s">
        <v>177</v>
      </c>
      <c r="B204" s="8">
        <v>1503050</v>
      </c>
      <c r="C204" s="8">
        <v>3.3</v>
      </c>
      <c r="D204" s="9" t="s">
        <v>178</v>
      </c>
      <c r="E204" s="59">
        <v>12</v>
      </c>
      <c r="F204" s="56" t="s">
        <v>34</v>
      </c>
      <c r="G204" s="63">
        <f t="shared" si="33"/>
        <v>0</v>
      </c>
      <c r="H204" s="63">
        <v>0</v>
      </c>
      <c r="J204" s="57"/>
    </row>
    <row r="205" spans="1:10" x14ac:dyDescent="0.3">
      <c r="A205" s="8" t="s">
        <v>179</v>
      </c>
      <c r="B205" s="8">
        <v>1503050</v>
      </c>
      <c r="C205" s="8">
        <v>3.5</v>
      </c>
      <c r="D205" s="9" t="s">
        <v>2791</v>
      </c>
      <c r="E205" s="59">
        <v>12</v>
      </c>
      <c r="F205" s="56" t="s">
        <v>34</v>
      </c>
      <c r="G205" s="63">
        <f t="shared" si="33"/>
        <v>0</v>
      </c>
      <c r="H205" s="63">
        <v>0</v>
      </c>
      <c r="J205" s="57"/>
    </row>
    <row r="206" spans="1:10" x14ac:dyDescent="0.3">
      <c r="A206" s="8" t="s">
        <v>180</v>
      </c>
      <c r="B206" s="8">
        <v>1503050</v>
      </c>
      <c r="C206" s="8">
        <v>3.6</v>
      </c>
      <c r="D206" s="9" t="s">
        <v>181</v>
      </c>
      <c r="E206" s="59">
        <v>12</v>
      </c>
      <c r="F206" s="56" t="s">
        <v>34</v>
      </c>
      <c r="G206" s="63">
        <f t="shared" ref="G206" si="34">SUM(G198:G205)</f>
        <v>0</v>
      </c>
      <c r="H206" s="63">
        <f>SUM(H197:H205)</f>
        <v>0</v>
      </c>
      <c r="J206" s="57"/>
    </row>
    <row r="207" spans="1:10" ht="12.75" customHeight="1" x14ac:dyDescent="0.3">
      <c r="A207" s="8" t="s">
        <v>182</v>
      </c>
      <c r="B207" s="8">
        <v>1503050</v>
      </c>
      <c r="C207" s="8">
        <v>3.7</v>
      </c>
      <c r="D207" s="152" t="s">
        <v>183</v>
      </c>
      <c r="E207" s="59">
        <v>12</v>
      </c>
      <c r="F207" s="59" t="s">
        <v>34</v>
      </c>
      <c r="G207" s="63">
        <v>0</v>
      </c>
      <c r="H207" s="63">
        <v>0</v>
      </c>
      <c r="J207" s="57"/>
    </row>
    <row r="208" spans="1:10" x14ac:dyDescent="0.3">
      <c r="A208" s="13"/>
      <c r="B208" s="13"/>
      <c r="C208" s="13"/>
      <c r="D208" s="155" t="s">
        <v>184</v>
      </c>
      <c r="E208" s="193">
        <v>12</v>
      </c>
      <c r="F208" s="189" t="s">
        <v>34</v>
      </c>
      <c r="G208" s="190">
        <f t="shared" ref="G208:G215" si="35">H208/E208</f>
        <v>0</v>
      </c>
      <c r="H208" s="63">
        <v>0</v>
      </c>
      <c r="J208" s="57"/>
    </row>
    <row r="209" spans="1:10" x14ac:dyDescent="0.3">
      <c r="A209" s="13" t="s">
        <v>185</v>
      </c>
      <c r="B209" s="13">
        <v>1503050</v>
      </c>
      <c r="C209" s="147"/>
      <c r="D209" s="179" t="s">
        <v>2792</v>
      </c>
      <c r="E209" s="59"/>
      <c r="F209" s="56"/>
      <c r="G209" s="63"/>
      <c r="H209" s="63"/>
      <c r="J209" s="57"/>
    </row>
    <row r="210" spans="1:10" x14ac:dyDescent="0.3">
      <c r="A210" s="8" t="s">
        <v>186</v>
      </c>
      <c r="B210" s="8">
        <v>1503050</v>
      </c>
      <c r="C210" s="146">
        <v>3.1</v>
      </c>
      <c r="D210" s="170" t="s">
        <v>2793</v>
      </c>
      <c r="E210" s="194">
        <v>12</v>
      </c>
      <c r="F210" s="195" t="s">
        <v>34</v>
      </c>
      <c r="G210" s="196">
        <f t="shared" si="35"/>
        <v>0</v>
      </c>
      <c r="H210" s="63">
        <v>0</v>
      </c>
      <c r="J210" s="57"/>
    </row>
    <row r="211" spans="1:10" ht="12.75" customHeight="1" x14ac:dyDescent="0.3">
      <c r="A211" s="8" t="s">
        <v>187</v>
      </c>
      <c r="B211" s="8">
        <v>1503050</v>
      </c>
      <c r="C211" s="146">
        <v>3.1</v>
      </c>
      <c r="D211" s="171" t="s">
        <v>188</v>
      </c>
      <c r="E211" s="59">
        <v>12</v>
      </c>
      <c r="F211" s="56" t="s">
        <v>34</v>
      </c>
      <c r="G211" s="63">
        <f t="shared" si="35"/>
        <v>0</v>
      </c>
      <c r="H211" s="63">
        <v>0</v>
      </c>
      <c r="J211" s="57"/>
    </row>
    <row r="212" spans="1:10" x14ac:dyDescent="0.3">
      <c r="A212" s="8" t="s">
        <v>189</v>
      </c>
      <c r="B212" s="8">
        <v>1503050</v>
      </c>
      <c r="C212" s="8">
        <v>3.1</v>
      </c>
      <c r="D212" s="166" t="s">
        <v>190</v>
      </c>
      <c r="E212" s="59">
        <v>12</v>
      </c>
      <c r="F212" s="56" t="s">
        <v>34</v>
      </c>
      <c r="G212" s="63">
        <f t="shared" si="35"/>
        <v>0</v>
      </c>
      <c r="H212" s="63">
        <v>0</v>
      </c>
      <c r="J212" s="57"/>
    </row>
    <row r="213" spans="1:10" x14ac:dyDescent="0.3">
      <c r="A213" s="8" t="s">
        <v>191</v>
      </c>
      <c r="B213" s="8">
        <v>1503050</v>
      </c>
      <c r="C213" s="8">
        <v>3.2</v>
      </c>
      <c r="D213" s="60" t="s">
        <v>192</v>
      </c>
      <c r="E213" s="59">
        <v>12</v>
      </c>
      <c r="F213" s="56" t="s">
        <v>34</v>
      </c>
      <c r="G213" s="63">
        <f t="shared" si="35"/>
        <v>0</v>
      </c>
      <c r="H213" s="63">
        <v>0</v>
      </c>
      <c r="J213" s="57"/>
    </row>
    <row r="214" spans="1:10" x14ac:dyDescent="0.3">
      <c r="A214" s="8" t="s">
        <v>193</v>
      </c>
      <c r="B214" s="8">
        <v>1503050</v>
      </c>
      <c r="C214" s="8">
        <v>3.3</v>
      </c>
      <c r="D214" s="9" t="s">
        <v>194</v>
      </c>
      <c r="E214" s="59">
        <v>12</v>
      </c>
      <c r="F214" s="56" t="s">
        <v>34</v>
      </c>
      <c r="G214" s="63">
        <f t="shared" si="35"/>
        <v>0</v>
      </c>
      <c r="H214" s="63">
        <v>0</v>
      </c>
      <c r="J214" s="57"/>
    </row>
    <row r="215" spans="1:10" x14ac:dyDescent="0.3">
      <c r="A215" s="8" t="s">
        <v>195</v>
      </c>
      <c r="B215" s="8">
        <v>1503050</v>
      </c>
      <c r="C215" s="8">
        <v>3.5</v>
      </c>
      <c r="D215" s="9" t="s">
        <v>2794</v>
      </c>
      <c r="E215" s="59">
        <v>12</v>
      </c>
      <c r="F215" s="56" t="s">
        <v>34</v>
      </c>
      <c r="G215" s="63">
        <f t="shared" si="35"/>
        <v>0</v>
      </c>
      <c r="H215" s="63">
        <v>0</v>
      </c>
      <c r="J215" s="57"/>
    </row>
    <row r="216" spans="1:10" x14ac:dyDescent="0.3">
      <c r="A216" s="8" t="s">
        <v>196</v>
      </c>
      <c r="B216" s="8">
        <v>1503050</v>
      </c>
      <c r="C216" s="8">
        <v>3.6</v>
      </c>
      <c r="D216" s="9" t="s">
        <v>197</v>
      </c>
      <c r="E216" s="59">
        <v>12</v>
      </c>
      <c r="F216" s="56" t="s">
        <v>34</v>
      </c>
      <c r="G216" s="63">
        <f t="shared" ref="G216" si="36">SUM(G208:G215)</f>
        <v>0</v>
      </c>
      <c r="H216" s="63">
        <f>SUM(H207:H215)</f>
        <v>0</v>
      </c>
      <c r="J216" s="57"/>
    </row>
    <row r="217" spans="1:10" x14ac:dyDescent="0.3">
      <c r="A217" s="8" t="s">
        <v>198</v>
      </c>
      <c r="B217" s="8">
        <v>1503050</v>
      </c>
      <c r="C217" s="8">
        <v>3.7</v>
      </c>
      <c r="D217" s="152" t="s">
        <v>199</v>
      </c>
      <c r="E217" s="59">
        <v>12</v>
      </c>
      <c r="F217" s="59" t="s">
        <v>34</v>
      </c>
      <c r="G217" s="63">
        <v>0</v>
      </c>
      <c r="H217" s="63">
        <v>0</v>
      </c>
      <c r="J217" s="57"/>
    </row>
    <row r="218" spans="1:10" x14ac:dyDescent="0.3">
      <c r="A218" s="13"/>
      <c r="B218" s="13"/>
      <c r="C218" s="13"/>
      <c r="D218" s="155" t="s">
        <v>200</v>
      </c>
      <c r="E218" s="193">
        <v>12</v>
      </c>
      <c r="F218" s="189" t="s">
        <v>34</v>
      </c>
      <c r="G218" s="190">
        <f t="shared" ref="G218:G225" si="37">H218/E218</f>
        <v>0</v>
      </c>
      <c r="H218" s="63">
        <v>0</v>
      </c>
      <c r="J218" s="57"/>
    </row>
    <row r="219" spans="1:10" x14ac:dyDescent="0.3">
      <c r="A219" s="13" t="s">
        <v>201</v>
      </c>
      <c r="B219" s="13">
        <v>1503050</v>
      </c>
      <c r="C219" s="146"/>
      <c r="D219" s="179" t="s">
        <v>2795</v>
      </c>
      <c r="E219" s="59"/>
      <c r="F219" s="56"/>
      <c r="G219" s="63"/>
      <c r="H219" s="63"/>
      <c r="J219" s="57"/>
    </row>
    <row r="220" spans="1:10" x14ac:dyDescent="0.3">
      <c r="A220" s="8" t="s">
        <v>202</v>
      </c>
      <c r="B220" s="8">
        <v>1503050</v>
      </c>
      <c r="C220" s="146">
        <v>3.1</v>
      </c>
      <c r="D220" s="167" t="s">
        <v>2796</v>
      </c>
      <c r="E220" s="194">
        <v>12</v>
      </c>
      <c r="F220" s="195" t="s">
        <v>34</v>
      </c>
      <c r="G220" s="196">
        <f t="shared" si="37"/>
        <v>0</v>
      </c>
      <c r="H220" s="63">
        <v>0</v>
      </c>
      <c r="J220" s="57"/>
    </row>
    <row r="221" spans="1:10" x14ac:dyDescent="0.3">
      <c r="A221" s="8" t="s">
        <v>203</v>
      </c>
      <c r="B221" s="8">
        <v>1503050</v>
      </c>
      <c r="C221" s="146">
        <v>3.1</v>
      </c>
      <c r="D221" s="168" t="s">
        <v>204</v>
      </c>
      <c r="E221" s="59">
        <v>12</v>
      </c>
      <c r="F221" s="56" t="s">
        <v>34</v>
      </c>
      <c r="G221" s="63">
        <f t="shared" si="37"/>
        <v>0</v>
      </c>
      <c r="H221" s="63">
        <v>0</v>
      </c>
      <c r="J221" s="57"/>
    </row>
    <row r="222" spans="1:10" x14ac:dyDescent="0.3">
      <c r="A222" s="8" t="s">
        <v>205</v>
      </c>
      <c r="B222" s="8">
        <v>1503050</v>
      </c>
      <c r="C222" s="8">
        <v>3.1</v>
      </c>
      <c r="D222" s="169" t="s">
        <v>206</v>
      </c>
      <c r="E222" s="59">
        <v>12</v>
      </c>
      <c r="F222" s="56" t="s">
        <v>34</v>
      </c>
      <c r="G222" s="63">
        <f t="shared" si="37"/>
        <v>0</v>
      </c>
      <c r="H222" s="63">
        <v>0</v>
      </c>
      <c r="J222" s="57"/>
    </row>
    <row r="223" spans="1:10" x14ac:dyDescent="0.3">
      <c r="A223" s="8" t="s">
        <v>207</v>
      </c>
      <c r="B223" s="8">
        <v>1503050</v>
      </c>
      <c r="C223" s="8">
        <v>3.2</v>
      </c>
      <c r="D223" s="9" t="s">
        <v>208</v>
      </c>
      <c r="E223" s="59">
        <v>12</v>
      </c>
      <c r="F223" s="56" t="s">
        <v>34</v>
      </c>
      <c r="G223" s="63">
        <f t="shared" si="37"/>
        <v>0</v>
      </c>
      <c r="H223" s="63">
        <v>0</v>
      </c>
      <c r="J223" s="57"/>
    </row>
    <row r="224" spans="1:10" x14ac:dyDescent="0.3">
      <c r="A224" s="8" t="s">
        <v>209</v>
      </c>
      <c r="B224" s="8">
        <v>1503050</v>
      </c>
      <c r="C224" s="8">
        <v>3.3</v>
      </c>
      <c r="D224" s="9" t="s">
        <v>210</v>
      </c>
      <c r="E224" s="59">
        <v>12</v>
      </c>
      <c r="F224" s="56" t="s">
        <v>34</v>
      </c>
      <c r="G224" s="63">
        <f>H224/E224</f>
        <v>0</v>
      </c>
      <c r="H224" s="63">
        <v>0</v>
      </c>
      <c r="J224" s="57"/>
    </row>
    <row r="225" spans="1:10" x14ac:dyDescent="0.3">
      <c r="A225" s="8" t="s">
        <v>211</v>
      </c>
      <c r="B225" s="8">
        <v>1503050</v>
      </c>
      <c r="C225" s="8">
        <v>3.5</v>
      </c>
      <c r="D225" s="9" t="s">
        <v>2797</v>
      </c>
      <c r="E225" s="59">
        <v>12</v>
      </c>
      <c r="F225" s="56" t="s">
        <v>34</v>
      </c>
      <c r="G225" s="63">
        <f t="shared" si="37"/>
        <v>0</v>
      </c>
      <c r="H225" s="63">
        <v>0</v>
      </c>
      <c r="J225" s="57"/>
    </row>
    <row r="226" spans="1:10" x14ac:dyDescent="0.3">
      <c r="A226" s="8" t="s">
        <v>212</v>
      </c>
      <c r="B226" s="8">
        <v>1503050</v>
      </c>
      <c r="C226" s="8">
        <v>3.6</v>
      </c>
      <c r="D226" s="9" t="s">
        <v>213</v>
      </c>
      <c r="E226" s="59">
        <v>12</v>
      </c>
      <c r="F226" s="56" t="s">
        <v>34</v>
      </c>
      <c r="G226" s="63">
        <f t="shared" ref="G226" si="38">SUM(G218:G225)</f>
        <v>0</v>
      </c>
      <c r="H226" s="63">
        <f>SUM(H217:H225)</f>
        <v>0</v>
      </c>
      <c r="J226" s="57"/>
    </row>
    <row r="227" spans="1:10" x14ac:dyDescent="0.3">
      <c r="A227" s="8" t="s">
        <v>214</v>
      </c>
      <c r="B227" s="8">
        <v>1503050</v>
      </c>
      <c r="C227" s="8">
        <v>3.7</v>
      </c>
      <c r="D227" s="152" t="s">
        <v>215</v>
      </c>
      <c r="E227" s="59">
        <v>12</v>
      </c>
      <c r="F227" s="56" t="s">
        <v>34</v>
      </c>
      <c r="G227" s="63">
        <f>G226+G216+G206+G196</f>
        <v>0</v>
      </c>
      <c r="H227" s="63">
        <f>H226+H216+H206+H196</f>
        <v>0</v>
      </c>
      <c r="J227" s="57" t="s">
        <v>14</v>
      </c>
    </row>
    <row r="228" spans="1:10" ht="15" customHeight="1" x14ac:dyDescent="0.3">
      <c r="A228" s="13"/>
      <c r="B228" s="13"/>
      <c r="C228" s="13"/>
      <c r="D228" s="155" t="s">
        <v>216</v>
      </c>
      <c r="E228" s="157">
        <v>12</v>
      </c>
      <c r="F228" s="157" t="s">
        <v>34</v>
      </c>
      <c r="G228" s="201">
        <f>G227+G185+G101+G91+G81</f>
        <v>0</v>
      </c>
      <c r="H228" s="20">
        <f>H227+H185+H101+H91+H81</f>
        <v>0</v>
      </c>
    </row>
    <row r="229" spans="1:10" x14ac:dyDescent="0.3">
      <c r="A229" s="13" t="s">
        <v>217</v>
      </c>
      <c r="B229" s="13">
        <v>1503050</v>
      </c>
      <c r="C229" s="147"/>
      <c r="D229" s="179" t="s">
        <v>2798</v>
      </c>
      <c r="E229" s="8"/>
      <c r="F229" s="8"/>
      <c r="G229" s="8"/>
      <c r="H229" s="8"/>
    </row>
    <row r="230" spans="1:10" ht="12.75" customHeight="1" x14ac:dyDescent="0.3">
      <c r="A230" s="8" t="s">
        <v>218</v>
      </c>
      <c r="B230" s="8">
        <v>1503050</v>
      </c>
      <c r="C230" s="146">
        <v>3.1</v>
      </c>
      <c r="D230" s="170" t="s">
        <v>219</v>
      </c>
      <c r="E230" s="202">
        <v>12</v>
      </c>
      <c r="F230" s="202" t="s">
        <v>34</v>
      </c>
      <c r="G230" s="203">
        <v>0</v>
      </c>
      <c r="H230" s="204">
        <v>0</v>
      </c>
    </row>
    <row r="231" spans="1:10" x14ac:dyDescent="0.3">
      <c r="A231" s="8" t="s">
        <v>220</v>
      </c>
      <c r="B231" s="8">
        <v>1503050</v>
      </c>
      <c r="C231" s="146">
        <v>3.1</v>
      </c>
      <c r="D231" s="171" t="s">
        <v>2799</v>
      </c>
      <c r="E231" s="59">
        <v>12</v>
      </c>
      <c r="F231" s="59" t="s">
        <v>34</v>
      </c>
      <c r="G231" s="63">
        <v>0</v>
      </c>
      <c r="H231" s="63">
        <v>0</v>
      </c>
      <c r="J231" s="57" t="s">
        <v>14</v>
      </c>
    </row>
    <row r="232" spans="1:10" x14ac:dyDescent="0.3">
      <c r="A232" s="8" t="s">
        <v>221</v>
      </c>
      <c r="B232" s="8">
        <v>1503050</v>
      </c>
      <c r="C232" s="8">
        <v>3.1</v>
      </c>
      <c r="D232" s="166" t="s">
        <v>222</v>
      </c>
      <c r="E232" s="59">
        <v>12</v>
      </c>
      <c r="F232" s="59" t="s">
        <v>34</v>
      </c>
      <c r="G232" s="63">
        <v>0</v>
      </c>
      <c r="H232" s="63">
        <v>0</v>
      </c>
      <c r="J232" s="57" t="s">
        <v>14</v>
      </c>
    </row>
    <row r="233" spans="1:10" x14ac:dyDescent="0.3">
      <c r="A233" s="8" t="s">
        <v>223</v>
      </c>
      <c r="B233" s="8">
        <v>1503050</v>
      </c>
      <c r="C233" s="8">
        <v>3.2</v>
      </c>
      <c r="D233" s="60" t="s">
        <v>224</v>
      </c>
      <c r="E233" s="59">
        <v>12</v>
      </c>
      <c r="F233" s="56" t="s">
        <v>34</v>
      </c>
      <c r="G233" s="63">
        <f t="shared" ref="G233:G234" si="39">H233/E233</f>
        <v>0</v>
      </c>
      <c r="H233" s="63">
        <v>0</v>
      </c>
      <c r="J233" s="57" t="s">
        <v>14</v>
      </c>
    </row>
    <row r="234" spans="1:10" x14ac:dyDescent="0.3">
      <c r="A234" s="8" t="s">
        <v>225</v>
      </c>
      <c r="B234" s="8">
        <v>1503050</v>
      </c>
      <c r="C234" s="8">
        <v>3.3</v>
      </c>
      <c r="D234" s="9" t="s">
        <v>226</v>
      </c>
      <c r="E234" s="59">
        <v>12</v>
      </c>
      <c r="F234" s="56" t="s">
        <v>34</v>
      </c>
      <c r="G234" s="63">
        <f t="shared" si="39"/>
        <v>0</v>
      </c>
      <c r="H234" s="63">
        <v>0</v>
      </c>
      <c r="J234" s="57" t="s">
        <v>14</v>
      </c>
    </row>
    <row r="235" spans="1:10" x14ac:dyDescent="0.3">
      <c r="A235" s="8" t="s">
        <v>227</v>
      </c>
      <c r="B235" s="8">
        <v>1503050</v>
      </c>
      <c r="C235" s="8">
        <v>3.5</v>
      </c>
      <c r="D235" s="9" t="s">
        <v>2800</v>
      </c>
      <c r="E235" s="59">
        <v>12</v>
      </c>
      <c r="F235" s="56" t="s">
        <v>34</v>
      </c>
      <c r="G235" s="63">
        <f t="shared" ref="G235" si="40">SUM(G233:G234)</f>
        <v>0</v>
      </c>
      <c r="H235" s="63">
        <f>SUM(H230:H234)</f>
        <v>0</v>
      </c>
      <c r="J235" s="57"/>
    </row>
    <row r="236" spans="1:10" x14ac:dyDescent="0.3">
      <c r="A236" s="8" t="s">
        <v>228</v>
      </c>
      <c r="B236" s="8">
        <v>1503050</v>
      </c>
      <c r="C236" s="8">
        <v>3.6</v>
      </c>
      <c r="D236" s="9" t="s">
        <v>229</v>
      </c>
      <c r="E236" s="59">
        <v>12</v>
      </c>
      <c r="F236" s="59" t="s">
        <v>34</v>
      </c>
      <c r="G236" s="63">
        <v>0</v>
      </c>
      <c r="H236" s="63">
        <v>0</v>
      </c>
      <c r="J236" s="57"/>
    </row>
    <row r="237" spans="1:10" x14ac:dyDescent="0.3">
      <c r="A237" s="8" t="s">
        <v>230</v>
      </c>
      <c r="B237" s="8">
        <v>1503050</v>
      </c>
      <c r="C237" s="8">
        <v>3.7</v>
      </c>
      <c r="D237" s="152" t="s">
        <v>231</v>
      </c>
      <c r="E237" s="59">
        <v>12</v>
      </c>
      <c r="F237" s="56" t="s">
        <v>34</v>
      </c>
      <c r="G237" s="63">
        <f t="shared" ref="G237:G238" si="41">H237/E237</f>
        <v>0</v>
      </c>
      <c r="H237" s="63">
        <v>0</v>
      </c>
      <c r="J237" s="57"/>
    </row>
    <row r="238" spans="1:10" x14ac:dyDescent="0.3">
      <c r="A238" s="13"/>
      <c r="B238" s="13"/>
      <c r="C238" s="13"/>
      <c r="D238" s="155" t="s">
        <v>232</v>
      </c>
      <c r="E238" s="193">
        <v>12</v>
      </c>
      <c r="F238" s="189" t="s">
        <v>34</v>
      </c>
      <c r="G238" s="190">
        <f t="shared" si="41"/>
        <v>0</v>
      </c>
      <c r="H238" s="63">
        <v>0</v>
      </c>
      <c r="J238" s="57"/>
    </row>
    <row r="239" spans="1:10" x14ac:dyDescent="0.3">
      <c r="A239" s="13" t="s">
        <v>233</v>
      </c>
      <c r="B239" s="13">
        <v>1503050</v>
      </c>
      <c r="C239" s="146"/>
      <c r="D239" s="179" t="s">
        <v>2801</v>
      </c>
      <c r="E239" s="59"/>
      <c r="F239" s="56"/>
      <c r="G239" s="63"/>
      <c r="H239" s="188"/>
      <c r="J239" s="57"/>
    </row>
    <row r="240" spans="1:10" x14ac:dyDescent="0.3">
      <c r="A240" s="8" t="s">
        <v>234</v>
      </c>
      <c r="B240" s="8">
        <v>1503050</v>
      </c>
      <c r="C240" s="146">
        <v>3.1</v>
      </c>
      <c r="D240" s="167" t="s">
        <v>2802</v>
      </c>
      <c r="E240" s="194">
        <v>12</v>
      </c>
      <c r="F240" s="194" t="s">
        <v>34</v>
      </c>
      <c r="G240" s="196">
        <v>0</v>
      </c>
      <c r="H240" s="63">
        <v>0</v>
      </c>
      <c r="J240" s="57"/>
    </row>
    <row r="241" spans="1:10" x14ac:dyDescent="0.3">
      <c r="A241" s="8" t="s">
        <v>235</v>
      </c>
      <c r="B241" s="8">
        <v>1503050</v>
      </c>
      <c r="C241" s="146">
        <v>3.1</v>
      </c>
      <c r="D241" s="168" t="s">
        <v>236</v>
      </c>
      <c r="E241" s="59">
        <v>12</v>
      </c>
      <c r="F241" s="56" t="s">
        <v>34</v>
      </c>
      <c r="G241" s="63">
        <f t="shared" ref="G241:G242" si="42">H241/E241</f>
        <v>0</v>
      </c>
      <c r="H241" s="63">
        <v>0</v>
      </c>
      <c r="J241" s="57"/>
    </row>
    <row r="242" spans="1:10" ht="12.75" customHeight="1" x14ac:dyDescent="0.3">
      <c r="A242" s="8" t="s">
        <v>237</v>
      </c>
      <c r="B242" s="8">
        <v>1503050</v>
      </c>
      <c r="C242" s="8">
        <v>3.1</v>
      </c>
      <c r="D242" s="169" t="s">
        <v>238</v>
      </c>
      <c r="E242" s="59">
        <v>12</v>
      </c>
      <c r="F242" s="56" t="s">
        <v>34</v>
      </c>
      <c r="G242" s="63">
        <f t="shared" si="42"/>
        <v>0</v>
      </c>
      <c r="H242" s="63">
        <v>0</v>
      </c>
      <c r="J242" s="57"/>
    </row>
    <row r="243" spans="1:10" ht="12.75" customHeight="1" x14ac:dyDescent="0.3">
      <c r="A243" s="8" t="s">
        <v>239</v>
      </c>
      <c r="B243" s="8">
        <v>1503050</v>
      </c>
      <c r="C243" s="8">
        <v>3.2</v>
      </c>
      <c r="D243" s="9" t="s">
        <v>240</v>
      </c>
      <c r="E243" s="59">
        <v>12</v>
      </c>
      <c r="F243" s="56" t="s">
        <v>34</v>
      </c>
      <c r="G243" s="63">
        <f t="shared" ref="G243" si="43">SUM(G241:G242)</f>
        <v>0</v>
      </c>
      <c r="H243" s="63">
        <f>SUM(H240:H242)</f>
        <v>0</v>
      </c>
      <c r="J243" s="57"/>
    </row>
    <row r="244" spans="1:10" x14ac:dyDescent="0.3">
      <c r="A244" s="8" t="s">
        <v>241</v>
      </c>
      <c r="B244" s="8">
        <v>1503050</v>
      </c>
      <c r="C244" s="8">
        <v>3.3</v>
      </c>
      <c r="D244" s="9" t="s">
        <v>242</v>
      </c>
      <c r="E244" s="59">
        <v>12</v>
      </c>
      <c r="F244" s="59" t="s">
        <v>34</v>
      </c>
      <c r="G244" s="63">
        <v>0</v>
      </c>
      <c r="H244" s="63">
        <v>0</v>
      </c>
      <c r="J244" s="57"/>
    </row>
    <row r="245" spans="1:10" x14ac:dyDescent="0.3">
      <c r="A245" s="8" t="s">
        <v>243</v>
      </c>
      <c r="B245" s="8">
        <v>1503050</v>
      </c>
      <c r="C245" s="8">
        <v>3.5</v>
      </c>
      <c r="D245" s="9" t="s">
        <v>2803</v>
      </c>
      <c r="E245" s="59">
        <v>12</v>
      </c>
      <c r="F245" s="56" t="s">
        <v>34</v>
      </c>
      <c r="G245" s="63">
        <f t="shared" ref="G245:G246" si="44">H245/E245</f>
        <v>0</v>
      </c>
      <c r="H245" s="63">
        <v>0</v>
      </c>
      <c r="J245" s="57"/>
    </row>
    <row r="246" spans="1:10" x14ac:dyDescent="0.3">
      <c r="A246" s="8" t="s">
        <v>244</v>
      </c>
      <c r="B246" s="8">
        <v>1503050</v>
      </c>
      <c r="C246" s="8">
        <v>3.6</v>
      </c>
      <c r="D246" s="172" t="s">
        <v>245</v>
      </c>
      <c r="E246" s="59">
        <v>12</v>
      </c>
      <c r="F246" s="56" t="s">
        <v>34</v>
      </c>
      <c r="G246" s="63">
        <f t="shared" si="44"/>
        <v>0</v>
      </c>
      <c r="H246" s="63">
        <v>0</v>
      </c>
      <c r="J246" s="57"/>
    </row>
    <row r="247" spans="1:10" x14ac:dyDescent="0.3">
      <c r="A247" s="8" t="s">
        <v>246</v>
      </c>
      <c r="B247" s="8">
        <v>1503050</v>
      </c>
      <c r="C247" s="146">
        <v>3.7</v>
      </c>
      <c r="D247" s="168" t="s">
        <v>247</v>
      </c>
      <c r="E247" s="59">
        <v>12</v>
      </c>
      <c r="F247" s="56" t="s">
        <v>34</v>
      </c>
      <c r="G247" s="63">
        <f t="shared" ref="G247" si="45">SUM(G245:G246)</f>
        <v>0</v>
      </c>
      <c r="H247" s="63">
        <f>SUM(H244:H246)</f>
        <v>0</v>
      </c>
      <c r="J247" s="57"/>
    </row>
    <row r="248" spans="1:10" ht="12.75" customHeight="1" x14ac:dyDescent="0.3">
      <c r="A248" s="13"/>
      <c r="B248" s="13"/>
      <c r="C248" s="147"/>
      <c r="D248" s="173" t="s">
        <v>248</v>
      </c>
      <c r="E248" s="193">
        <v>12</v>
      </c>
      <c r="F248" s="193" t="s">
        <v>34</v>
      </c>
      <c r="G248" s="190">
        <v>0</v>
      </c>
      <c r="H248" s="63">
        <v>0</v>
      </c>
      <c r="J248" s="57"/>
    </row>
    <row r="249" spans="1:10" x14ac:dyDescent="0.3">
      <c r="A249" s="13" t="s">
        <v>249</v>
      </c>
      <c r="B249" s="13">
        <v>1503050</v>
      </c>
      <c r="C249" s="147"/>
      <c r="D249" s="179" t="s">
        <v>2804</v>
      </c>
      <c r="E249" s="56"/>
      <c r="F249" s="56"/>
      <c r="G249" s="63"/>
      <c r="H249" s="63"/>
      <c r="J249" s="57"/>
    </row>
    <row r="250" spans="1:10" x14ac:dyDescent="0.3">
      <c r="A250" s="8" t="s">
        <v>250</v>
      </c>
      <c r="B250" s="8">
        <v>1503050</v>
      </c>
      <c r="C250" s="146">
        <v>3.1</v>
      </c>
      <c r="D250" s="170" t="s">
        <v>2805</v>
      </c>
      <c r="E250" s="194">
        <v>12</v>
      </c>
      <c r="F250" s="195" t="s">
        <v>34</v>
      </c>
      <c r="G250" s="196">
        <f t="shared" ref="G250:G251" si="46">H250/E250</f>
        <v>0</v>
      </c>
      <c r="H250" s="63">
        <v>0</v>
      </c>
      <c r="J250" s="57"/>
    </row>
    <row r="251" spans="1:10" x14ac:dyDescent="0.3">
      <c r="A251" s="8" t="s">
        <v>251</v>
      </c>
      <c r="B251" s="8">
        <v>1503050</v>
      </c>
      <c r="C251" s="146">
        <v>3.1</v>
      </c>
      <c r="D251" s="171" t="s">
        <v>252</v>
      </c>
      <c r="E251" s="59">
        <v>12</v>
      </c>
      <c r="F251" s="56" t="s">
        <v>34</v>
      </c>
      <c r="G251" s="63">
        <f t="shared" si="46"/>
        <v>0</v>
      </c>
      <c r="H251" s="63">
        <v>0</v>
      </c>
      <c r="J251" s="57"/>
    </row>
    <row r="252" spans="1:10" x14ac:dyDescent="0.3">
      <c r="A252" s="8" t="s">
        <v>253</v>
      </c>
      <c r="B252" s="8">
        <v>1503050</v>
      </c>
      <c r="C252" s="8">
        <v>3.1</v>
      </c>
      <c r="D252" s="166" t="s">
        <v>254</v>
      </c>
      <c r="E252" s="59">
        <v>12</v>
      </c>
      <c r="F252" s="56" t="s">
        <v>34</v>
      </c>
      <c r="G252" s="63">
        <f t="shared" ref="G252:H252" si="47">SUM(G250:G251)</f>
        <v>0</v>
      </c>
      <c r="H252" s="63">
        <f t="shared" si="47"/>
        <v>0</v>
      </c>
      <c r="J252" s="57"/>
    </row>
    <row r="253" spans="1:10" x14ac:dyDescent="0.3">
      <c r="A253" s="8" t="s">
        <v>255</v>
      </c>
      <c r="B253" s="8">
        <v>1503050</v>
      </c>
      <c r="C253" s="8">
        <v>3.2</v>
      </c>
      <c r="D253" s="60" t="s">
        <v>256</v>
      </c>
      <c r="E253" s="59">
        <v>12</v>
      </c>
      <c r="F253" s="59" t="s">
        <v>34</v>
      </c>
      <c r="G253" s="63">
        <v>0</v>
      </c>
      <c r="H253" s="63">
        <v>0</v>
      </c>
      <c r="J253" s="57"/>
    </row>
    <row r="254" spans="1:10" x14ac:dyDescent="0.3">
      <c r="A254" s="8" t="s">
        <v>257</v>
      </c>
      <c r="B254" s="8">
        <v>1503050</v>
      </c>
      <c r="C254" s="8">
        <v>3.3</v>
      </c>
      <c r="D254" s="9" t="s">
        <v>258</v>
      </c>
      <c r="E254" s="59">
        <v>12</v>
      </c>
      <c r="F254" s="56" t="s">
        <v>34</v>
      </c>
      <c r="G254" s="63">
        <f t="shared" ref="G254:G255" si="48">H254/E254</f>
        <v>0</v>
      </c>
      <c r="H254" s="63">
        <v>0</v>
      </c>
      <c r="J254" s="57"/>
    </row>
    <row r="255" spans="1:10" x14ac:dyDescent="0.3">
      <c r="A255" s="8" t="s">
        <v>259</v>
      </c>
      <c r="B255" s="8">
        <v>1503050</v>
      </c>
      <c r="C255" s="8">
        <v>3.5</v>
      </c>
      <c r="D255" s="9" t="s">
        <v>2806</v>
      </c>
      <c r="E255" s="59">
        <v>12</v>
      </c>
      <c r="F255" s="56" t="s">
        <v>34</v>
      </c>
      <c r="G255" s="63">
        <f t="shared" si="48"/>
        <v>0</v>
      </c>
      <c r="H255" s="63">
        <v>0</v>
      </c>
      <c r="J255" s="57"/>
    </row>
    <row r="256" spans="1:10" x14ac:dyDescent="0.3">
      <c r="A256" s="8" t="s">
        <v>260</v>
      </c>
      <c r="B256" s="8">
        <v>1503050</v>
      </c>
      <c r="C256" s="8">
        <v>3.6</v>
      </c>
      <c r="D256" s="172" t="s">
        <v>261</v>
      </c>
      <c r="E256" s="59">
        <v>12</v>
      </c>
      <c r="F256" s="56" t="s">
        <v>34</v>
      </c>
      <c r="G256" s="63">
        <f t="shared" ref="G256" si="49">SUM(G254:G255)</f>
        <v>0</v>
      </c>
      <c r="H256" s="63">
        <f>SUM(H253:H255)</f>
        <v>0</v>
      </c>
      <c r="J256" s="57"/>
    </row>
    <row r="257" spans="1:10" ht="12.75" customHeight="1" x14ac:dyDescent="0.3">
      <c r="A257" s="8" t="s">
        <v>262</v>
      </c>
      <c r="B257" s="8">
        <v>1503050</v>
      </c>
      <c r="C257" s="146">
        <v>3.7</v>
      </c>
      <c r="D257" s="168" t="s">
        <v>263</v>
      </c>
      <c r="E257" s="59">
        <v>12</v>
      </c>
      <c r="F257" s="56" t="s">
        <v>34</v>
      </c>
      <c r="G257" s="63">
        <v>0</v>
      </c>
      <c r="H257" s="63">
        <v>0</v>
      </c>
      <c r="J257" s="57"/>
    </row>
    <row r="258" spans="1:10" x14ac:dyDescent="0.3">
      <c r="A258" s="13"/>
      <c r="B258" s="13"/>
      <c r="C258" s="147"/>
      <c r="D258" s="173" t="s">
        <v>264</v>
      </c>
      <c r="E258" s="193">
        <v>12</v>
      </c>
      <c r="F258" s="189" t="s">
        <v>34</v>
      </c>
      <c r="G258" s="190">
        <f>G256+G247+G243+G239+G235</f>
        <v>0</v>
      </c>
      <c r="H258" s="63">
        <f>H256+H247+H243+H239+H235</f>
        <v>0</v>
      </c>
      <c r="J258" s="57" t="s">
        <v>14</v>
      </c>
    </row>
    <row r="259" spans="1:10" x14ac:dyDescent="0.3">
      <c r="A259" s="13" t="s">
        <v>265</v>
      </c>
      <c r="B259" s="13">
        <v>1503050</v>
      </c>
      <c r="C259" s="147"/>
      <c r="D259" s="179" t="s">
        <v>266</v>
      </c>
      <c r="E259" s="56"/>
      <c r="F259" s="56"/>
      <c r="G259" s="63"/>
      <c r="H259" s="63"/>
      <c r="J259" s="57" t="s">
        <v>14</v>
      </c>
    </row>
    <row r="260" spans="1:10" x14ac:dyDescent="0.3">
      <c r="A260" s="8" t="s">
        <v>267</v>
      </c>
      <c r="B260" s="8">
        <v>1503050</v>
      </c>
      <c r="C260" s="146">
        <v>3.1</v>
      </c>
      <c r="D260" s="170" t="s">
        <v>2807</v>
      </c>
      <c r="E260" s="194">
        <v>12</v>
      </c>
      <c r="F260" s="194" t="s">
        <v>34</v>
      </c>
      <c r="G260" s="196">
        <v>0</v>
      </c>
      <c r="H260" s="63">
        <v>0</v>
      </c>
      <c r="J260" s="57" t="s">
        <v>14</v>
      </c>
    </row>
    <row r="261" spans="1:10" x14ac:dyDescent="0.3">
      <c r="A261" s="8" t="s">
        <v>268</v>
      </c>
      <c r="B261" s="8">
        <v>1503050</v>
      </c>
      <c r="C261" s="146">
        <v>3.1</v>
      </c>
      <c r="D261" s="171" t="s">
        <v>269</v>
      </c>
      <c r="E261" s="59">
        <v>12</v>
      </c>
      <c r="F261" s="59" t="s">
        <v>34</v>
      </c>
      <c r="G261" s="63">
        <v>0</v>
      </c>
      <c r="H261" s="63">
        <v>0</v>
      </c>
      <c r="J261" s="57" t="s">
        <v>14</v>
      </c>
    </row>
    <row r="262" spans="1:10" x14ac:dyDescent="0.3">
      <c r="A262" s="8" t="s">
        <v>270</v>
      </c>
      <c r="B262" s="8">
        <v>1503050</v>
      </c>
      <c r="C262" s="146">
        <v>3.1</v>
      </c>
      <c r="D262" s="171" t="s">
        <v>271</v>
      </c>
      <c r="E262" s="59">
        <v>12</v>
      </c>
      <c r="F262" s="59" t="s">
        <v>34</v>
      </c>
      <c r="G262" s="63">
        <v>0</v>
      </c>
      <c r="H262" s="63">
        <v>0</v>
      </c>
      <c r="J262" s="57"/>
    </row>
    <row r="263" spans="1:10" x14ac:dyDescent="0.3">
      <c r="A263" s="8" t="s">
        <v>272</v>
      </c>
      <c r="B263" s="8">
        <v>1503050</v>
      </c>
      <c r="C263" s="8">
        <v>3.2</v>
      </c>
      <c r="D263" s="174" t="s">
        <v>273</v>
      </c>
      <c r="E263" s="59">
        <v>12</v>
      </c>
      <c r="F263" s="59" t="s">
        <v>34</v>
      </c>
      <c r="G263" s="63">
        <v>0</v>
      </c>
      <c r="H263" s="63">
        <v>0</v>
      </c>
      <c r="J263" s="57" t="s">
        <v>14</v>
      </c>
    </row>
    <row r="264" spans="1:10" x14ac:dyDescent="0.3">
      <c r="A264" s="8" t="s">
        <v>274</v>
      </c>
      <c r="B264" s="8">
        <v>1503050</v>
      </c>
      <c r="C264" s="8">
        <v>3.3</v>
      </c>
      <c r="D264" s="9" t="s">
        <v>275</v>
      </c>
      <c r="E264" s="59">
        <v>12</v>
      </c>
      <c r="F264" s="59" t="s">
        <v>34</v>
      </c>
      <c r="G264" s="63">
        <v>0</v>
      </c>
      <c r="H264" s="63">
        <v>0</v>
      </c>
      <c r="J264" s="57" t="s">
        <v>14</v>
      </c>
    </row>
    <row r="265" spans="1:10" ht="12.75" customHeight="1" x14ac:dyDescent="0.3">
      <c r="A265" s="8" t="s">
        <v>276</v>
      </c>
      <c r="B265" s="8">
        <v>1503050</v>
      </c>
      <c r="C265" s="8">
        <v>3.5</v>
      </c>
      <c r="D265" s="9" t="s">
        <v>2808</v>
      </c>
      <c r="E265" s="59">
        <v>12</v>
      </c>
      <c r="F265" s="59" t="s">
        <v>34</v>
      </c>
      <c r="G265" s="63">
        <v>0</v>
      </c>
      <c r="H265" s="63">
        <v>0</v>
      </c>
      <c r="J265" s="57"/>
    </row>
    <row r="266" spans="1:10" x14ac:dyDescent="0.3">
      <c r="A266" s="8" t="s">
        <v>277</v>
      </c>
      <c r="B266" s="8">
        <v>1503050</v>
      </c>
      <c r="C266" s="8">
        <v>3.6</v>
      </c>
      <c r="D266" s="172" t="s">
        <v>278</v>
      </c>
      <c r="E266" s="59">
        <v>12</v>
      </c>
      <c r="F266" s="56" t="s">
        <v>34</v>
      </c>
      <c r="G266" s="63">
        <f t="shared" ref="G266:G267" si="50">H266/E266</f>
        <v>0</v>
      </c>
      <c r="H266" s="63">
        <v>0</v>
      </c>
      <c r="J266" s="57"/>
    </row>
    <row r="267" spans="1:10" ht="12.75" customHeight="1" x14ac:dyDescent="0.3">
      <c r="A267" s="8" t="s">
        <v>279</v>
      </c>
      <c r="B267" s="8">
        <v>1503050</v>
      </c>
      <c r="C267" s="146">
        <v>3.7</v>
      </c>
      <c r="D267" s="168" t="s">
        <v>280</v>
      </c>
      <c r="E267" s="59">
        <v>12</v>
      </c>
      <c r="F267" s="56" t="s">
        <v>34</v>
      </c>
      <c r="G267" s="63">
        <f t="shared" si="50"/>
        <v>0</v>
      </c>
      <c r="H267" s="63">
        <v>0</v>
      </c>
      <c r="J267" s="57"/>
    </row>
    <row r="268" spans="1:10" x14ac:dyDescent="0.3">
      <c r="A268" s="13"/>
      <c r="B268" s="13"/>
      <c r="C268" s="147"/>
      <c r="D268" s="175" t="s">
        <v>281</v>
      </c>
      <c r="E268" s="59">
        <v>12</v>
      </c>
      <c r="F268" s="56" t="s">
        <v>34</v>
      </c>
      <c r="G268" s="63">
        <f t="shared" ref="G268" si="51">SUM(G266:G267)</f>
        <v>0</v>
      </c>
      <c r="H268" s="63">
        <f>SUM(H260:H267)</f>
        <v>0</v>
      </c>
      <c r="J268" s="57"/>
    </row>
    <row r="269" spans="1:10" x14ac:dyDescent="0.3">
      <c r="A269" s="13" t="s">
        <v>151</v>
      </c>
      <c r="B269" s="13">
        <v>1503050</v>
      </c>
      <c r="C269" s="147" t="s">
        <v>14</v>
      </c>
      <c r="D269" s="173" t="s">
        <v>282</v>
      </c>
      <c r="E269" s="193">
        <v>12</v>
      </c>
      <c r="F269" s="193" t="s">
        <v>34</v>
      </c>
      <c r="G269" s="190">
        <v>0</v>
      </c>
      <c r="H269" s="63">
        <v>0</v>
      </c>
      <c r="J269" s="57"/>
    </row>
    <row r="270" spans="1:10" x14ac:dyDescent="0.3">
      <c r="A270" s="13" t="s">
        <v>283</v>
      </c>
      <c r="B270" s="13"/>
      <c r="C270" s="147" t="s">
        <v>14</v>
      </c>
      <c r="D270" s="185" t="s">
        <v>284</v>
      </c>
      <c r="E270" s="56"/>
      <c r="F270" s="56"/>
      <c r="G270" s="63"/>
      <c r="H270" s="63"/>
      <c r="J270" s="57"/>
    </row>
    <row r="271" spans="1:10" x14ac:dyDescent="0.3">
      <c r="A271" s="13" t="s">
        <v>285</v>
      </c>
      <c r="B271" s="13">
        <v>1503050</v>
      </c>
      <c r="C271" s="147"/>
      <c r="D271" s="163" t="s">
        <v>2809</v>
      </c>
      <c r="E271" s="194">
        <v>12</v>
      </c>
      <c r="F271" s="195" t="s">
        <v>34</v>
      </c>
      <c r="G271" s="196">
        <f t="shared" ref="G271:G272" si="52">H271/E271</f>
        <v>0</v>
      </c>
      <c r="H271" s="63">
        <v>0</v>
      </c>
      <c r="J271" s="57"/>
    </row>
    <row r="272" spans="1:10" x14ac:dyDescent="0.3">
      <c r="A272" s="8" t="s">
        <v>286</v>
      </c>
      <c r="B272" s="8">
        <v>1503050</v>
      </c>
      <c r="C272" s="146">
        <v>3.1</v>
      </c>
      <c r="D272" s="170" t="s">
        <v>2810</v>
      </c>
      <c r="E272" s="59">
        <v>12</v>
      </c>
      <c r="F272" s="56" t="s">
        <v>34</v>
      </c>
      <c r="G272" s="63">
        <f t="shared" si="52"/>
        <v>0</v>
      </c>
      <c r="H272" s="63">
        <v>0</v>
      </c>
      <c r="J272" s="57"/>
    </row>
    <row r="273" spans="1:10" x14ac:dyDescent="0.3">
      <c r="A273" s="8" t="s">
        <v>287</v>
      </c>
      <c r="B273" s="8">
        <v>1503050</v>
      </c>
      <c r="C273" s="146">
        <v>3.1</v>
      </c>
      <c r="D273" s="171" t="s">
        <v>2811</v>
      </c>
      <c r="E273" s="59">
        <v>12</v>
      </c>
      <c r="F273" s="56" t="s">
        <v>34</v>
      </c>
      <c r="G273" s="63">
        <f t="shared" ref="G273:H273" si="53">SUM(G271:G272)</f>
        <v>0</v>
      </c>
      <c r="H273" s="63">
        <f t="shared" si="53"/>
        <v>0</v>
      </c>
      <c r="J273" s="57"/>
    </row>
    <row r="274" spans="1:10" ht="12.75" customHeight="1" x14ac:dyDescent="0.3">
      <c r="A274" s="8" t="s">
        <v>288</v>
      </c>
      <c r="B274" s="8">
        <v>1503050</v>
      </c>
      <c r="C274" s="8">
        <v>3.1</v>
      </c>
      <c r="D274" s="166" t="s">
        <v>289</v>
      </c>
      <c r="E274" s="59">
        <v>12</v>
      </c>
      <c r="F274" s="59" t="s">
        <v>34</v>
      </c>
      <c r="G274" s="63">
        <v>0</v>
      </c>
      <c r="H274" s="63">
        <v>0</v>
      </c>
      <c r="J274" s="57"/>
    </row>
    <row r="275" spans="1:10" x14ac:dyDescent="0.3">
      <c r="A275" s="8" t="s">
        <v>290</v>
      </c>
      <c r="B275" s="8">
        <v>1503050</v>
      </c>
      <c r="C275" s="8">
        <v>3.2</v>
      </c>
      <c r="D275" s="60" t="s">
        <v>291</v>
      </c>
      <c r="E275" s="59">
        <v>12</v>
      </c>
      <c r="F275" s="56" t="s">
        <v>34</v>
      </c>
      <c r="G275" s="63">
        <f t="shared" ref="G275:G276" si="54">H275/E275</f>
        <v>0</v>
      </c>
      <c r="H275" s="63">
        <v>0</v>
      </c>
      <c r="J275" s="57"/>
    </row>
    <row r="276" spans="1:10" ht="12.75" customHeight="1" x14ac:dyDescent="0.3">
      <c r="A276" s="8" t="s">
        <v>292</v>
      </c>
      <c r="B276" s="8">
        <v>1503050</v>
      </c>
      <c r="C276" s="8">
        <v>3.3</v>
      </c>
      <c r="D276" s="9" t="s">
        <v>2812</v>
      </c>
      <c r="E276" s="59">
        <v>12</v>
      </c>
      <c r="F276" s="56" t="s">
        <v>34</v>
      </c>
      <c r="G276" s="63">
        <f t="shared" si="54"/>
        <v>0</v>
      </c>
      <c r="H276" s="63">
        <v>0</v>
      </c>
      <c r="J276" s="57"/>
    </row>
    <row r="277" spans="1:10" x14ac:dyDescent="0.3">
      <c r="A277" s="8" t="s">
        <v>293</v>
      </c>
      <c r="B277" s="8">
        <v>1503050</v>
      </c>
      <c r="C277" s="8">
        <v>3.5</v>
      </c>
      <c r="D277" s="172" t="s">
        <v>2813</v>
      </c>
      <c r="E277" s="59">
        <v>12</v>
      </c>
      <c r="F277" s="56" t="s">
        <v>34</v>
      </c>
      <c r="G277" s="63">
        <f t="shared" ref="G277" si="55">SUM(G275:G276)</f>
        <v>0</v>
      </c>
      <c r="H277" s="63">
        <f>SUM(H274:H276)</f>
        <v>0</v>
      </c>
      <c r="J277" s="57"/>
    </row>
    <row r="278" spans="1:10" x14ac:dyDescent="0.3">
      <c r="A278" s="8" t="s">
        <v>294</v>
      </c>
      <c r="B278" s="8">
        <v>1503050</v>
      </c>
      <c r="C278" s="146">
        <v>3.6</v>
      </c>
      <c r="D278" s="168" t="s">
        <v>295</v>
      </c>
      <c r="E278" s="59">
        <v>12</v>
      </c>
      <c r="F278" s="59" t="s">
        <v>34</v>
      </c>
      <c r="G278" s="63">
        <v>0</v>
      </c>
      <c r="H278" s="63">
        <v>0</v>
      </c>
      <c r="J278" s="57"/>
    </row>
    <row r="279" spans="1:10" x14ac:dyDescent="0.3">
      <c r="A279" s="8" t="s">
        <v>296</v>
      </c>
      <c r="B279" s="8">
        <v>1503050</v>
      </c>
      <c r="C279" s="146">
        <v>3.7</v>
      </c>
      <c r="D279" s="168" t="s">
        <v>297</v>
      </c>
      <c r="E279" s="59">
        <v>12</v>
      </c>
      <c r="F279" s="56" t="s">
        <v>34</v>
      </c>
      <c r="G279" s="63">
        <f t="shared" ref="G279:G280" si="56">H279/E279</f>
        <v>0</v>
      </c>
      <c r="H279" s="63">
        <v>0</v>
      </c>
      <c r="J279" s="57"/>
    </row>
    <row r="280" spans="1:10" x14ac:dyDescent="0.3">
      <c r="A280" s="13"/>
      <c r="B280" s="13"/>
      <c r="C280" s="147"/>
      <c r="D280" s="173" t="s">
        <v>2814</v>
      </c>
      <c r="E280" s="193">
        <v>12</v>
      </c>
      <c r="F280" s="189" t="s">
        <v>34</v>
      </c>
      <c r="G280" s="190">
        <f t="shared" si="56"/>
        <v>0</v>
      </c>
      <c r="H280" s="63">
        <v>0</v>
      </c>
      <c r="J280" s="57"/>
    </row>
    <row r="281" spans="1:10" x14ac:dyDescent="0.3">
      <c r="A281" s="13" t="s">
        <v>298</v>
      </c>
      <c r="B281" s="13">
        <v>1503050</v>
      </c>
      <c r="C281" s="146"/>
      <c r="D281" s="179" t="s">
        <v>2815</v>
      </c>
      <c r="E281" s="59"/>
      <c r="F281" s="56"/>
      <c r="G281" s="63"/>
      <c r="H281" s="63"/>
      <c r="J281" s="57"/>
    </row>
    <row r="282" spans="1:10" ht="12.75" customHeight="1" x14ac:dyDescent="0.3">
      <c r="A282" s="8" t="s">
        <v>299</v>
      </c>
      <c r="B282" s="8">
        <v>1503050</v>
      </c>
      <c r="C282" s="8">
        <v>3.1</v>
      </c>
      <c r="D282" s="53" t="s">
        <v>2816</v>
      </c>
      <c r="E282" s="194">
        <v>12</v>
      </c>
      <c r="F282" s="195" t="s">
        <v>34</v>
      </c>
      <c r="G282" s="196">
        <f>G281+G277+G273+G268</f>
        <v>0</v>
      </c>
      <c r="H282" s="63">
        <f>H281+H277+H273+H268</f>
        <v>0</v>
      </c>
      <c r="J282" s="57" t="s">
        <v>14</v>
      </c>
    </row>
    <row r="283" spans="1:10" ht="12.75" customHeight="1" x14ac:dyDescent="0.3">
      <c r="A283" s="8" t="s">
        <v>300</v>
      </c>
      <c r="B283" s="8">
        <v>1503050</v>
      </c>
      <c r="C283" s="8">
        <v>3.1</v>
      </c>
      <c r="D283" s="152" t="s">
        <v>301</v>
      </c>
      <c r="E283" s="8">
        <v>12</v>
      </c>
      <c r="F283" s="8" t="s">
        <v>34</v>
      </c>
      <c r="G283" s="20">
        <f>G282+G258</f>
        <v>0</v>
      </c>
      <c r="H283" s="20">
        <f>H282+H258</f>
        <v>0</v>
      </c>
    </row>
    <row r="284" spans="1:10" ht="12.75" customHeight="1" x14ac:dyDescent="0.3">
      <c r="A284" s="8" t="s">
        <v>302</v>
      </c>
      <c r="B284" s="8">
        <v>1503050</v>
      </c>
      <c r="C284" s="8">
        <v>3.1</v>
      </c>
      <c r="D284" s="9" t="s">
        <v>303</v>
      </c>
      <c r="E284" s="8">
        <v>12</v>
      </c>
      <c r="F284" s="8" t="s">
        <v>34</v>
      </c>
      <c r="G284" s="20">
        <f>G283+G228</f>
        <v>0</v>
      </c>
      <c r="H284" s="20">
        <f>H283+H228</f>
        <v>0</v>
      </c>
    </row>
    <row r="285" spans="1:10" x14ac:dyDescent="0.3">
      <c r="A285" s="8" t="s">
        <v>304</v>
      </c>
      <c r="B285" s="8">
        <v>1503050</v>
      </c>
      <c r="C285" s="8">
        <v>3.2</v>
      </c>
      <c r="D285" s="152" t="s">
        <v>305</v>
      </c>
      <c r="E285" s="8">
        <v>12</v>
      </c>
      <c r="F285" s="8" t="s">
        <v>34</v>
      </c>
      <c r="G285" s="20">
        <v>0</v>
      </c>
      <c r="H285" s="20">
        <v>0</v>
      </c>
    </row>
    <row r="286" spans="1:10" x14ac:dyDescent="0.3">
      <c r="A286" s="8" t="s">
        <v>306</v>
      </c>
      <c r="B286" s="8">
        <v>1503050</v>
      </c>
      <c r="C286" s="8">
        <v>3.3</v>
      </c>
      <c r="D286" s="152" t="s">
        <v>2817</v>
      </c>
      <c r="E286" s="8">
        <v>12</v>
      </c>
      <c r="F286" s="8" t="s">
        <v>34</v>
      </c>
      <c r="G286" s="20">
        <v>0</v>
      </c>
      <c r="H286" s="20">
        <v>0</v>
      </c>
    </row>
    <row r="287" spans="1:10" x14ac:dyDescent="0.3">
      <c r="A287" s="8" t="s">
        <v>307</v>
      </c>
      <c r="B287" s="8">
        <v>1503050</v>
      </c>
      <c r="C287" s="8">
        <v>3.5</v>
      </c>
      <c r="D287" s="152" t="s">
        <v>2818</v>
      </c>
      <c r="E287" s="8">
        <v>12</v>
      </c>
      <c r="F287" s="8" t="s">
        <v>34</v>
      </c>
      <c r="G287" s="20">
        <v>0</v>
      </c>
      <c r="H287" s="20">
        <v>0</v>
      </c>
    </row>
    <row r="288" spans="1:10" x14ac:dyDescent="0.3">
      <c r="A288" s="8" t="s">
        <v>308</v>
      </c>
      <c r="B288" s="8">
        <v>1503050</v>
      </c>
      <c r="C288" s="8">
        <v>3.6</v>
      </c>
      <c r="D288" s="152" t="s">
        <v>309</v>
      </c>
      <c r="E288" s="8">
        <v>12</v>
      </c>
      <c r="F288" s="8" t="s">
        <v>34</v>
      </c>
      <c r="G288" s="20">
        <v>0</v>
      </c>
      <c r="H288" s="20">
        <v>0</v>
      </c>
    </row>
    <row r="289" spans="1:8" x14ac:dyDescent="0.3">
      <c r="A289" s="8" t="s">
        <v>310</v>
      </c>
      <c r="B289" s="8">
        <v>1503050</v>
      </c>
      <c r="C289" s="8">
        <v>3.7</v>
      </c>
      <c r="D289" s="152" t="s">
        <v>2819</v>
      </c>
      <c r="E289" s="8">
        <v>12</v>
      </c>
      <c r="F289" s="8" t="s">
        <v>34</v>
      </c>
      <c r="G289" s="20">
        <v>0</v>
      </c>
      <c r="H289" s="20">
        <v>0</v>
      </c>
    </row>
    <row r="290" spans="1:8" x14ac:dyDescent="0.3">
      <c r="A290" s="13"/>
      <c r="B290" s="13"/>
      <c r="C290" s="13"/>
      <c r="D290" s="155" t="s">
        <v>311</v>
      </c>
      <c r="E290" s="157">
        <v>12</v>
      </c>
      <c r="F290" s="157" t="s">
        <v>34</v>
      </c>
      <c r="G290" s="201">
        <v>0</v>
      </c>
      <c r="H290" s="20">
        <v>0</v>
      </c>
    </row>
    <row r="291" spans="1:8" x14ac:dyDescent="0.3">
      <c r="A291" s="13" t="s">
        <v>312</v>
      </c>
      <c r="B291" s="13">
        <v>1503050</v>
      </c>
      <c r="C291" s="147"/>
      <c r="D291" s="177" t="s">
        <v>2820</v>
      </c>
      <c r="E291" s="8"/>
      <c r="F291" s="8"/>
      <c r="G291" s="20"/>
      <c r="H291" s="20"/>
    </row>
    <row r="292" spans="1:8" x14ac:dyDescent="0.3">
      <c r="A292" s="8" t="s">
        <v>313</v>
      </c>
      <c r="B292" s="8">
        <v>1503050</v>
      </c>
      <c r="C292" s="146">
        <v>3.1</v>
      </c>
      <c r="D292" s="165" t="s">
        <v>2821</v>
      </c>
      <c r="E292" s="149">
        <v>12</v>
      </c>
      <c r="F292" s="149" t="s">
        <v>34</v>
      </c>
      <c r="G292" s="191">
        <v>0</v>
      </c>
      <c r="H292" s="20">
        <v>0</v>
      </c>
    </row>
    <row r="293" spans="1:8" x14ac:dyDescent="0.3">
      <c r="A293" s="8" t="s">
        <v>314</v>
      </c>
      <c r="B293" s="8">
        <v>1503050</v>
      </c>
      <c r="C293" s="146">
        <v>3.1</v>
      </c>
      <c r="D293" s="165" t="s">
        <v>315</v>
      </c>
      <c r="E293" s="8">
        <v>12</v>
      </c>
      <c r="F293" s="8" t="s">
        <v>34</v>
      </c>
      <c r="G293" s="20">
        <v>0</v>
      </c>
      <c r="H293" s="20">
        <v>0</v>
      </c>
    </row>
    <row r="294" spans="1:8" x14ac:dyDescent="0.3">
      <c r="A294" s="8" t="s">
        <v>316</v>
      </c>
      <c r="B294" s="8">
        <v>1503050</v>
      </c>
      <c r="C294" s="8">
        <v>3.1</v>
      </c>
      <c r="D294" s="150" t="s">
        <v>317</v>
      </c>
      <c r="E294" s="8">
        <v>12</v>
      </c>
      <c r="F294" s="8" t="s">
        <v>34</v>
      </c>
      <c r="G294" s="20">
        <v>0</v>
      </c>
      <c r="H294" s="20">
        <v>0</v>
      </c>
    </row>
    <row r="295" spans="1:8" x14ac:dyDescent="0.3">
      <c r="A295" s="8" t="s">
        <v>318</v>
      </c>
      <c r="B295" s="8">
        <v>1503050</v>
      </c>
      <c r="C295" s="8">
        <v>3.2</v>
      </c>
      <c r="D295" s="178" t="s">
        <v>319</v>
      </c>
      <c r="E295" s="8">
        <v>12</v>
      </c>
      <c r="F295" s="8" t="s">
        <v>34</v>
      </c>
      <c r="G295" s="20">
        <v>0</v>
      </c>
      <c r="H295" s="20">
        <v>0</v>
      </c>
    </row>
    <row r="296" spans="1:8" x14ac:dyDescent="0.3">
      <c r="A296" s="8" t="s">
        <v>320</v>
      </c>
      <c r="B296" s="8">
        <v>1503050</v>
      </c>
      <c r="C296" s="8">
        <v>3.3</v>
      </c>
      <c r="D296" s="152" t="s">
        <v>321</v>
      </c>
      <c r="E296" s="8">
        <v>12</v>
      </c>
      <c r="F296" s="8" t="s">
        <v>34</v>
      </c>
      <c r="G296" s="20">
        <v>0</v>
      </c>
      <c r="H296" s="20">
        <v>0</v>
      </c>
    </row>
    <row r="297" spans="1:8" x14ac:dyDescent="0.3">
      <c r="A297" s="8" t="s">
        <v>322</v>
      </c>
      <c r="B297" s="8">
        <v>1503050</v>
      </c>
      <c r="C297" s="8">
        <v>3.5</v>
      </c>
      <c r="D297" s="152" t="s">
        <v>2822</v>
      </c>
      <c r="E297" s="8">
        <v>12</v>
      </c>
      <c r="F297" s="8" t="s">
        <v>34</v>
      </c>
      <c r="G297" s="20">
        <v>0</v>
      </c>
      <c r="H297" s="20">
        <v>0</v>
      </c>
    </row>
    <row r="298" spans="1:8" x14ac:dyDescent="0.3">
      <c r="A298" s="8" t="s">
        <v>323</v>
      </c>
      <c r="B298" s="8">
        <v>1503050</v>
      </c>
      <c r="C298" s="8">
        <v>3.6</v>
      </c>
      <c r="D298" s="152" t="s">
        <v>324</v>
      </c>
      <c r="E298" s="8">
        <v>12</v>
      </c>
      <c r="F298" s="8" t="s">
        <v>34</v>
      </c>
      <c r="G298" s="20">
        <v>0</v>
      </c>
      <c r="H298" s="20">
        <v>0</v>
      </c>
    </row>
    <row r="299" spans="1:8" x14ac:dyDescent="0.3">
      <c r="A299" s="8" t="s">
        <v>325</v>
      </c>
      <c r="B299" s="8">
        <v>1503050</v>
      </c>
      <c r="C299" s="8">
        <v>3.7</v>
      </c>
      <c r="D299" s="152" t="s">
        <v>2823</v>
      </c>
      <c r="E299" s="8">
        <v>12</v>
      </c>
      <c r="F299" s="8" t="s">
        <v>34</v>
      </c>
      <c r="G299" s="20">
        <v>0</v>
      </c>
      <c r="H299" s="20">
        <v>0</v>
      </c>
    </row>
    <row r="300" spans="1:8" x14ac:dyDescent="0.3">
      <c r="A300" s="13"/>
      <c r="B300" s="13"/>
      <c r="C300" s="13"/>
      <c r="D300" s="155" t="s">
        <v>326</v>
      </c>
      <c r="E300" s="157">
        <v>12</v>
      </c>
      <c r="F300" s="157" t="s">
        <v>34</v>
      </c>
      <c r="G300" s="201">
        <v>0</v>
      </c>
      <c r="H300" s="20">
        <v>0</v>
      </c>
    </row>
    <row r="301" spans="1:8" x14ac:dyDescent="0.3">
      <c r="A301" s="13" t="s">
        <v>327</v>
      </c>
      <c r="B301" s="13">
        <v>1503050</v>
      </c>
      <c r="C301" s="146"/>
      <c r="D301" s="179" t="s">
        <v>2824</v>
      </c>
      <c r="E301" s="8"/>
      <c r="F301" s="8"/>
      <c r="G301" s="20"/>
      <c r="H301" s="20"/>
    </row>
    <row r="302" spans="1:8" x14ac:dyDescent="0.3">
      <c r="A302" s="8" t="s">
        <v>328</v>
      </c>
      <c r="B302" s="8">
        <v>1503050</v>
      </c>
      <c r="C302" s="146">
        <v>3.1</v>
      </c>
      <c r="D302" s="180" t="s">
        <v>2825</v>
      </c>
      <c r="E302" s="149">
        <v>12</v>
      </c>
      <c r="F302" s="149" t="s">
        <v>34</v>
      </c>
      <c r="G302" s="191">
        <v>0</v>
      </c>
      <c r="H302" s="20">
        <v>0</v>
      </c>
    </row>
    <row r="303" spans="1:8" x14ac:dyDescent="0.3">
      <c r="A303" s="8" t="s">
        <v>329</v>
      </c>
      <c r="B303" s="8">
        <v>1503050</v>
      </c>
      <c r="C303" s="146">
        <v>3.1</v>
      </c>
      <c r="D303" s="181" t="s">
        <v>330</v>
      </c>
      <c r="E303" s="8">
        <v>12</v>
      </c>
      <c r="F303" s="8" t="s">
        <v>34</v>
      </c>
      <c r="G303" s="20">
        <v>0</v>
      </c>
      <c r="H303" s="20">
        <v>0</v>
      </c>
    </row>
    <row r="304" spans="1:8" x14ac:dyDescent="0.3">
      <c r="A304" s="8" t="s">
        <v>331</v>
      </c>
      <c r="B304" s="8">
        <v>1503050</v>
      </c>
      <c r="C304" s="8">
        <v>3.1</v>
      </c>
      <c r="D304" s="53" t="s">
        <v>332</v>
      </c>
      <c r="E304" s="8">
        <v>12</v>
      </c>
      <c r="F304" s="8" t="s">
        <v>34</v>
      </c>
      <c r="G304" s="20">
        <v>0</v>
      </c>
      <c r="H304" s="20">
        <v>0</v>
      </c>
    </row>
    <row r="305" spans="1:8" x14ac:dyDescent="0.3">
      <c r="A305" s="8" t="s">
        <v>333</v>
      </c>
      <c r="B305" s="8">
        <v>1503050</v>
      </c>
      <c r="C305" s="8">
        <v>3.2</v>
      </c>
      <c r="D305" s="152" t="s">
        <v>334</v>
      </c>
      <c r="E305" s="8">
        <v>12</v>
      </c>
      <c r="F305" s="8" t="s">
        <v>34</v>
      </c>
      <c r="G305" s="20">
        <v>0</v>
      </c>
      <c r="H305" s="20">
        <v>0</v>
      </c>
    </row>
    <row r="306" spans="1:8" x14ac:dyDescent="0.3">
      <c r="A306" s="8" t="s">
        <v>335</v>
      </c>
      <c r="B306" s="8">
        <v>1503050</v>
      </c>
      <c r="C306" s="8">
        <v>3.3</v>
      </c>
      <c r="D306" s="152" t="s">
        <v>336</v>
      </c>
      <c r="E306" s="8">
        <v>12</v>
      </c>
      <c r="F306" s="8" t="s">
        <v>34</v>
      </c>
      <c r="G306" s="20">
        <v>0</v>
      </c>
      <c r="H306" s="20">
        <v>0</v>
      </c>
    </row>
    <row r="307" spans="1:8" x14ac:dyDescent="0.3">
      <c r="A307" s="8" t="s">
        <v>337</v>
      </c>
      <c r="B307" s="8">
        <v>1503050</v>
      </c>
      <c r="C307" s="8">
        <v>3.5</v>
      </c>
      <c r="D307" s="152" t="s">
        <v>2826</v>
      </c>
      <c r="E307" s="8">
        <v>12</v>
      </c>
      <c r="F307" s="8" t="s">
        <v>34</v>
      </c>
      <c r="G307" s="20">
        <v>0</v>
      </c>
      <c r="H307" s="20">
        <v>0</v>
      </c>
    </row>
    <row r="308" spans="1:8" x14ac:dyDescent="0.3">
      <c r="A308" s="8" t="s">
        <v>338</v>
      </c>
      <c r="B308" s="8">
        <v>1503050</v>
      </c>
      <c r="C308" s="8">
        <v>3.6</v>
      </c>
      <c r="D308" s="152" t="s">
        <v>339</v>
      </c>
      <c r="E308" s="8">
        <v>12</v>
      </c>
      <c r="F308" s="8" t="s">
        <v>34</v>
      </c>
      <c r="G308" s="20">
        <v>0</v>
      </c>
      <c r="H308" s="20">
        <v>0</v>
      </c>
    </row>
    <row r="309" spans="1:8" x14ac:dyDescent="0.3">
      <c r="A309" s="8" t="s">
        <v>340</v>
      </c>
      <c r="B309" s="8">
        <v>1503050</v>
      </c>
      <c r="C309" s="8">
        <v>3.7</v>
      </c>
      <c r="D309" s="152" t="s">
        <v>341</v>
      </c>
      <c r="E309" s="8">
        <v>12</v>
      </c>
      <c r="F309" s="8" t="s">
        <v>34</v>
      </c>
      <c r="G309" s="20">
        <v>0</v>
      </c>
      <c r="H309" s="20">
        <v>0</v>
      </c>
    </row>
    <row r="310" spans="1:8" x14ac:dyDescent="0.3">
      <c r="A310" s="13"/>
      <c r="B310" s="13"/>
      <c r="C310" s="13"/>
      <c r="D310" s="153" t="s">
        <v>342</v>
      </c>
      <c r="E310" s="8">
        <v>12</v>
      </c>
      <c r="F310" s="8" t="s">
        <v>34</v>
      </c>
      <c r="G310" s="20">
        <v>0</v>
      </c>
      <c r="H310" s="20">
        <v>0</v>
      </c>
    </row>
    <row r="311" spans="1:8" x14ac:dyDescent="0.3">
      <c r="A311" s="13" t="s">
        <v>283</v>
      </c>
      <c r="B311" s="13">
        <v>1503050</v>
      </c>
      <c r="C311" s="13" t="s">
        <v>14</v>
      </c>
      <c r="D311" s="153" t="s">
        <v>343</v>
      </c>
      <c r="E311" s="8">
        <v>12</v>
      </c>
      <c r="F311" s="8" t="s">
        <v>34</v>
      </c>
      <c r="G311" s="20">
        <v>0</v>
      </c>
      <c r="H311" s="20">
        <v>0</v>
      </c>
    </row>
    <row r="312" spans="1:8" x14ac:dyDescent="0.3">
      <c r="A312" s="214" t="s">
        <v>2827</v>
      </c>
      <c r="B312" s="214"/>
      <c r="C312" s="214"/>
      <c r="D312" s="215"/>
      <c r="E312" s="157">
        <v>12</v>
      </c>
      <c r="F312" s="157" t="s">
        <v>34</v>
      </c>
      <c r="G312" s="201">
        <v>0</v>
      </c>
      <c r="H312" s="20">
        <v>0</v>
      </c>
    </row>
    <row r="313" spans="1:8" x14ac:dyDescent="0.3">
      <c r="A313" s="212" t="s">
        <v>2828</v>
      </c>
      <c r="B313" s="212"/>
      <c r="C313" s="212"/>
      <c r="D313" s="213"/>
      <c r="E313" s="8"/>
      <c r="F313" s="8"/>
      <c r="G313" s="20"/>
      <c r="H313" s="205"/>
    </row>
    <row r="314" spans="1:8" x14ac:dyDescent="0.3">
      <c r="A314" s="160" t="s">
        <v>29</v>
      </c>
      <c r="B314" s="160"/>
      <c r="C314" s="161" t="s">
        <v>14</v>
      </c>
      <c r="D314" s="182" t="s">
        <v>2829</v>
      </c>
      <c r="E314" s="8"/>
      <c r="F314" s="8"/>
      <c r="G314" s="20"/>
      <c r="H314" s="20"/>
    </row>
    <row r="315" spans="1:8" x14ac:dyDescent="0.3">
      <c r="A315" s="13" t="s">
        <v>344</v>
      </c>
      <c r="B315" s="13">
        <v>1503060</v>
      </c>
      <c r="C315" s="147"/>
      <c r="D315" s="177" t="s">
        <v>2830</v>
      </c>
      <c r="E315" s="8"/>
      <c r="F315" s="8"/>
      <c r="G315" s="20"/>
      <c r="H315" s="20"/>
    </row>
    <row r="316" spans="1:8" x14ac:dyDescent="0.3">
      <c r="A316" s="8" t="s">
        <v>345</v>
      </c>
      <c r="B316" s="8">
        <v>1503060</v>
      </c>
      <c r="C316" s="146">
        <v>3.1</v>
      </c>
      <c r="D316" s="181" t="s">
        <v>346</v>
      </c>
      <c r="E316" s="149">
        <v>12</v>
      </c>
      <c r="F316" s="149" t="s">
        <v>34</v>
      </c>
      <c r="G316" s="191">
        <v>0</v>
      </c>
      <c r="H316" s="20">
        <v>0</v>
      </c>
    </row>
    <row r="317" spans="1:8" x14ac:dyDescent="0.3">
      <c r="A317" s="8" t="s">
        <v>347</v>
      </c>
      <c r="B317" s="8">
        <v>1503060</v>
      </c>
      <c r="C317" s="146">
        <v>3.2</v>
      </c>
      <c r="D317" s="181" t="s">
        <v>348</v>
      </c>
      <c r="E317" s="8">
        <v>12</v>
      </c>
      <c r="F317" s="8" t="s">
        <v>34</v>
      </c>
      <c r="G317" s="20">
        <v>0</v>
      </c>
      <c r="H317" s="20">
        <v>0</v>
      </c>
    </row>
    <row r="318" spans="1:8" x14ac:dyDescent="0.3">
      <c r="A318" s="13"/>
      <c r="B318" s="13"/>
      <c r="C318" s="147"/>
      <c r="D318" s="183" t="s">
        <v>349</v>
      </c>
      <c r="E318" s="8"/>
      <c r="F318" s="8"/>
      <c r="G318" s="20"/>
      <c r="H318" s="20"/>
    </row>
    <row r="319" spans="1:8" x14ac:dyDescent="0.3">
      <c r="A319" s="13" t="s">
        <v>350</v>
      </c>
      <c r="B319" s="13">
        <v>1503060</v>
      </c>
      <c r="C319" s="146"/>
      <c r="D319" s="177" t="s">
        <v>2831</v>
      </c>
      <c r="E319" s="8"/>
      <c r="F319" s="8"/>
      <c r="G319" s="20"/>
      <c r="H319" s="20"/>
    </row>
    <row r="320" spans="1:8" x14ac:dyDescent="0.3">
      <c r="A320" s="8" t="s">
        <v>351</v>
      </c>
      <c r="B320" s="8">
        <v>1503060</v>
      </c>
      <c r="C320" s="146">
        <v>3.1</v>
      </c>
      <c r="D320" s="181" t="s">
        <v>352</v>
      </c>
      <c r="E320" s="8">
        <v>12</v>
      </c>
      <c r="F320" s="8" t="s">
        <v>34</v>
      </c>
      <c r="G320" s="20">
        <v>0</v>
      </c>
      <c r="H320" s="20">
        <v>0</v>
      </c>
    </row>
    <row r="321" spans="1:8" x14ac:dyDescent="0.3">
      <c r="A321" s="8" t="s">
        <v>353</v>
      </c>
      <c r="B321" s="8">
        <v>1503060</v>
      </c>
      <c r="C321" s="146">
        <v>3.2</v>
      </c>
      <c r="D321" s="181" t="s">
        <v>354</v>
      </c>
      <c r="E321" s="8">
        <v>12</v>
      </c>
      <c r="F321" s="8" t="s">
        <v>34</v>
      </c>
      <c r="G321" s="20">
        <v>0</v>
      </c>
      <c r="H321" s="20">
        <v>0</v>
      </c>
    </row>
    <row r="322" spans="1:8" x14ac:dyDescent="0.3">
      <c r="A322" s="13"/>
      <c r="B322" s="13"/>
      <c r="C322" s="147"/>
      <c r="D322" s="183" t="s">
        <v>355</v>
      </c>
      <c r="E322" s="8"/>
      <c r="F322" s="8"/>
      <c r="G322" s="20"/>
      <c r="H322" s="20"/>
    </row>
    <row r="323" spans="1:8" x14ac:dyDescent="0.3">
      <c r="A323" s="13" t="s">
        <v>356</v>
      </c>
      <c r="B323" s="13">
        <v>1503060</v>
      </c>
      <c r="C323" s="147"/>
      <c r="D323" s="177" t="s">
        <v>2832</v>
      </c>
      <c r="E323" s="8"/>
      <c r="F323" s="8"/>
      <c r="G323" s="20"/>
      <c r="H323" s="20"/>
    </row>
    <row r="324" spans="1:8" x14ac:dyDescent="0.3">
      <c r="A324" s="8" t="s">
        <v>357</v>
      </c>
      <c r="B324" s="8">
        <v>1503060</v>
      </c>
      <c r="C324" s="146">
        <v>3.1</v>
      </c>
      <c r="D324" s="184" t="s">
        <v>2833</v>
      </c>
      <c r="E324" s="8">
        <v>12</v>
      </c>
      <c r="F324" s="8" t="s">
        <v>34</v>
      </c>
      <c r="G324" s="20">
        <v>0</v>
      </c>
      <c r="H324" s="20">
        <v>0</v>
      </c>
    </row>
    <row r="325" spans="1:8" x14ac:dyDescent="0.3">
      <c r="A325" s="8" t="s">
        <v>358</v>
      </c>
      <c r="B325" s="8">
        <v>1503060</v>
      </c>
      <c r="C325" s="146">
        <v>3.2</v>
      </c>
      <c r="D325" s="184" t="s">
        <v>2834</v>
      </c>
      <c r="E325" s="8">
        <v>12</v>
      </c>
      <c r="F325" s="8" t="s">
        <v>34</v>
      </c>
      <c r="G325" s="20">
        <v>0</v>
      </c>
      <c r="H325" s="20">
        <v>0</v>
      </c>
    </row>
    <row r="326" spans="1:8" x14ac:dyDescent="0.3">
      <c r="A326" s="13"/>
      <c r="B326" s="13"/>
      <c r="C326" s="147"/>
      <c r="D326" s="183" t="s">
        <v>359</v>
      </c>
      <c r="E326" s="8"/>
      <c r="F326" s="8"/>
      <c r="G326" s="20"/>
      <c r="H326" s="20"/>
    </row>
    <row r="327" spans="1:8" x14ac:dyDescent="0.3">
      <c r="A327" s="13" t="s">
        <v>360</v>
      </c>
      <c r="B327" s="13">
        <v>1503060</v>
      </c>
      <c r="C327" s="146"/>
      <c r="D327" s="177" t="s">
        <v>2835</v>
      </c>
      <c r="E327" s="8"/>
      <c r="F327" s="8"/>
      <c r="G327" s="20"/>
      <c r="H327" s="20"/>
    </row>
    <row r="328" spans="1:8" x14ac:dyDescent="0.3">
      <c r="A328" s="8" t="s">
        <v>361</v>
      </c>
      <c r="B328" s="8">
        <v>1503060</v>
      </c>
      <c r="C328" s="146">
        <v>3.1</v>
      </c>
      <c r="D328" s="181" t="s">
        <v>2836</v>
      </c>
      <c r="E328" s="8">
        <v>12</v>
      </c>
      <c r="F328" s="8" t="s">
        <v>34</v>
      </c>
      <c r="G328" s="20">
        <v>0</v>
      </c>
      <c r="H328" s="20">
        <v>0</v>
      </c>
    </row>
    <row r="329" spans="1:8" x14ac:dyDescent="0.3">
      <c r="A329" s="8" t="s">
        <v>362</v>
      </c>
      <c r="B329" s="8">
        <v>1503060</v>
      </c>
      <c r="C329" s="146">
        <v>3.2</v>
      </c>
      <c r="D329" s="181" t="s">
        <v>363</v>
      </c>
      <c r="E329" s="8">
        <v>12</v>
      </c>
      <c r="F329" s="8" t="s">
        <v>34</v>
      </c>
      <c r="G329" s="20">
        <v>0</v>
      </c>
      <c r="H329" s="20">
        <v>0</v>
      </c>
    </row>
    <row r="330" spans="1:8" x14ac:dyDescent="0.3">
      <c r="A330" s="13"/>
      <c r="B330" s="13"/>
      <c r="C330" s="147"/>
      <c r="D330" s="176" t="s">
        <v>364</v>
      </c>
      <c r="E330" s="8"/>
      <c r="F330" s="8"/>
      <c r="G330" s="20"/>
      <c r="H330" s="20"/>
    </row>
    <row r="331" spans="1:8" x14ac:dyDescent="0.3">
      <c r="A331" s="13" t="s">
        <v>365</v>
      </c>
      <c r="B331" s="13">
        <v>1503060</v>
      </c>
      <c r="C331" s="147"/>
      <c r="D331" s="177" t="s">
        <v>2837</v>
      </c>
      <c r="E331" s="8"/>
      <c r="F331" s="8"/>
      <c r="G331" s="20"/>
      <c r="H331" s="20"/>
    </row>
    <row r="332" spans="1:8" x14ac:dyDescent="0.3">
      <c r="A332" s="13" t="s">
        <v>366</v>
      </c>
      <c r="B332" s="13">
        <v>1503060</v>
      </c>
      <c r="C332" s="146"/>
      <c r="D332" s="177" t="s">
        <v>2838</v>
      </c>
      <c r="E332" s="8"/>
      <c r="F332" s="8"/>
      <c r="G332" s="20"/>
      <c r="H332" s="20"/>
    </row>
    <row r="333" spans="1:8" x14ac:dyDescent="0.3">
      <c r="A333" s="8" t="s">
        <v>367</v>
      </c>
      <c r="B333" s="8">
        <v>1503060</v>
      </c>
      <c r="C333" s="146">
        <v>3.1</v>
      </c>
      <c r="D333" s="181" t="s">
        <v>368</v>
      </c>
      <c r="E333" s="8">
        <v>12</v>
      </c>
      <c r="F333" s="8" t="s">
        <v>34</v>
      </c>
      <c r="G333" s="20">
        <v>0</v>
      </c>
      <c r="H333" s="20">
        <v>0</v>
      </c>
    </row>
    <row r="334" spans="1:8" x14ac:dyDescent="0.3">
      <c r="A334" s="8" t="s">
        <v>369</v>
      </c>
      <c r="B334" s="8">
        <v>1503060</v>
      </c>
      <c r="C334" s="146">
        <v>3.2</v>
      </c>
      <c r="D334" s="181" t="s">
        <v>370</v>
      </c>
      <c r="E334" s="8">
        <v>12</v>
      </c>
      <c r="F334" s="8" t="s">
        <v>34</v>
      </c>
      <c r="G334" s="20">
        <v>0</v>
      </c>
      <c r="H334" s="20">
        <v>0</v>
      </c>
    </row>
    <row r="335" spans="1:8" x14ac:dyDescent="0.3">
      <c r="A335" s="13"/>
      <c r="B335" s="13"/>
      <c r="C335" s="147"/>
      <c r="D335" s="183" t="s">
        <v>371</v>
      </c>
      <c r="E335" s="8"/>
      <c r="F335" s="8"/>
      <c r="G335" s="20"/>
      <c r="H335" s="20"/>
    </row>
    <row r="336" spans="1:8" x14ac:dyDescent="0.3">
      <c r="A336" s="13" t="s">
        <v>372</v>
      </c>
      <c r="B336" s="13">
        <v>1503060</v>
      </c>
      <c r="C336" s="146"/>
      <c r="D336" s="177" t="s">
        <v>2839</v>
      </c>
      <c r="E336" s="8"/>
      <c r="F336" s="8"/>
      <c r="G336" s="20"/>
      <c r="H336" s="20"/>
    </row>
    <row r="337" spans="1:8" x14ac:dyDescent="0.3">
      <c r="A337" s="8" t="s">
        <v>373</v>
      </c>
      <c r="B337" s="8">
        <v>1503060</v>
      </c>
      <c r="C337" s="146">
        <v>3.1</v>
      </c>
      <c r="D337" s="181" t="s">
        <v>374</v>
      </c>
      <c r="E337" s="8">
        <v>12</v>
      </c>
      <c r="F337" s="8" t="s">
        <v>34</v>
      </c>
      <c r="G337" s="20">
        <v>0</v>
      </c>
      <c r="H337" s="20">
        <v>0</v>
      </c>
    </row>
    <row r="338" spans="1:8" x14ac:dyDescent="0.3">
      <c r="A338" s="8" t="s">
        <v>375</v>
      </c>
      <c r="B338" s="8">
        <v>1503060</v>
      </c>
      <c r="C338" s="146">
        <v>3.2</v>
      </c>
      <c r="D338" s="181" t="s">
        <v>2840</v>
      </c>
      <c r="E338" s="8">
        <v>12</v>
      </c>
      <c r="F338" s="8" t="s">
        <v>34</v>
      </c>
      <c r="G338" s="20">
        <v>0</v>
      </c>
      <c r="H338" s="20">
        <v>0</v>
      </c>
    </row>
    <row r="339" spans="1:8" x14ac:dyDescent="0.3">
      <c r="A339" s="13"/>
      <c r="B339" s="13"/>
      <c r="C339" s="147"/>
      <c r="D339" s="176" t="s">
        <v>376</v>
      </c>
      <c r="E339" s="8">
        <v>12</v>
      </c>
      <c r="F339" s="8" t="s">
        <v>34</v>
      </c>
      <c r="G339" s="20">
        <v>0</v>
      </c>
      <c r="H339" s="20">
        <v>0</v>
      </c>
    </row>
    <row r="340" spans="1:8" x14ac:dyDescent="0.3">
      <c r="A340" s="13" t="s">
        <v>377</v>
      </c>
      <c r="B340" s="13">
        <v>1503060</v>
      </c>
      <c r="C340" s="13"/>
      <c r="D340" s="154" t="s">
        <v>2841</v>
      </c>
      <c r="E340" s="8"/>
      <c r="F340" s="8"/>
      <c r="G340" s="20"/>
      <c r="H340" s="20"/>
    </row>
    <row r="341" spans="1:8" x14ac:dyDescent="0.3">
      <c r="A341" s="13" t="s">
        <v>29</v>
      </c>
      <c r="B341" s="13">
        <v>1503060</v>
      </c>
      <c r="C341" s="13" t="s">
        <v>14</v>
      </c>
      <c r="D341" s="155" t="s">
        <v>2842</v>
      </c>
      <c r="E341" s="8">
        <v>12</v>
      </c>
      <c r="F341" s="8" t="s">
        <v>34</v>
      </c>
      <c r="G341" s="20">
        <v>0</v>
      </c>
      <c r="H341" s="20">
        <v>0</v>
      </c>
    </row>
    <row r="342" spans="1:8" x14ac:dyDescent="0.3">
      <c r="A342" s="13" t="s">
        <v>147</v>
      </c>
      <c r="B342" s="13">
        <v>1503060</v>
      </c>
      <c r="C342" s="147" t="s">
        <v>14</v>
      </c>
      <c r="D342" s="185" t="s">
        <v>2843</v>
      </c>
      <c r="E342" s="8"/>
      <c r="F342" s="8"/>
      <c r="G342" s="20"/>
      <c r="H342" s="20"/>
    </row>
    <row r="343" spans="1:8" x14ac:dyDescent="0.3">
      <c r="A343" s="13" t="s">
        <v>378</v>
      </c>
      <c r="B343" s="13">
        <v>1503060</v>
      </c>
      <c r="C343" s="147" t="s">
        <v>14</v>
      </c>
      <c r="D343" s="185" t="s">
        <v>2844</v>
      </c>
      <c r="E343" s="8"/>
      <c r="F343" s="8"/>
      <c r="G343" s="20"/>
      <c r="H343" s="20"/>
    </row>
    <row r="344" spans="1:8" x14ac:dyDescent="0.3">
      <c r="A344" s="13" t="s">
        <v>149</v>
      </c>
      <c r="B344" s="13">
        <v>1503060</v>
      </c>
      <c r="C344" s="147" t="s">
        <v>14</v>
      </c>
      <c r="D344" s="185" t="s">
        <v>2784</v>
      </c>
      <c r="E344" s="8"/>
      <c r="F344" s="8"/>
      <c r="G344" s="20"/>
      <c r="H344" s="20"/>
    </row>
    <row r="345" spans="1:8" x14ac:dyDescent="0.3">
      <c r="A345" s="13" t="s">
        <v>150</v>
      </c>
      <c r="B345" s="13">
        <v>1503060</v>
      </c>
      <c r="C345" s="147"/>
      <c r="D345" s="185" t="s">
        <v>2785</v>
      </c>
      <c r="E345" s="8"/>
      <c r="F345" s="8"/>
      <c r="G345" s="20"/>
      <c r="H345" s="20"/>
    </row>
    <row r="346" spans="1:8" x14ac:dyDescent="0.3">
      <c r="A346" s="13" t="s">
        <v>151</v>
      </c>
      <c r="B346" s="13">
        <v>1503060</v>
      </c>
      <c r="C346" s="147" t="s">
        <v>14</v>
      </c>
      <c r="D346" s="186" t="s">
        <v>2845</v>
      </c>
      <c r="E346" s="8"/>
      <c r="F346" s="8"/>
      <c r="G346" s="20"/>
      <c r="H346" s="20"/>
    </row>
    <row r="347" spans="1:8" x14ac:dyDescent="0.3">
      <c r="A347" s="13" t="s">
        <v>283</v>
      </c>
      <c r="B347" s="13">
        <v>1503060</v>
      </c>
      <c r="C347" s="147" t="s">
        <v>14</v>
      </c>
      <c r="D347" s="182" t="s">
        <v>284</v>
      </c>
      <c r="E347" s="8"/>
      <c r="F347" s="8"/>
      <c r="G347" s="20"/>
      <c r="H347" s="20"/>
    </row>
    <row r="348" spans="1:8" x14ac:dyDescent="0.3">
      <c r="A348" s="13" t="s">
        <v>379</v>
      </c>
      <c r="B348" s="13">
        <v>1503060</v>
      </c>
      <c r="C348" s="147"/>
      <c r="D348" s="177" t="s">
        <v>2846</v>
      </c>
      <c r="E348" s="8"/>
      <c r="F348" s="8"/>
      <c r="G348" s="20"/>
      <c r="H348" s="20"/>
    </row>
    <row r="349" spans="1:8" x14ac:dyDescent="0.3">
      <c r="A349" s="8" t="s">
        <v>380</v>
      </c>
      <c r="B349" s="8">
        <v>1503060</v>
      </c>
      <c r="C349" s="146">
        <v>3.1</v>
      </c>
      <c r="D349" s="165" t="s">
        <v>2847</v>
      </c>
      <c r="E349" s="8">
        <v>12</v>
      </c>
      <c r="F349" s="8" t="s">
        <v>34</v>
      </c>
      <c r="G349" s="20">
        <v>0</v>
      </c>
      <c r="H349" s="20">
        <v>0</v>
      </c>
    </row>
    <row r="350" spans="1:8" x14ac:dyDescent="0.3">
      <c r="A350" s="8" t="s">
        <v>381</v>
      </c>
      <c r="B350" s="8">
        <v>1503060</v>
      </c>
      <c r="C350" s="146">
        <v>3.2</v>
      </c>
      <c r="D350" s="184" t="s">
        <v>382</v>
      </c>
      <c r="E350" s="8">
        <v>12</v>
      </c>
      <c r="F350" s="8" t="s">
        <v>34</v>
      </c>
      <c r="G350" s="20">
        <v>0</v>
      </c>
      <c r="H350" s="20">
        <v>0</v>
      </c>
    </row>
    <row r="351" spans="1:8" x14ac:dyDescent="0.3">
      <c r="A351" s="13"/>
      <c r="B351" s="13"/>
      <c r="C351" s="147"/>
      <c r="D351" s="183" t="s">
        <v>2848</v>
      </c>
      <c r="E351" s="8"/>
      <c r="F351" s="8"/>
      <c r="G351" s="20"/>
      <c r="H351" s="20"/>
    </row>
    <row r="352" spans="1:8" x14ac:dyDescent="0.3">
      <c r="A352" s="13" t="s">
        <v>383</v>
      </c>
      <c r="B352" s="13">
        <v>1503060</v>
      </c>
      <c r="C352" s="146"/>
      <c r="D352" s="177" t="s">
        <v>2849</v>
      </c>
      <c r="E352" s="8"/>
      <c r="F352" s="8"/>
      <c r="G352" s="20"/>
      <c r="H352" s="20"/>
    </row>
    <row r="353" spans="1:8" x14ac:dyDescent="0.3">
      <c r="A353" s="8" t="s">
        <v>384</v>
      </c>
      <c r="B353" s="8">
        <v>1503060</v>
      </c>
      <c r="C353" s="146">
        <v>3.1</v>
      </c>
      <c r="D353" s="181" t="s">
        <v>385</v>
      </c>
      <c r="E353" s="8">
        <v>12</v>
      </c>
      <c r="F353" s="8" t="s">
        <v>34</v>
      </c>
      <c r="G353" s="20">
        <v>0</v>
      </c>
      <c r="H353" s="20">
        <v>0</v>
      </c>
    </row>
    <row r="354" spans="1:8" x14ac:dyDescent="0.3">
      <c r="A354" s="8" t="s">
        <v>386</v>
      </c>
      <c r="B354" s="8">
        <v>1503060</v>
      </c>
      <c r="C354" s="146">
        <v>3.2</v>
      </c>
      <c r="D354" s="181" t="s">
        <v>2850</v>
      </c>
      <c r="E354" s="8">
        <v>12</v>
      </c>
      <c r="F354" s="8" t="s">
        <v>34</v>
      </c>
      <c r="G354" s="20">
        <v>0</v>
      </c>
      <c r="H354" s="20">
        <v>0</v>
      </c>
    </row>
    <row r="355" spans="1:8" x14ac:dyDescent="0.3">
      <c r="A355" s="13"/>
      <c r="B355" s="13"/>
      <c r="C355" s="147"/>
      <c r="D355" s="183" t="s">
        <v>387</v>
      </c>
      <c r="E355" s="8"/>
      <c r="F355" s="8"/>
      <c r="G355" s="20"/>
      <c r="H355" s="20"/>
    </row>
    <row r="356" spans="1:8" x14ac:dyDescent="0.3">
      <c r="A356" s="13" t="s">
        <v>388</v>
      </c>
      <c r="B356" s="13">
        <v>1503060</v>
      </c>
      <c r="C356" s="147"/>
      <c r="D356" s="177" t="s">
        <v>2851</v>
      </c>
      <c r="E356" s="8"/>
      <c r="F356" s="8"/>
      <c r="G356" s="20"/>
      <c r="H356" s="20"/>
    </row>
    <row r="357" spans="1:8" x14ac:dyDescent="0.3">
      <c r="A357" s="8" t="s">
        <v>389</v>
      </c>
      <c r="B357" s="8">
        <v>1503060</v>
      </c>
      <c r="C357" s="146">
        <v>3.1</v>
      </c>
      <c r="D357" s="165" t="s">
        <v>390</v>
      </c>
      <c r="E357" s="8">
        <v>12</v>
      </c>
      <c r="F357" s="8" t="s">
        <v>34</v>
      </c>
      <c r="G357" s="20">
        <v>0</v>
      </c>
      <c r="H357" s="20">
        <v>0</v>
      </c>
    </row>
    <row r="358" spans="1:8" x14ac:dyDescent="0.3">
      <c r="A358" s="8" t="s">
        <v>391</v>
      </c>
      <c r="B358" s="8">
        <v>1503060</v>
      </c>
      <c r="C358" s="146">
        <v>3.2</v>
      </c>
      <c r="D358" s="184" t="s">
        <v>2852</v>
      </c>
      <c r="E358" s="8">
        <v>12</v>
      </c>
      <c r="F358" s="8" t="s">
        <v>34</v>
      </c>
      <c r="G358" s="20">
        <v>0</v>
      </c>
      <c r="H358" s="20">
        <v>0</v>
      </c>
    </row>
    <row r="359" spans="1:8" x14ac:dyDescent="0.3">
      <c r="A359" s="13"/>
      <c r="B359" s="13"/>
      <c r="C359" s="147"/>
      <c r="D359" s="183" t="s">
        <v>392</v>
      </c>
      <c r="E359" s="8">
        <v>12</v>
      </c>
      <c r="F359" s="8" t="s">
        <v>34</v>
      </c>
      <c r="G359" s="20">
        <v>0</v>
      </c>
      <c r="H359" s="20">
        <v>0</v>
      </c>
    </row>
    <row r="360" spans="1:8" x14ac:dyDescent="0.3">
      <c r="A360" s="13" t="s">
        <v>393</v>
      </c>
      <c r="B360" s="13">
        <v>1503060</v>
      </c>
      <c r="C360" s="146"/>
      <c r="D360" s="177" t="s">
        <v>2853</v>
      </c>
      <c r="E360" s="8"/>
      <c r="F360" s="8"/>
      <c r="G360" s="20"/>
      <c r="H360" s="20"/>
    </row>
    <row r="361" spans="1:8" x14ac:dyDescent="0.3">
      <c r="A361" s="8" t="s">
        <v>394</v>
      </c>
      <c r="B361" s="8">
        <v>1503060</v>
      </c>
      <c r="C361" s="146">
        <v>3.1</v>
      </c>
      <c r="D361" s="181" t="s">
        <v>395</v>
      </c>
      <c r="E361" s="8">
        <v>12</v>
      </c>
      <c r="F361" s="8" t="s">
        <v>34</v>
      </c>
      <c r="G361" s="20">
        <v>0</v>
      </c>
      <c r="H361" s="20">
        <v>0</v>
      </c>
    </row>
    <row r="362" spans="1:8" x14ac:dyDescent="0.3">
      <c r="A362" s="8" t="s">
        <v>396</v>
      </c>
      <c r="B362" s="8">
        <v>1503060</v>
      </c>
      <c r="C362" s="146">
        <v>3.2</v>
      </c>
      <c r="D362" s="181" t="s">
        <v>2854</v>
      </c>
      <c r="E362" s="8">
        <v>12</v>
      </c>
      <c r="F362" s="8" t="s">
        <v>34</v>
      </c>
      <c r="G362" s="20">
        <v>0</v>
      </c>
      <c r="H362" s="20">
        <v>0</v>
      </c>
    </row>
    <row r="363" spans="1:8" x14ac:dyDescent="0.3">
      <c r="A363" s="13"/>
      <c r="B363" s="13"/>
      <c r="C363" s="13"/>
      <c r="D363" s="187" t="s">
        <v>397</v>
      </c>
      <c r="E363" s="8">
        <v>12</v>
      </c>
      <c r="F363" s="8" t="s">
        <v>34</v>
      </c>
      <c r="G363" s="20">
        <v>0</v>
      </c>
      <c r="H363" s="20">
        <v>0</v>
      </c>
    </row>
    <row r="364" spans="1:8" x14ac:dyDescent="0.3">
      <c r="A364" s="13" t="s">
        <v>283</v>
      </c>
      <c r="B364" s="13">
        <v>1503060</v>
      </c>
      <c r="C364" s="13" t="s">
        <v>14</v>
      </c>
      <c r="D364" s="153" t="s">
        <v>2855</v>
      </c>
      <c r="E364" s="8">
        <v>12</v>
      </c>
      <c r="F364" s="8" t="s">
        <v>34</v>
      </c>
      <c r="G364" s="20">
        <v>0</v>
      </c>
      <c r="H364" s="20">
        <v>0</v>
      </c>
    </row>
    <row r="365" spans="1:8" x14ac:dyDescent="0.3">
      <c r="A365" s="214" t="s">
        <v>2856</v>
      </c>
      <c r="B365" s="214"/>
      <c r="C365" s="214"/>
      <c r="D365" s="215"/>
      <c r="E365" s="8">
        <v>12</v>
      </c>
      <c r="F365" s="8" t="s">
        <v>34</v>
      </c>
      <c r="G365" s="20">
        <v>0</v>
      </c>
      <c r="H365" s="20">
        <v>0</v>
      </c>
    </row>
    <row r="366" spans="1:8" x14ac:dyDescent="0.3">
      <c r="A366" s="214" t="s">
        <v>2857</v>
      </c>
      <c r="B366" s="214"/>
      <c r="C366" s="214"/>
      <c r="D366" s="215"/>
      <c r="E366" s="8">
        <v>12</v>
      </c>
      <c r="F366" s="8" t="s">
        <v>34</v>
      </c>
      <c r="G366" s="20">
        <v>0</v>
      </c>
      <c r="H366" s="20">
        <v>0</v>
      </c>
    </row>
  </sheetData>
  <mergeCells count="5">
    <mergeCell ref="A313:D313"/>
    <mergeCell ref="A365:D365"/>
    <mergeCell ref="A366:D366"/>
    <mergeCell ref="A312:D312"/>
    <mergeCell ref="A9:D9"/>
  </mergeCells>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59999389629810485"/>
  </sheetPr>
  <dimension ref="A1:G160"/>
  <sheetViews>
    <sheetView workbookViewId="0">
      <selection activeCell="D3" sqref="D3"/>
    </sheetView>
  </sheetViews>
  <sheetFormatPr defaultColWidth="9.1796875" defaultRowHeight="13" x14ac:dyDescent="0.3"/>
  <cols>
    <col min="1" max="1" width="6.26953125" style="49" customWidth="1"/>
    <col min="2" max="2" width="15.7265625" style="49" customWidth="1"/>
    <col min="3" max="3" width="50.7265625" style="18" customWidth="1"/>
    <col min="4" max="4" width="11.7265625" style="50" customWidth="1"/>
    <col min="5" max="5" width="6.7265625" style="49" customWidth="1"/>
    <col min="6" max="6" width="11.7265625" style="18" customWidth="1"/>
    <col min="7" max="7" width="13.7265625" style="18" customWidth="1"/>
    <col min="8" max="9" width="10.7265625" style="18" customWidth="1"/>
    <col min="10" max="10" width="9.81640625" style="18" customWidth="1"/>
    <col min="11" max="16384" width="9.1796875" style="18"/>
  </cols>
  <sheetData>
    <row r="1" spans="1:7" x14ac:dyDescent="0.3">
      <c r="A1" s="21"/>
      <c r="B1" s="22"/>
      <c r="C1" s="79" t="s">
        <v>0</v>
      </c>
      <c r="D1" s="23"/>
      <c r="E1" s="22"/>
      <c r="F1" s="24"/>
      <c r="G1" s="25"/>
    </row>
    <row r="2" spans="1:7" x14ac:dyDescent="0.3">
      <c r="A2" s="26"/>
      <c r="B2" s="17"/>
      <c r="C2" s="81" t="s">
        <v>1</v>
      </c>
      <c r="D2" s="27"/>
      <c r="E2" s="17"/>
      <c r="F2" s="16"/>
      <c r="G2" s="28"/>
    </row>
    <row r="3" spans="1:7" x14ac:dyDescent="0.3">
      <c r="A3" s="26"/>
      <c r="B3" s="17"/>
      <c r="C3" s="81" t="s">
        <v>398</v>
      </c>
      <c r="D3" s="27"/>
      <c r="E3" s="17"/>
      <c r="F3" s="16"/>
      <c r="G3" s="28"/>
    </row>
    <row r="4" spans="1:7" x14ac:dyDescent="0.3">
      <c r="A4" s="26"/>
      <c r="B4" s="17"/>
      <c r="C4" s="81" t="s">
        <v>3</v>
      </c>
      <c r="D4" s="27"/>
      <c r="E4" s="17"/>
      <c r="F4" s="16"/>
      <c r="G4" s="28"/>
    </row>
    <row r="5" spans="1:7" x14ac:dyDescent="0.3">
      <c r="A5" s="219" t="s">
        <v>399</v>
      </c>
      <c r="B5" s="220"/>
      <c r="C5" s="220"/>
      <c r="D5" s="27"/>
      <c r="E5" s="17"/>
      <c r="F5" s="16"/>
      <c r="G5" s="28"/>
    </row>
    <row r="6" spans="1:7" x14ac:dyDescent="0.3">
      <c r="A6" s="219" t="s">
        <v>400</v>
      </c>
      <c r="B6" s="220"/>
      <c r="C6" s="220"/>
      <c r="D6" s="27"/>
      <c r="E6" s="17"/>
      <c r="F6" s="16"/>
      <c r="G6" s="28"/>
    </row>
    <row r="7" spans="1:7" x14ac:dyDescent="0.3">
      <c r="A7" s="221" t="s">
        <v>401</v>
      </c>
      <c r="B7" s="222"/>
      <c r="C7" s="222"/>
      <c r="D7" s="29"/>
      <c r="E7" s="30"/>
      <c r="F7" s="31"/>
      <c r="G7" s="32"/>
    </row>
    <row r="8" spans="1:7" x14ac:dyDescent="0.3">
      <c r="A8" s="223"/>
      <c r="B8" s="224"/>
      <c r="C8" s="224"/>
      <c r="D8" s="224"/>
      <c r="E8" s="224"/>
      <c r="F8" s="224"/>
      <c r="G8" s="225"/>
    </row>
    <row r="9" spans="1:7" x14ac:dyDescent="0.3">
      <c r="A9" s="33"/>
      <c r="B9" s="33"/>
      <c r="C9" s="33"/>
      <c r="D9" s="34"/>
      <c r="E9" s="8"/>
      <c r="F9" s="19"/>
      <c r="G9" s="19"/>
    </row>
    <row r="10" spans="1:7" ht="26" x14ac:dyDescent="0.3">
      <c r="A10" s="35" t="s">
        <v>402</v>
      </c>
      <c r="B10" s="84" t="s">
        <v>403</v>
      </c>
      <c r="C10" s="36" t="s">
        <v>404</v>
      </c>
      <c r="D10" s="37" t="s">
        <v>405</v>
      </c>
      <c r="E10" s="38" t="s">
        <v>406</v>
      </c>
      <c r="F10" s="38" t="s">
        <v>27</v>
      </c>
      <c r="G10" s="84" t="s">
        <v>7</v>
      </c>
    </row>
    <row r="11" spans="1:7" ht="39" x14ac:dyDescent="0.3">
      <c r="A11" s="39" t="s">
        <v>407</v>
      </c>
      <c r="B11" s="40" t="s">
        <v>408</v>
      </c>
      <c r="C11" s="40" t="s">
        <v>409</v>
      </c>
      <c r="D11" s="41">
        <v>10000</v>
      </c>
      <c r="E11" s="42" t="s">
        <v>410</v>
      </c>
      <c r="F11" s="43">
        <v>0</v>
      </c>
      <c r="G11" s="44">
        <f>D11*F11</f>
        <v>0</v>
      </c>
    </row>
    <row r="12" spans="1:7" ht="39" x14ac:dyDescent="0.3">
      <c r="A12" s="39" t="s">
        <v>411</v>
      </c>
      <c r="B12" s="40" t="s">
        <v>412</v>
      </c>
      <c r="C12" s="40" t="s">
        <v>413</v>
      </c>
      <c r="D12" s="45">
        <v>500</v>
      </c>
      <c r="E12" s="46" t="s">
        <v>414</v>
      </c>
      <c r="F12" s="43">
        <v>0</v>
      </c>
      <c r="G12" s="44">
        <f t="shared" ref="G12:G75" si="0">D12*F12</f>
        <v>0</v>
      </c>
    </row>
    <row r="13" spans="1:7" ht="39" x14ac:dyDescent="0.3">
      <c r="A13" s="39" t="s">
        <v>415</v>
      </c>
      <c r="B13" s="40" t="s">
        <v>416</v>
      </c>
      <c r="C13" s="40" t="s">
        <v>417</v>
      </c>
      <c r="D13" s="45">
        <v>1000</v>
      </c>
      <c r="E13" s="46" t="s">
        <v>414</v>
      </c>
      <c r="F13" s="43">
        <v>0</v>
      </c>
      <c r="G13" s="44">
        <f t="shared" si="0"/>
        <v>0</v>
      </c>
    </row>
    <row r="14" spans="1:7" ht="26" x14ac:dyDescent="0.3">
      <c r="A14" s="39" t="s">
        <v>418</v>
      </c>
      <c r="B14" s="40" t="s">
        <v>419</v>
      </c>
      <c r="C14" s="40" t="s">
        <v>420</v>
      </c>
      <c r="D14" s="45">
        <v>50000</v>
      </c>
      <c r="E14" s="46" t="s">
        <v>421</v>
      </c>
      <c r="F14" s="43">
        <v>0</v>
      </c>
      <c r="G14" s="44">
        <f t="shared" si="0"/>
        <v>0</v>
      </c>
    </row>
    <row r="15" spans="1:7" ht="52" x14ac:dyDescent="0.3">
      <c r="A15" s="39" t="s">
        <v>422</v>
      </c>
      <c r="B15" s="40" t="s">
        <v>423</v>
      </c>
      <c r="C15" s="40" t="s">
        <v>424</v>
      </c>
      <c r="D15" s="45">
        <v>200000</v>
      </c>
      <c r="E15" s="46" t="s">
        <v>410</v>
      </c>
      <c r="F15" s="43">
        <v>0</v>
      </c>
      <c r="G15" s="44">
        <f t="shared" si="0"/>
        <v>0</v>
      </c>
    </row>
    <row r="16" spans="1:7" ht="91" x14ac:dyDescent="0.3">
      <c r="A16" s="39" t="s">
        <v>425</v>
      </c>
      <c r="B16" s="40" t="s">
        <v>426</v>
      </c>
      <c r="C16" s="40" t="s">
        <v>427</v>
      </c>
      <c r="D16" s="45">
        <v>100</v>
      </c>
      <c r="E16" s="46" t="s">
        <v>428</v>
      </c>
      <c r="F16" s="43">
        <v>0</v>
      </c>
      <c r="G16" s="44">
        <f t="shared" si="0"/>
        <v>0</v>
      </c>
    </row>
    <row r="17" spans="1:7" ht="91" x14ac:dyDescent="0.3">
      <c r="A17" s="39" t="s">
        <v>429</v>
      </c>
      <c r="B17" s="40" t="s">
        <v>430</v>
      </c>
      <c r="C17" s="40" t="s">
        <v>431</v>
      </c>
      <c r="D17" s="45">
        <v>100</v>
      </c>
      <c r="E17" s="46" t="s">
        <v>428</v>
      </c>
      <c r="F17" s="43">
        <v>0</v>
      </c>
      <c r="G17" s="44">
        <f t="shared" si="0"/>
        <v>0</v>
      </c>
    </row>
    <row r="18" spans="1:7" ht="91" x14ac:dyDescent="0.3">
      <c r="A18" s="39" t="s">
        <v>432</v>
      </c>
      <c r="B18" s="40" t="s">
        <v>433</v>
      </c>
      <c r="C18" s="40" t="s">
        <v>434</v>
      </c>
      <c r="D18" s="45">
        <v>100</v>
      </c>
      <c r="E18" s="46" t="s">
        <v>428</v>
      </c>
      <c r="F18" s="43">
        <v>0</v>
      </c>
      <c r="G18" s="44">
        <f t="shared" si="0"/>
        <v>0</v>
      </c>
    </row>
    <row r="19" spans="1:7" ht="65" x14ac:dyDescent="0.3">
      <c r="A19" s="39" t="s">
        <v>435</v>
      </c>
      <c r="B19" s="40" t="s">
        <v>436</v>
      </c>
      <c r="C19" s="40" t="s">
        <v>437</v>
      </c>
      <c r="D19" s="45">
        <v>100</v>
      </c>
      <c r="E19" s="46" t="s">
        <v>428</v>
      </c>
      <c r="F19" s="43">
        <v>0</v>
      </c>
      <c r="G19" s="44">
        <f t="shared" si="0"/>
        <v>0</v>
      </c>
    </row>
    <row r="20" spans="1:7" ht="91" x14ac:dyDescent="0.3">
      <c r="A20" s="39" t="s">
        <v>438</v>
      </c>
      <c r="B20" s="40" t="s">
        <v>439</v>
      </c>
      <c r="C20" s="40" t="s">
        <v>440</v>
      </c>
      <c r="D20" s="45">
        <v>200</v>
      </c>
      <c r="E20" s="46" t="s">
        <v>428</v>
      </c>
      <c r="F20" s="43">
        <v>0</v>
      </c>
      <c r="G20" s="44">
        <f t="shared" si="0"/>
        <v>0</v>
      </c>
    </row>
    <row r="21" spans="1:7" ht="91" x14ac:dyDescent="0.3">
      <c r="A21" s="39" t="s">
        <v>441</v>
      </c>
      <c r="B21" s="40" t="s">
        <v>442</v>
      </c>
      <c r="C21" s="40" t="s">
        <v>443</v>
      </c>
      <c r="D21" s="45">
        <v>200</v>
      </c>
      <c r="E21" s="46" t="s">
        <v>428</v>
      </c>
      <c r="F21" s="43">
        <v>0</v>
      </c>
      <c r="G21" s="44">
        <f t="shared" si="0"/>
        <v>0</v>
      </c>
    </row>
    <row r="22" spans="1:7" ht="91" x14ac:dyDescent="0.3">
      <c r="A22" s="39" t="s">
        <v>444</v>
      </c>
      <c r="B22" s="40" t="s">
        <v>445</v>
      </c>
      <c r="C22" s="40" t="s">
        <v>446</v>
      </c>
      <c r="D22" s="45">
        <v>25</v>
      </c>
      <c r="E22" s="46" t="s">
        <v>428</v>
      </c>
      <c r="F22" s="43">
        <v>0</v>
      </c>
      <c r="G22" s="44">
        <f t="shared" si="0"/>
        <v>0</v>
      </c>
    </row>
    <row r="23" spans="1:7" ht="91" x14ac:dyDescent="0.3">
      <c r="A23" s="39" t="s">
        <v>447</v>
      </c>
      <c r="B23" s="40" t="s">
        <v>448</v>
      </c>
      <c r="C23" s="40" t="s">
        <v>449</v>
      </c>
      <c r="D23" s="45">
        <v>25</v>
      </c>
      <c r="E23" s="46" t="s">
        <v>428</v>
      </c>
      <c r="F23" s="43">
        <v>0</v>
      </c>
      <c r="G23" s="44">
        <f t="shared" si="0"/>
        <v>0</v>
      </c>
    </row>
    <row r="24" spans="1:7" ht="65" x14ac:dyDescent="0.3">
      <c r="A24" s="39" t="s">
        <v>450</v>
      </c>
      <c r="B24" s="40" t="s">
        <v>451</v>
      </c>
      <c r="C24" s="40" t="s">
        <v>452</v>
      </c>
      <c r="D24" s="45">
        <v>10</v>
      </c>
      <c r="E24" s="46" t="s">
        <v>428</v>
      </c>
      <c r="F24" s="43">
        <v>0</v>
      </c>
      <c r="G24" s="44">
        <f t="shared" si="0"/>
        <v>0</v>
      </c>
    </row>
    <row r="25" spans="1:7" ht="195" x14ac:dyDescent="0.3">
      <c r="A25" s="39" t="s">
        <v>453</v>
      </c>
      <c r="B25" s="40" t="s">
        <v>454</v>
      </c>
      <c r="C25" s="40" t="s">
        <v>455</v>
      </c>
      <c r="D25" s="45">
        <v>50</v>
      </c>
      <c r="E25" s="46" t="s">
        <v>414</v>
      </c>
      <c r="F25" s="43">
        <v>0</v>
      </c>
      <c r="G25" s="44">
        <f t="shared" si="0"/>
        <v>0</v>
      </c>
    </row>
    <row r="26" spans="1:7" ht="169" x14ac:dyDescent="0.3">
      <c r="A26" s="39" t="s">
        <v>456</v>
      </c>
      <c r="B26" s="40" t="s">
        <v>457</v>
      </c>
      <c r="C26" s="40" t="s">
        <v>458</v>
      </c>
      <c r="D26" s="45">
        <v>50</v>
      </c>
      <c r="E26" s="46" t="s">
        <v>428</v>
      </c>
      <c r="F26" s="43">
        <v>0</v>
      </c>
      <c r="G26" s="44">
        <f t="shared" si="0"/>
        <v>0</v>
      </c>
    </row>
    <row r="27" spans="1:7" ht="169" x14ac:dyDescent="0.3">
      <c r="A27" s="39" t="s">
        <v>459</v>
      </c>
      <c r="B27" s="40" t="s">
        <v>460</v>
      </c>
      <c r="C27" s="40" t="s">
        <v>458</v>
      </c>
      <c r="D27" s="45">
        <v>60</v>
      </c>
      <c r="E27" s="46" t="s">
        <v>428</v>
      </c>
      <c r="F27" s="43">
        <v>0</v>
      </c>
      <c r="G27" s="44">
        <f t="shared" si="0"/>
        <v>0</v>
      </c>
    </row>
    <row r="28" spans="1:7" ht="169" x14ac:dyDescent="0.3">
      <c r="A28" s="39" t="s">
        <v>461</v>
      </c>
      <c r="B28" s="40" t="s">
        <v>462</v>
      </c>
      <c r="C28" s="40" t="s">
        <v>463</v>
      </c>
      <c r="D28" s="45">
        <v>15</v>
      </c>
      <c r="E28" s="46" t="s">
        <v>428</v>
      </c>
      <c r="F28" s="43">
        <v>0</v>
      </c>
      <c r="G28" s="44">
        <f t="shared" si="0"/>
        <v>0</v>
      </c>
    </row>
    <row r="29" spans="1:7" ht="182" x14ac:dyDescent="0.3">
      <c r="A29" s="39" t="s">
        <v>464</v>
      </c>
      <c r="B29" s="40" t="s">
        <v>465</v>
      </c>
      <c r="C29" s="40" t="s">
        <v>466</v>
      </c>
      <c r="D29" s="45">
        <v>5000</v>
      </c>
      <c r="E29" s="46" t="s">
        <v>428</v>
      </c>
      <c r="F29" s="43">
        <v>0</v>
      </c>
      <c r="G29" s="44">
        <f t="shared" si="0"/>
        <v>0</v>
      </c>
    </row>
    <row r="30" spans="1:7" ht="156" x14ac:dyDescent="0.3">
      <c r="A30" s="39" t="s">
        <v>467</v>
      </c>
      <c r="B30" s="40" t="s">
        <v>468</v>
      </c>
      <c r="C30" s="40" t="s">
        <v>469</v>
      </c>
      <c r="D30" s="45">
        <v>1000</v>
      </c>
      <c r="E30" s="46" t="s">
        <v>410</v>
      </c>
      <c r="F30" s="43">
        <v>0</v>
      </c>
      <c r="G30" s="44">
        <f t="shared" si="0"/>
        <v>0</v>
      </c>
    </row>
    <row r="31" spans="1:7" ht="143" x14ac:dyDescent="0.3">
      <c r="A31" s="39" t="s">
        <v>470</v>
      </c>
      <c r="B31" s="40" t="s">
        <v>471</v>
      </c>
      <c r="C31" s="40" t="s">
        <v>472</v>
      </c>
      <c r="D31" s="45">
        <v>850</v>
      </c>
      <c r="E31" s="46" t="s">
        <v>410</v>
      </c>
      <c r="F31" s="43">
        <v>0</v>
      </c>
      <c r="G31" s="44">
        <f t="shared" si="0"/>
        <v>0</v>
      </c>
    </row>
    <row r="32" spans="1:7" ht="78" x14ac:dyDescent="0.3">
      <c r="A32" s="39" t="s">
        <v>473</v>
      </c>
      <c r="B32" s="40" t="s">
        <v>474</v>
      </c>
      <c r="C32" s="40" t="s">
        <v>475</v>
      </c>
      <c r="D32" s="45">
        <v>25</v>
      </c>
      <c r="E32" s="46" t="s">
        <v>414</v>
      </c>
      <c r="F32" s="43">
        <v>0</v>
      </c>
      <c r="G32" s="44">
        <f t="shared" si="0"/>
        <v>0</v>
      </c>
    </row>
    <row r="33" spans="1:7" ht="78" x14ac:dyDescent="0.3">
      <c r="A33" s="39" t="s">
        <v>476</v>
      </c>
      <c r="B33" s="40" t="s">
        <v>477</v>
      </c>
      <c r="C33" s="40" t="s">
        <v>478</v>
      </c>
      <c r="D33" s="45">
        <v>50</v>
      </c>
      <c r="E33" s="46" t="s">
        <v>428</v>
      </c>
      <c r="F33" s="43">
        <v>0</v>
      </c>
      <c r="G33" s="44">
        <f t="shared" si="0"/>
        <v>0</v>
      </c>
    </row>
    <row r="34" spans="1:7" ht="91" x14ac:dyDescent="0.3">
      <c r="A34" s="39" t="s">
        <v>479</v>
      </c>
      <c r="B34" s="40" t="s">
        <v>480</v>
      </c>
      <c r="C34" s="40" t="s">
        <v>481</v>
      </c>
      <c r="D34" s="45">
        <v>5000</v>
      </c>
      <c r="E34" s="46" t="s">
        <v>410</v>
      </c>
      <c r="F34" s="43">
        <v>0</v>
      </c>
      <c r="G34" s="44">
        <f t="shared" si="0"/>
        <v>0</v>
      </c>
    </row>
    <row r="35" spans="1:7" ht="91" x14ac:dyDescent="0.3">
      <c r="A35" s="39" t="s">
        <v>482</v>
      </c>
      <c r="B35" s="40" t="s">
        <v>483</v>
      </c>
      <c r="C35" s="40" t="s">
        <v>481</v>
      </c>
      <c r="D35" s="45">
        <v>100</v>
      </c>
      <c r="E35" s="46" t="s">
        <v>428</v>
      </c>
      <c r="F35" s="43">
        <v>0</v>
      </c>
      <c r="G35" s="44">
        <f t="shared" si="0"/>
        <v>0</v>
      </c>
    </row>
    <row r="36" spans="1:7" ht="52" x14ac:dyDescent="0.3">
      <c r="A36" s="39" t="s">
        <v>484</v>
      </c>
      <c r="B36" s="40" t="s">
        <v>485</v>
      </c>
      <c r="C36" s="40" t="s">
        <v>486</v>
      </c>
      <c r="D36" s="45">
        <v>50</v>
      </c>
      <c r="E36" s="46" t="s">
        <v>414</v>
      </c>
      <c r="F36" s="43">
        <v>0</v>
      </c>
      <c r="G36" s="44">
        <f t="shared" si="0"/>
        <v>0</v>
      </c>
    </row>
    <row r="37" spans="1:7" ht="26" x14ac:dyDescent="0.3">
      <c r="A37" s="39" t="s">
        <v>487</v>
      </c>
      <c r="B37" s="40" t="s">
        <v>488</v>
      </c>
      <c r="C37" s="40" t="s">
        <v>489</v>
      </c>
      <c r="D37" s="45">
        <v>50</v>
      </c>
      <c r="E37" s="46" t="s">
        <v>414</v>
      </c>
      <c r="F37" s="43">
        <v>0</v>
      </c>
      <c r="G37" s="44">
        <f t="shared" si="0"/>
        <v>0</v>
      </c>
    </row>
    <row r="38" spans="1:7" ht="91" x14ac:dyDescent="0.3">
      <c r="A38" s="39" t="s">
        <v>490</v>
      </c>
      <c r="B38" s="40" t="s">
        <v>491</v>
      </c>
      <c r="C38" s="40" t="s">
        <v>492</v>
      </c>
      <c r="D38" s="45">
        <v>100</v>
      </c>
      <c r="E38" s="46" t="s">
        <v>428</v>
      </c>
      <c r="F38" s="43">
        <v>0</v>
      </c>
      <c r="G38" s="44">
        <f t="shared" si="0"/>
        <v>0</v>
      </c>
    </row>
    <row r="39" spans="1:7" ht="91" x14ac:dyDescent="0.3">
      <c r="A39" s="39" t="s">
        <v>493</v>
      </c>
      <c r="B39" s="40" t="s">
        <v>494</v>
      </c>
      <c r="C39" s="40" t="s">
        <v>495</v>
      </c>
      <c r="D39" s="45">
        <v>1000</v>
      </c>
      <c r="E39" s="46" t="s">
        <v>421</v>
      </c>
      <c r="F39" s="43">
        <v>0</v>
      </c>
      <c r="G39" s="44">
        <f t="shared" si="0"/>
        <v>0</v>
      </c>
    </row>
    <row r="40" spans="1:7" ht="91" x14ac:dyDescent="0.3">
      <c r="A40" s="39" t="s">
        <v>496</v>
      </c>
      <c r="B40" s="40" t="s">
        <v>497</v>
      </c>
      <c r="C40" s="40" t="s">
        <v>498</v>
      </c>
      <c r="D40" s="45">
        <v>100</v>
      </c>
      <c r="E40" s="46" t="s">
        <v>499</v>
      </c>
      <c r="F40" s="43">
        <v>0</v>
      </c>
      <c r="G40" s="44">
        <f t="shared" si="0"/>
        <v>0</v>
      </c>
    </row>
    <row r="41" spans="1:7" ht="26" x14ac:dyDescent="0.3">
      <c r="A41" s="39" t="s">
        <v>500</v>
      </c>
      <c r="B41" s="40" t="s">
        <v>501</v>
      </c>
      <c r="C41" s="40" t="s">
        <v>502</v>
      </c>
      <c r="D41" s="45">
        <v>3000</v>
      </c>
      <c r="E41" s="46" t="s">
        <v>410</v>
      </c>
      <c r="F41" s="43">
        <v>0</v>
      </c>
      <c r="G41" s="44">
        <f t="shared" si="0"/>
        <v>0</v>
      </c>
    </row>
    <row r="42" spans="1:7" ht="52" x14ac:dyDescent="0.3">
      <c r="A42" s="39" t="s">
        <v>503</v>
      </c>
      <c r="B42" s="40" t="s">
        <v>504</v>
      </c>
      <c r="C42" s="40" t="s">
        <v>505</v>
      </c>
      <c r="D42" s="45">
        <v>125</v>
      </c>
      <c r="E42" s="46" t="s">
        <v>499</v>
      </c>
      <c r="F42" s="43">
        <v>0</v>
      </c>
      <c r="G42" s="44">
        <f t="shared" si="0"/>
        <v>0</v>
      </c>
    </row>
    <row r="43" spans="1:7" ht="130" x14ac:dyDescent="0.3">
      <c r="A43" s="39" t="s">
        <v>506</v>
      </c>
      <c r="B43" s="40" t="s">
        <v>507</v>
      </c>
      <c r="C43" s="40" t="s">
        <v>508</v>
      </c>
      <c r="D43" s="45">
        <v>8500</v>
      </c>
      <c r="E43" s="46" t="s">
        <v>410</v>
      </c>
      <c r="F43" s="43">
        <v>0</v>
      </c>
      <c r="G43" s="44">
        <f t="shared" si="0"/>
        <v>0</v>
      </c>
    </row>
    <row r="44" spans="1:7" ht="65" x14ac:dyDescent="0.3">
      <c r="A44" s="39" t="s">
        <v>509</v>
      </c>
      <c r="B44" s="40" t="s">
        <v>510</v>
      </c>
      <c r="C44" s="40" t="s">
        <v>511</v>
      </c>
      <c r="D44" s="45">
        <v>50</v>
      </c>
      <c r="E44" s="46" t="s">
        <v>414</v>
      </c>
      <c r="F44" s="43">
        <v>0</v>
      </c>
      <c r="G44" s="44">
        <f t="shared" si="0"/>
        <v>0</v>
      </c>
    </row>
    <row r="45" spans="1:7" ht="195" x14ac:dyDescent="0.3">
      <c r="A45" s="39" t="s">
        <v>512</v>
      </c>
      <c r="B45" s="40" t="s">
        <v>513</v>
      </c>
      <c r="C45" s="40" t="s">
        <v>514</v>
      </c>
      <c r="D45" s="45">
        <v>200</v>
      </c>
      <c r="E45" s="46" t="s">
        <v>515</v>
      </c>
      <c r="F45" s="43">
        <v>0</v>
      </c>
      <c r="G45" s="44">
        <f t="shared" si="0"/>
        <v>0</v>
      </c>
    </row>
    <row r="46" spans="1:7" ht="104" x14ac:dyDescent="0.3">
      <c r="A46" s="39" t="s">
        <v>516</v>
      </c>
      <c r="B46" s="40" t="s">
        <v>517</v>
      </c>
      <c r="C46" s="40" t="s">
        <v>518</v>
      </c>
      <c r="D46" s="45">
        <v>10000</v>
      </c>
      <c r="E46" s="46" t="s">
        <v>421</v>
      </c>
      <c r="F46" s="43">
        <v>0</v>
      </c>
      <c r="G46" s="44">
        <f t="shared" si="0"/>
        <v>0</v>
      </c>
    </row>
    <row r="47" spans="1:7" ht="104" x14ac:dyDescent="0.3">
      <c r="A47" s="39" t="s">
        <v>519</v>
      </c>
      <c r="B47" s="40" t="s">
        <v>520</v>
      </c>
      <c r="C47" s="40" t="s">
        <v>521</v>
      </c>
      <c r="D47" s="45">
        <v>10000</v>
      </c>
      <c r="E47" s="46" t="s">
        <v>421</v>
      </c>
      <c r="F47" s="43">
        <v>0</v>
      </c>
      <c r="G47" s="44">
        <f t="shared" si="0"/>
        <v>0</v>
      </c>
    </row>
    <row r="48" spans="1:7" ht="104" x14ac:dyDescent="0.3">
      <c r="A48" s="39" t="s">
        <v>522</v>
      </c>
      <c r="B48" s="40" t="s">
        <v>523</v>
      </c>
      <c r="C48" s="40" t="s">
        <v>521</v>
      </c>
      <c r="D48" s="45">
        <v>4000</v>
      </c>
      <c r="E48" s="46" t="s">
        <v>421</v>
      </c>
      <c r="F48" s="43">
        <v>0</v>
      </c>
      <c r="G48" s="44">
        <f t="shared" si="0"/>
        <v>0</v>
      </c>
    </row>
    <row r="49" spans="1:7" ht="130" x14ac:dyDescent="0.3">
      <c r="A49" s="39" t="s">
        <v>524</v>
      </c>
      <c r="B49" s="40" t="s">
        <v>525</v>
      </c>
      <c r="C49" s="40" t="s">
        <v>526</v>
      </c>
      <c r="D49" s="45">
        <v>10000</v>
      </c>
      <c r="E49" s="46" t="s">
        <v>421</v>
      </c>
      <c r="F49" s="43">
        <v>0</v>
      </c>
      <c r="G49" s="44">
        <f t="shared" si="0"/>
        <v>0</v>
      </c>
    </row>
    <row r="50" spans="1:7" ht="78" x14ac:dyDescent="0.3">
      <c r="A50" s="39" t="s">
        <v>527</v>
      </c>
      <c r="B50" s="40" t="s">
        <v>528</v>
      </c>
      <c r="C50" s="40" t="s">
        <v>529</v>
      </c>
      <c r="D50" s="45">
        <v>5000</v>
      </c>
      <c r="E50" s="46" t="s">
        <v>421</v>
      </c>
      <c r="F50" s="43">
        <v>0</v>
      </c>
      <c r="G50" s="44">
        <f t="shared" si="0"/>
        <v>0</v>
      </c>
    </row>
    <row r="51" spans="1:7" ht="104" x14ac:dyDescent="0.3">
      <c r="A51" s="39" t="s">
        <v>530</v>
      </c>
      <c r="B51" s="40" t="s">
        <v>531</v>
      </c>
      <c r="C51" s="40" t="s">
        <v>532</v>
      </c>
      <c r="D51" s="45">
        <v>5000</v>
      </c>
      <c r="E51" s="46" t="s">
        <v>421</v>
      </c>
      <c r="F51" s="43">
        <v>0</v>
      </c>
      <c r="G51" s="44">
        <f t="shared" si="0"/>
        <v>0</v>
      </c>
    </row>
    <row r="52" spans="1:7" ht="104" x14ac:dyDescent="0.3">
      <c r="A52" s="39" t="s">
        <v>533</v>
      </c>
      <c r="B52" s="40" t="s">
        <v>534</v>
      </c>
      <c r="C52" s="40" t="s">
        <v>535</v>
      </c>
      <c r="D52" s="45">
        <v>10</v>
      </c>
      <c r="E52" s="46" t="s">
        <v>428</v>
      </c>
      <c r="F52" s="43">
        <v>0</v>
      </c>
      <c r="G52" s="44">
        <f t="shared" si="0"/>
        <v>0</v>
      </c>
    </row>
    <row r="53" spans="1:7" ht="117" x14ac:dyDescent="0.3">
      <c r="A53" s="39" t="s">
        <v>536</v>
      </c>
      <c r="B53" s="40" t="s">
        <v>537</v>
      </c>
      <c r="C53" s="40" t="s">
        <v>538</v>
      </c>
      <c r="D53" s="45">
        <v>5000</v>
      </c>
      <c r="E53" s="46" t="s">
        <v>421</v>
      </c>
      <c r="F53" s="43">
        <v>0</v>
      </c>
      <c r="G53" s="44">
        <f t="shared" si="0"/>
        <v>0</v>
      </c>
    </row>
    <row r="54" spans="1:7" ht="39" x14ac:dyDescent="0.3">
      <c r="A54" s="39" t="s">
        <v>539</v>
      </c>
      <c r="B54" s="40" t="s">
        <v>540</v>
      </c>
      <c r="C54" s="40" t="s">
        <v>541</v>
      </c>
      <c r="D54" s="45">
        <v>50</v>
      </c>
      <c r="E54" s="46" t="s">
        <v>428</v>
      </c>
      <c r="F54" s="43">
        <v>0</v>
      </c>
      <c r="G54" s="44">
        <f t="shared" si="0"/>
        <v>0</v>
      </c>
    </row>
    <row r="55" spans="1:7" ht="65" x14ac:dyDescent="0.3">
      <c r="A55" s="39" t="s">
        <v>542</v>
      </c>
      <c r="B55" s="40" t="s">
        <v>543</v>
      </c>
      <c r="C55" s="40" t="s">
        <v>544</v>
      </c>
      <c r="D55" s="45">
        <v>100</v>
      </c>
      <c r="E55" s="46" t="s">
        <v>428</v>
      </c>
      <c r="F55" s="43">
        <v>0</v>
      </c>
      <c r="G55" s="44">
        <f t="shared" si="0"/>
        <v>0</v>
      </c>
    </row>
    <row r="56" spans="1:7" ht="130" x14ac:dyDescent="0.3">
      <c r="A56" s="39" t="s">
        <v>545</v>
      </c>
      <c r="B56" s="40" t="s">
        <v>546</v>
      </c>
      <c r="C56" s="40" t="s">
        <v>547</v>
      </c>
      <c r="D56" s="45">
        <v>10000</v>
      </c>
      <c r="E56" s="46" t="s">
        <v>548</v>
      </c>
      <c r="F56" s="43">
        <v>0</v>
      </c>
      <c r="G56" s="44">
        <f t="shared" si="0"/>
        <v>0</v>
      </c>
    </row>
    <row r="57" spans="1:7" ht="104" x14ac:dyDescent="0.3">
      <c r="A57" s="39" t="s">
        <v>549</v>
      </c>
      <c r="B57" s="40" t="s">
        <v>550</v>
      </c>
      <c r="C57" s="40" t="s">
        <v>551</v>
      </c>
      <c r="D57" s="45">
        <v>10</v>
      </c>
      <c r="E57" s="46" t="s">
        <v>428</v>
      </c>
      <c r="F57" s="43">
        <v>0</v>
      </c>
      <c r="G57" s="44">
        <f t="shared" si="0"/>
        <v>0</v>
      </c>
    </row>
    <row r="58" spans="1:7" ht="91" x14ac:dyDescent="0.3">
      <c r="A58" s="39" t="s">
        <v>552</v>
      </c>
      <c r="B58" s="40" t="s">
        <v>553</v>
      </c>
      <c r="C58" s="40" t="s">
        <v>554</v>
      </c>
      <c r="D58" s="45">
        <v>2000</v>
      </c>
      <c r="E58" s="46" t="s">
        <v>548</v>
      </c>
      <c r="F58" s="43">
        <v>0</v>
      </c>
      <c r="G58" s="44">
        <f t="shared" si="0"/>
        <v>0</v>
      </c>
    </row>
    <row r="59" spans="1:7" ht="78" x14ac:dyDescent="0.3">
      <c r="A59" s="39" t="s">
        <v>555</v>
      </c>
      <c r="B59" s="40" t="s">
        <v>556</v>
      </c>
      <c r="C59" s="40" t="s">
        <v>557</v>
      </c>
      <c r="D59" s="45">
        <v>9</v>
      </c>
      <c r="E59" s="46" t="s">
        <v>558</v>
      </c>
      <c r="F59" s="43">
        <v>0</v>
      </c>
      <c r="G59" s="44">
        <f t="shared" si="0"/>
        <v>0</v>
      </c>
    </row>
    <row r="60" spans="1:7" ht="65" x14ac:dyDescent="0.3">
      <c r="A60" s="39" t="s">
        <v>559</v>
      </c>
      <c r="B60" s="40" t="s">
        <v>560</v>
      </c>
      <c r="C60" s="40" t="s">
        <v>561</v>
      </c>
      <c r="D60" s="45">
        <v>9</v>
      </c>
      <c r="E60" s="46" t="s">
        <v>558</v>
      </c>
      <c r="F60" s="43">
        <v>0</v>
      </c>
      <c r="G60" s="44">
        <f t="shared" si="0"/>
        <v>0</v>
      </c>
    </row>
    <row r="61" spans="1:7" ht="78" x14ac:dyDescent="0.3">
      <c r="A61" s="39" t="s">
        <v>562</v>
      </c>
      <c r="B61" s="40" t="s">
        <v>563</v>
      </c>
      <c r="C61" s="40" t="s">
        <v>564</v>
      </c>
      <c r="D61" s="45">
        <v>25000</v>
      </c>
      <c r="E61" s="46" t="s">
        <v>548</v>
      </c>
      <c r="F61" s="43">
        <v>0</v>
      </c>
      <c r="G61" s="44">
        <f t="shared" si="0"/>
        <v>0</v>
      </c>
    </row>
    <row r="62" spans="1:7" ht="65.25" customHeight="1" x14ac:dyDescent="0.3">
      <c r="A62" s="39" t="s">
        <v>565</v>
      </c>
      <c r="B62" s="40" t="s">
        <v>566</v>
      </c>
      <c r="C62" s="40" t="s">
        <v>567</v>
      </c>
      <c r="D62" s="45">
        <v>25000</v>
      </c>
      <c r="E62" s="46" t="s">
        <v>548</v>
      </c>
      <c r="F62" s="43">
        <v>0</v>
      </c>
      <c r="G62" s="44">
        <f t="shared" si="0"/>
        <v>0</v>
      </c>
    </row>
    <row r="63" spans="1:7" ht="52" x14ac:dyDescent="0.3">
      <c r="A63" s="39" t="s">
        <v>568</v>
      </c>
      <c r="B63" s="40" t="s">
        <v>569</v>
      </c>
      <c r="C63" s="40" t="s">
        <v>570</v>
      </c>
      <c r="D63" s="45">
        <v>200000</v>
      </c>
      <c r="E63" s="46" t="s">
        <v>548</v>
      </c>
      <c r="F63" s="43">
        <v>0</v>
      </c>
      <c r="G63" s="44">
        <f t="shared" si="0"/>
        <v>0</v>
      </c>
    </row>
    <row r="64" spans="1:7" ht="65" x14ac:dyDescent="0.3">
      <c r="A64" s="39" t="s">
        <v>571</v>
      </c>
      <c r="B64" s="40" t="s">
        <v>572</v>
      </c>
      <c r="C64" s="40" t="s">
        <v>573</v>
      </c>
      <c r="D64" s="45">
        <v>800000</v>
      </c>
      <c r="E64" s="46" t="s">
        <v>548</v>
      </c>
      <c r="F64" s="43">
        <v>0</v>
      </c>
      <c r="G64" s="44">
        <f t="shared" si="0"/>
        <v>0</v>
      </c>
    </row>
    <row r="65" spans="1:7" ht="65" x14ac:dyDescent="0.3">
      <c r="A65" s="39" t="s">
        <v>574</v>
      </c>
      <c r="B65" s="40" t="s">
        <v>575</v>
      </c>
      <c r="C65" s="40" t="s">
        <v>576</v>
      </c>
      <c r="D65" s="45">
        <v>20000</v>
      </c>
      <c r="E65" s="46" t="s">
        <v>548</v>
      </c>
      <c r="F65" s="43">
        <v>0</v>
      </c>
      <c r="G65" s="44">
        <f t="shared" si="0"/>
        <v>0</v>
      </c>
    </row>
    <row r="66" spans="1:7" ht="39" x14ac:dyDescent="0.3">
      <c r="A66" s="39" t="s">
        <v>577</v>
      </c>
      <c r="B66" s="40" t="s">
        <v>578</v>
      </c>
      <c r="C66" s="40" t="s">
        <v>579</v>
      </c>
      <c r="D66" s="45">
        <v>10000</v>
      </c>
      <c r="E66" s="46" t="s">
        <v>548</v>
      </c>
      <c r="F66" s="43">
        <v>0</v>
      </c>
      <c r="G66" s="44">
        <f t="shared" si="0"/>
        <v>0</v>
      </c>
    </row>
    <row r="67" spans="1:7" ht="52" x14ac:dyDescent="0.3">
      <c r="A67" s="39" t="s">
        <v>580</v>
      </c>
      <c r="B67" s="40" t="s">
        <v>581</v>
      </c>
      <c r="C67" s="40" t="s">
        <v>582</v>
      </c>
      <c r="D67" s="45">
        <v>500</v>
      </c>
      <c r="E67" s="46" t="s">
        <v>583</v>
      </c>
      <c r="F67" s="43">
        <v>0</v>
      </c>
      <c r="G67" s="44">
        <f t="shared" si="0"/>
        <v>0</v>
      </c>
    </row>
    <row r="68" spans="1:7" ht="52" x14ac:dyDescent="0.3">
      <c r="A68" s="39" t="s">
        <v>584</v>
      </c>
      <c r="B68" s="40" t="s">
        <v>585</v>
      </c>
      <c r="C68" s="40" t="s">
        <v>586</v>
      </c>
      <c r="D68" s="45">
        <v>100</v>
      </c>
      <c r="E68" s="46" t="s">
        <v>583</v>
      </c>
      <c r="F68" s="43">
        <v>0</v>
      </c>
      <c r="G68" s="44">
        <f t="shared" si="0"/>
        <v>0</v>
      </c>
    </row>
    <row r="69" spans="1:7" ht="78" x14ac:dyDescent="0.3">
      <c r="A69" s="39" t="s">
        <v>587</v>
      </c>
      <c r="B69" s="40" t="s">
        <v>588</v>
      </c>
      <c r="C69" s="40" t="s">
        <v>589</v>
      </c>
      <c r="D69" s="45">
        <v>100</v>
      </c>
      <c r="E69" s="46" t="s">
        <v>583</v>
      </c>
      <c r="F69" s="43">
        <v>0</v>
      </c>
      <c r="G69" s="44">
        <f t="shared" si="0"/>
        <v>0</v>
      </c>
    </row>
    <row r="70" spans="1:7" ht="26" x14ac:dyDescent="0.3">
      <c r="A70" s="39" t="s">
        <v>590</v>
      </c>
      <c r="B70" s="40" t="s">
        <v>591</v>
      </c>
      <c r="C70" s="40" t="s">
        <v>592</v>
      </c>
      <c r="D70" s="45">
        <v>10000</v>
      </c>
      <c r="E70" s="46" t="s">
        <v>583</v>
      </c>
      <c r="F70" s="43">
        <v>0</v>
      </c>
      <c r="G70" s="44">
        <f t="shared" si="0"/>
        <v>0</v>
      </c>
    </row>
    <row r="71" spans="1:7" ht="260" x14ac:dyDescent="0.3">
      <c r="A71" s="39" t="s">
        <v>593</v>
      </c>
      <c r="B71" s="12" t="s">
        <v>594</v>
      </c>
      <c r="C71" s="12" t="s">
        <v>595</v>
      </c>
      <c r="D71" s="45">
        <v>4</v>
      </c>
      <c r="E71" s="46" t="s">
        <v>428</v>
      </c>
      <c r="F71" s="43">
        <v>0</v>
      </c>
      <c r="G71" s="44">
        <f t="shared" si="0"/>
        <v>0</v>
      </c>
    </row>
    <row r="72" spans="1:7" ht="104" x14ac:dyDescent="0.3">
      <c r="A72" s="39" t="s">
        <v>596</v>
      </c>
      <c r="B72" s="12" t="s">
        <v>597</v>
      </c>
      <c r="C72" s="4" t="s">
        <v>598</v>
      </c>
      <c r="D72" s="45">
        <v>4</v>
      </c>
      <c r="E72" s="46" t="s">
        <v>428</v>
      </c>
      <c r="F72" s="43">
        <v>0</v>
      </c>
      <c r="G72" s="44">
        <f t="shared" si="0"/>
        <v>0</v>
      </c>
    </row>
    <row r="73" spans="1:7" ht="91" x14ac:dyDescent="0.3">
      <c r="A73" s="39" t="s">
        <v>599</v>
      </c>
      <c r="B73" s="12" t="s">
        <v>600</v>
      </c>
      <c r="C73" s="47" t="s">
        <v>601</v>
      </c>
      <c r="D73" s="45">
        <v>4</v>
      </c>
      <c r="E73" s="46" t="s">
        <v>428</v>
      </c>
      <c r="F73" s="43">
        <v>0</v>
      </c>
      <c r="G73" s="44">
        <f t="shared" si="0"/>
        <v>0</v>
      </c>
    </row>
    <row r="74" spans="1:7" ht="78" x14ac:dyDescent="0.3">
      <c r="A74" s="39" t="s">
        <v>602</v>
      </c>
      <c r="B74" s="12" t="s">
        <v>603</v>
      </c>
      <c r="C74" s="12" t="s">
        <v>604</v>
      </c>
      <c r="D74" s="45">
        <v>4</v>
      </c>
      <c r="E74" s="46" t="s">
        <v>428</v>
      </c>
      <c r="F74" s="43">
        <v>0</v>
      </c>
      <c r="G74" s="44">
        <f t="shared" si="0"/>
        <v>0</v>
      </c>
    </row>
    <row r="75" spans="1:7" ht="78" x14ac:dyDescent="0.3">
      <c r="A75" s="39" t="s">
        <v>605</v>
      </c>
      <c r="B75" s="12" t="s">
        <v>606</v>
      </c>
      <c r="C75" s="12" t="s">
        <v>607</v>
      </c>
      <c r="D75" s="45">
        <v>4</v>
      </c>
      <c r="E75" s="46" t="s">
        <v>428</v>
      </c>
      <c r="F75" s="43">
        <v>0</v>
      </c>
      <c r="G75" s="44">
        <f t="shared" si="0"/>
        <v>0</v>
      </c>
    </row>
    <row r="76" spans="1:7" ht="65" x14ac:dyDescent="0.3">
      <c r="A76" s="39" t="s">
        <v>608</v>
      </c>
      <c r="B76" s="12" t="s">
        <v>609</v>
      </c>
      <c r="C76" s="12" t="s">
        <v>610</v>
      </c>
      <c r="D76" s="45">
        <v>2</v>
      </c>
      <c r="E76" s="46" t="s">
        <v>428</v>
      </c>
      <c r="F76" s="43">
        <v>0</v>
      </c>
      <c r="G76" s="44">
        <f t="shared" ref="G76:G135" si="1">D76*F76</f>
        <v>0</v>
      </c>
    </row>
    <row r="77" spans="1:7" ht="65" x14ac:dyDescent="0.3">
      <c r="A77" s="39" t="s">
        <v>611</v>
      </c>
      <c r="B77" s="12" t="s">
        <v>612</v>
      </c>
      <c r="C77" s="12" t="s">
        <v>613</v>
      </c>
      <c r="D77" s="45">
        <v>1</v>
      </c>
      <c r="E77" s="46" t="s">
        <v>428</v>
      </c>
      <c r="F77" s="43">
        <v>0</v>
      </c>
      <c r="G77" s="44">
        <f t="shared" si="1"/>
        <v>0</v>
      </c>
    </row>
    <row r="78" spans="1:7" ht="260" x14ac:dyDescent="0.3">
      <c r="A78" s="39" t="s">
        <v>614</v>
      </c>
      <c r="B78" s="12" t="s">
        <v>615</v>
      </c>
      <c r="C78" s="12" t="s">
        <v>595</v>
      </c>
      <c r="D78" s="45">
        <v>4</v>
      </c>
      <c r="E78" s="46" t="s">
        <v>428</v>
      </c>
      <c r="F78" s="43">
        <v>0</v>
      </c>
      <c r="G78" s="44">
        <f t="shared" si="1"/>
        <v>0</v>
      </c>
    </row>
    <row r="79" spans="1:7" ht="104" x14ac:dyDescent="0.3">
      <c r="A79" s="39" t="s">
        <v>616</v>
      </c>
      <c r="B79" s="12" t="s">
        <v>617</v>
      </c>
      <c r="C79" s="4" t="s">
        <v>598</v>
      </c>
      <c r="D79" s="45">
        <v>4</v>
      </c>
      <c r="E79" s="46" t="s">
        <v>428</v>
      </c>
      <c r="F79" s="43">
        <v>0</v>
      </c>
      <c r="G79" s="44">
        <f t="shared" si="1"/>
        <v>0</v>
      </c>
    </row>
    <row r="80" spans="1:7" ht="91" x14ac:dyDescent="0.3">
      <c r="A80" s="39" t="s">
        <v>618</v>
      </c>
      <c r="B80" s="12" t="s">
        <v>619</v>
      </c>
      <c r="C80" s="47" t="s">
        <v>601</v>
      </c>
      <c r="D80" s="45">
        <v>4</v>
      </c>
      <c r="E80" s="46" t="s">
        <v>428</v>
      </c>
      <c r="F80" s="43">
        <v>0</v>
      </c>
      <c r="G80" s="44">
        <f t="shared" si="1"/>
        <v>0</v>
      </c>
    </row>
    <row r="81" spans="1:7" ht="78" x14ac:dyDescent="0.3">
      <c r="A81" s="39" t="s">
        <v>620</v>
      </c>
      <c r="B81" s="12" t="s">
        <v>621</v>
      </c>
      <c r="C81" s="12" t="s">
        <v>604</v>
      </c>
      <c r="D81" s="45">
        <v>4</v>
      </c>
      <c r="E81" s="46" t="s">
        <v>428</v>
      </c>
      <c r="F81" s="43">
        <v>0</v>
      </c>
      <c r="G81" s="44">
        <f t="shared" si="1"/>
        <v>0</v>
      </c>
    </row>
    <row r="82" spans="1:7" ht="78" x14ac:dyDescent="0.3">
      <c r="A82" s="39" t="s">
        <v>622</v>
      </c>
      <c r="B82" s="12" t="s">
        <v>623</v>
      </c>
      <c r="C82" s="12" t="s">
        <v>607</v>
      </c>
      <c r="D82" s="45">
        <v>4</v>
      </c>
      <c r="E82" s="46" t="s">
        <v>428</v>
      </c>
      <c r="F82" s="43">
        <v>0</v>
      </c>
      <c r="G82" s="44">
        <f t="shared" si="1"/>
        <v>0</v>
      </c>
    </row>
    <row r="83" spans="1:7" ht="65" x14ac:dyDescent="0.3">
      <c r="A83" s="39" t="s">
        <v>624</v>
      </c>
      <c r="B83" s="12" t="s">
        <v>625</v>
      </c>
      <c r="C83" s="12" t="s">
        <v>610</v>
      </c>
      <c r="D83" s="45">
        <v>2</v>
      </c>
      <c r="E83" s="46" t="s">
        <v>428</v>
      </c>
      <c r="F83" s="43">
        <v>0</v>
      </c>
      <c r="G83" s="44">
        <f t="shared" si="1"/>
        <v>0</v>
      </c>
    </row>
    <row r="84" spans="1:7" ht="65" x14ac:dyDescent="0.3">
      <c r="A84" s="39" t="s">
        <v>626</v>
      </c>
      <c r="B84" s="12" t="s">
        <v>627</v>
      </c>
      <c r="C84" s="12" t="s">
        <v>628</v>
      </c>
      <c r="D84" s="45">
        <v>1</v>
      </c>
      <c r="E84" s="46" t="s">
        <v>428</v>
      </c>
      <c r="F84" s="43">
        <v>0</v>
      </c>
      <c r="G84" s="44">
        <f t="shared" si="1"/>
        <v>0</v>
      </c>
    </row>
    <row r="85" spans="1:7" ht="260" x14ac:dyDescent="0.3">
      <c r="A85" s="39" t="s">
        <v>629</v>
      </c>
      <c r="B85" s="12" t="s">
        <v>630</v>
      </c>
      <c r="C85" s="12" t="s">
        <v>595</v>
      </c>
      <c r="D85" s="45">
        <v>4</v>
      </c>
      <c r="E85" s="46" t="s">
        <v>428</v>
      </c>
      <c r="F85" s="43">
        <v>0</v>
      </c>
      <c r="G85" s="44">
        <f t="shared" si="1"/>
        <v>0</v>
      </c>
    </row>
    <row r="86" spans="1:7" ht="104" x14ac:dyDescent="0.3">
      <c r="A86" s="39" t="s">
        <v>631</v>
      </c>
      <c r="B86" s="12" t="s">
        <v>632</v>
      </c>
      <c r="C86" s="4" t="s">
        <v>598</v>
      </c>
      <c r="D86" s="45">
        <v>4</v>
      </c>
      <c r="E86" s="46" t="s">
        <v>428</v>
      </c>
      <c r="F86" s="43">
        <v>0</v>
      </c>
      <c r="G86" s="44">
        <f t="shared" si="1"/>
        <v>0</v>
      </c>
    </row>
    <row r="87" spans="1:7" ht="91" x14ac:dyDescent="0.3">
      <c r="A87" s="39" t="s">
        <v>633</v>
      </c>
      <c r="B87" s="12" t="s">
        <v>634</v>
      </c>
      <c r="C87" s="47" t="s">
        <v>601</v>
      </c>
      <c r="D87" s="45">
        <v>4</v>
      </c>
      <c r="E87" s="46" t="s">
        <v>428</v>
      </c>
      <c r="F87" s="43">
        <v>0</v>
      </c>
      <c r="G87" s="44">
        <f t="shared" si="1"/>
        <v>0</v>
      </c>
    </row>
    <row r="88" spans="1:7" ht="78" x14ac:dyDescent="0.3">
      <c r="A88" s="39" t="s">
        <v>635</v>
      </c>
      <c r="B88" s="12" t="s">
        <v>636</v>
      </c>
      <c r="C88" s="12" t="s">
        <v>604</v>
      </c>
      <c r="D88" s="45">
        <v>4</v>
      </c>
      <c r="E88" s="46" t="s">
        <v>428</v>
      </c>
      <c r="F88" s="43">
        <v>0</v>
      </c>
      <c r="G88" s="44">
        <f t="shared" si="1"/>
        <v>0</v>
      </c>
    </row>
    <row r="89" spans="1:7" ht="78" x14ac:dyDescent="0.3">
      <c r="A89" s="39" t="s">
        <v>637</v>
      </c>
      <c r="B89" s="12" t="s">
        <v>638</v>
      </c>
      <c r="C89" s="12" t="s">
        <v>607</v>
      </c>
      <c r="D89" s="45">
        <v>4</v>
      </c>
      <c r="E89" s="46" t="s">
        <v>428</v>
      </c>
      <c r="F89" s="43">
        <v>0</v>
      </c>
      <c r="G89" s="44">
        <f t="shared" si="1"/>
        <v>0</v>
      </c>
    </row>
    <row r="90" spans="1:7" ht="65" x14ac:dyDescent="0.3">
      <c r="A90" s="39" t="s">
        <v>639</v>
      </c>
      <c r="B90" s="12" t="s">
        <v>640</v>
      </c>
      <c r="C90" s="12" t="s">
        <v>610</v>
      </c>
      <c r="D90" s="45">
        <v>2</v>
      </c>
      <c r="E90" s="46" t="s">
        <v>428</v>
      </c>
      <c r="F90" s="43">
        <v>0</v>
      </c>
      <c r="G90" s="44">
        <f t="shared" si="1"/>
        <v>0</v>
      </c>
    </row>
    <row r="91" spans="1:7" ht="65" x14ac:dyDescent="0.3">
      <c r="A91" s="39" t="s">
        <v>641</v>
      </c>
      <c r="B91" s="12" t="s">
        <v>642</v>
      </c>
      <c r="C91" s="12" t="s">
        <v>628</v>
      </c>
      <c r="D91" s="45">
        <v>1</v>
      </c>
      <c r="E91" s="46" t="s">
        <v>428</v>
      </c>
      <c r="F91" s="43">
        <v>0</v>
      </c>
      <c r="G91" s="44">
        <f t="shared" si="1"/>
        <v>0</v>
      </c>
    </row>
    <row r="92" spans="1:7" ht="260" x14ac:dyDescent="0.3">
      <c r="A92" s="39" t="s">
        <v>643</v>
      </c>
      <c r="B92" s="12" t="s">
        <v>644</v>
      </c>
      <c r="C92" s="12" t="s">
        <v>595</v>
      </c>
      <c r="D92" s="45">
        <v>4</v>
      </c>
      <c r="E92" s="46" t="s">
        <v>428</v>
      </c>
      <c r="F92" s="43">
        <v>0</v>
      </c>
      <c r="G92" s="44">
        <f t="shared" si="1"/>
        <v>0</v>
      </c>
    </row>
    <row r="93" spans="1:7" ht="104" x14ac:dyDescent="0.3">
      <c r="A93" s="39" t="s">
        <v>645</v>
      </c>
      <c r="B93" s="12" t="s">
        <v>646</v>
      </c>
      <c r="C93" s="4" t="s">
        <v>598</v>
      </c>
      <c r="D93" s="45">
        <v>4</v>
      </c>
      <c r="E93" s="46" t="s">
        <v>428</v>
      </c>
      <c r="F93" s="43">
        <v>0</v>
      </c>
      <c r="G93" s="44">
        <f t="shared" si="1"/>
        <v>0</v>
      </c>
    </row>
    <row r="94" spans="1:7" ht="91" x14ac:dyDescent="0.3">
      <c r="A94" s="39" t="s">
        <v>647</v>
      </c>
      <c r="B94" s="12" t="s">
        <v>648</v>
      </c>
      <c r="C94" s="47" t="s">
        <v>601</v>
      </c>
      <c r="D94" s="45">
        <v>4</v>
      </c>
      <c r="E94" s="46" t="s">
        <v>428</v>
      </c>
      <c r="F94" s="43">
        <v>0</v>
      </c>
      <c r="G94" s="44">
        <f t="shared" si="1"/>
        <v>0</v>
      </c>
    </row>
    <row r="95" spans="1:7" ht="78" x14ac:dyDescent="0.3">
      <c r="A95" s="39" t="s">
        <v>649</v>
      </c>
      <c r="B95" s="12" t="s">
        <v>650</v>
      </c>
      <c r="C95" s="12" t="s">
        <v>604</v>
      </c>
      <c r="D95" s="45">
        <v>4</v>
      </c>
      <c r="E95" s="46" t="s">
        <v>428</v>
      </c>
      <c r="F95" s="43">
        <v>0</v>
      </c>
      <c r="G95" s="44">
        <f t="shared" si="1"/>
        <v>0</v>
      </c>
    </row>
    <row r="96" spans="1:7" ht="78" x14ac:dyDescent="0.3">
      <c r="A96" s="39" t="s">
        <v>651</v>
      </c>
      <c r="B96" s="12" t="s">
        <v>652</v>
      </c>
      <c r="C96" s="12" t="s">
        <v>607</v>
      </c>
      <c r="D96" s="45">
        <v>4</v>
      </c>
      <c r="E96" s="46" t="s">
        <v>428</v>
      </c>
      <c r="F96" s="43">
        <v>0</v>
      </c>
      <c r="G96" s="44">
        <f t="shared" si="1"/>
        <v>0</v>
      </c>
    </row>
    <row r="97" spans="1:7" ht="65" x14ac:dyDescent="0.3">
      <c r="A97" s="39" t="s">
        <v>653</v>
      </c>
      <c r="B97" s="12" t="s">
        <v>654</v>
      </c>
      <c r="C97" s="12" t="s">
        <v>610</v>
      </c>
      <c r="D97" s="45">
        <v>2</v>
      </c>
      <c r="E97" s="46" t="s">
        <v>428</v>
      </c>
      <c r="F97" s="43">
        <v>0</v>
      </c>
      <c r="G97" s="44">
        <f t="shared" si="1"/>
        <v>0</v>
      </c>
    </row>
    <row r="98" spans="1:7" ht="65" x14ac:dyDescent="0.3">
      <c r="A98" s="39" t="s">
        <v>655</v>
      </c>
      <c r="B98" s="12" t="s">
        <v>656</v>
      </c>
      <c r="C98" s="12" t="s">
        <v>628</v>
      </c>
      <c r="D98" s="45">
        <v>1</v>
      </c>
      <c r="E98" s="46" t="s">
        <v>428</v>
      </c>
      <c r="F98" s="43">
        <v>0</v>
      </c>
      <c r="G98" s="44">
        <f t="shared" si="1"/>
        <v>0</v>
      </c>
    </row>
    <row r="99" spans="1:7" ht="260" x14ac:dyDescent="0.3">
      <c r="A99" s="39" t="s">
        <v>657</v>
      </c>
      <c r="B99" s="12" t="s">
        <v>658</v>
      </c>
      <c r="C99" s="12" t="s">
        <v>595</v>
      </c>
      <c r="D99" s="45">
        <v>4</v>
      </c>
      <c r="E99" s="46" t="s">
        <v>428</v>
      </c>
      <c r="F99" s="43">
        <v>0</v>
      </c>
      <c r="G99" s="44">
        <f t="shared" si="1"/>
        <v>0</v>
      </c>
    </row>
    <row r="100" spans="1:7" ht="104" x14ac:dyDescent="0.3">
      <c r="A100" s="39" t="s">
        <v>659</v>
      </c>
      <c r="B100" s="12" t="s">
        <v>660</v>
      </c>
      <c r="C100" s="4" t="s">
        <v>598</v>
      </c>
      <c r="D100" s="45">
        <v>4</v>
      </c>
      <c r="E100" s="46" t="s">
        <v>428</v>
      </c>
      <c r="F100" s="43">
        <v>0</v>
      </c>
      <c r="G100" s="44">
        <f t="shared" si="1"/>
        <v>0</v>
      </c>
    </row>
    <row r="101" spans="1:7" ht="91" x14ac:dyDescent="0.3">
      <c r="A101" s="39" t="s">
        <v>661</v>
      </c>
      <c r="B101" s="12" t="s">
        <v>662</v>
      </c>
      <c r="C101" s="47" t="s">
        <v>601</v>
      </c>
      <c r="D101" s="45">
        <v>4</v>
      </c>
      <c r="E101" s="46" t="s">
        <v>428</v>
      </c>
      <c r="F101" s="43">
        <v>0</v>
      </c>
      <c r="G101" s="44">
        <f t="shared" si="1"/>
        <v>0</v>
      </c>
    </row>
    <row r="102" spans="1:7" ht="78" x14ac:dyDescent="0.3">
      <c r="A102" s="39" t="s">
        <v>663</v>
      </c>
      <c r="B102" s="12" t="s">
        <v>664</v>
      </c>
      <c r="C102" s="12" t="s">
        <v>604</v>
      </c>
      <c r="D102" s="45">
        <v>4</v>
      </c>
      <c r="E102" s="46" t="s">
        <v>428</v>
      </c>
      <c r="F102" s="43">
        <v>0</v>
      </c>
      <c r="G102" s="44">
        <f t="shared" si="1"/>
        <v>0</v>
      </c>
    </row>
    <row r="103" spans="1:7" ht="78" x14ac:dyDescent="0.3">
      <c r="A103" s="39" t="s">
        <v>665</v>
      </c>
      <c r="B103" s="12" t="s">
        <v>666</v>
      </c>
      <c r="C103" s="12" t="s">
        <v>607</v>
      </c>
      <c r="D103" s="45">
        <v>4</v>
      </c>
      <c r="E103" s="46" t="s">
        <v>428</v>
      </c>
      <c r="F103" s="43">
        <v>0</v>
      </c>
      <c r="G103" s="44">
        <f t="shared" si="1"/>
        <v>0</v>
      </c>
    </row>
    <row r="104" spans="1:7" ht="65" x14ac:dyDescent="0.3">
      <c r="A104" s="39" t="s">
        <v>667</v>
      </c>
      <c r="B104" s="12" t="s">
        <v>668</v>
      </c>
      <c r="C104" s="12" t="s">
        <v>610</v>
      </c>
      <c r="D104" s="45">
        <v>2</v>
      </c>
      <c r="E104" s="46" t="s">
        <v>428</v>
      </c>
      <c r="F104" s="43">
        <v>0</v>
      </c>
      <c r="G104" s="44">
        <f t="shared" si="1"/>
        <v>0</v>
      </c>
    </row>
    <row r="105" spans="1:7" ht="65" x14ac:dyDescent="0.3">
      <c r="A105" s="39" t="s">
        <v>669</v>
      </c>
      <c r="B105" s="12" t="s">
        <v>670</v>
      </c>
      <c r="C105" s="12" t="s">
        <v>628</v>
      </c>
      <c r="D105" s="45">
        <v>1</v>
      </c>
      <c r="E105" s="46" t="s">
        <v>428</v>
      </c>
      <c r="F105" s="43">
        <v>0</v>
      </c>
      <c r="G105" s="44">
        <f t="shared" si="1"/>
        <v>0</v>
      </c>
    </row>
    <row r="106" spans="1:7" ht="260" x14ac:dyDescent="0.3">
      <c r="A106" s="39" t="s">
        <v>671</v>
      </c>
      <c r="B106" s="12" t="s">
        <v>672</v>
      </c>
      <c r="C106" s="12" t="s">
        <v>595</v>
      </c>
      <c r="D106" s="45">
        <v>4</v>
      </c>
      <c r="E106" s="46" t="s">
        <v>428</v>
      </c>
      <c r="F106" s="43">
        <v>0</v>
      </c>
      <c r="G106" s="44">
        <f t="shared" si="1"/>
        <v>0</v>
      </c>
    </row>
    <row r="107" spans="1:7" ht="104" x14ac:dyDescent="0.3">
      <c r="A107" s="39" t="s">
        <v>673</v>
      </c>
      <c r="B107" s="12" t="s">
        <v>674</v>
      </c>
      <c r="C107" s="4" t="s">
        <v>598</v>
      </c>
      <c r="D107" s="45">
        <v>4</v>
      </c>
      <c r="E107" s="46" t="s">
        <v>428</v>
      </c>
      <c r="F107" s="43">
        <v>0</v>
      </c>
      <c r="G107" s="44">
        <f t="shared" si="1"/>
        <v>0</v>
      </c>
    </row>
    <row r="108" spans="1:7" ht="91" x14ac:dyDescent="0.3">
      <c r="A108" s="39" t="s">
        <v>675</v>
      </c>
      <c r="B108" s="12" t="s">
        <v>676</v>
      </c>
      <c r="C108" s="47" t="s">
        <v>601</v>
      </c>
      <c r="D108" s="45">
        <v>4</v>
      </c>
      <c r="E108" s="46" t="s">
        <v>428</v>
      </c>
      <c r="F108" s="43">
        <v>0</v>
      </c>
      <c r="G108" s="44">
        <f t="shared" si="1"/>
        <v>0</v>
      </c>
    </row>
    <row r="109" spans="1:7" ht="78" x14ac:dyDescent="0.3">
      <c r="A109" s="39" t="s">
        <v>677</v>
      </c>
      <c r="B109" s="12" t="s">
        <v>678</v>
      </c>
      <c r="C109" s="12" t="s">
        <v>604</v>
      </c>
      <c r="D109" s="45">
        <v>4</v>
      </c>
      <c r="E109" s="46" t="s">
        <v>428</v>
      </c>
      <c r="F109" s="43">
        <v>0</v>
      </c>
      <c r="G109" s="44">
        <f t="shared" si="1"/>
        <v>0</v>
      </c>
    </row>
    <row r="110" spans="1:7" ht="78" x14ac:dyDescent="0.3">
      <c r="A110" s="39" t="s">
        <v>679</v>
      </c>
      <c r="B110" s="12" t="s">
        <v>680</v>
      </c>
      <c r="C110" s="12" t="s">
        <v>607</v>
      </c>
      <c r="D110" s="45">
        <v>4</v>
      </c>
      <c r="E110" s="46" t="s">
        <v>428</v>
      </c>
      <c r="F110" s="43">
        <v>0</v>
      </c>
      <c r="G110" s="44">
        <f t="shared" si="1"/>
        <v>0</v>
      </c>
    </row>
    <row r="111" spans="1:7" ht="65" x14ac:dyDescent="0.3">
      <c r="A111" s="39" t="s">
        <v>681</v>
      </c>
      <c r="B111" s="12" t="s">
        <v>682</v>
      </c>
      <c r="C111" s="12" t="s">
        <v>610</v>
      </c>
      <c r="D111" s="45">
        <v>2</v>
      </c>
      <c r="E111" s="46" t="s">
        <v>428</v>
      </c>
      <c r="F111" s="43">
        <v>0</v>
      </c>
      <c r="G111" s="44">
        <f t="shared" si="1"/>
        <v>0</v>
      </c>
    </row>
    <row r="112" spans="1:7" ht="65" x14ac:dyDescent="0.3">
      <c r="A112" s="39" t="s">
        <v>683</v>
      </c>
      <c r="B112" s="12" t="s">
        <v>684</v>
      </c>
      <c r="C112" s="12" t="s">
        <v>628</v>
      </c>
      <c r="D112" s="45">
        <v>1</v>
      </c>
      <c r="E112" s="46" t="s">
        <v>428</v>
      </c>
      <c r="F112" s="43">
        <v>0</v>
      </c>
      <c r="G112" s="44">
        <f t="shared" si="1"/>
        <v>0</v>
      </c>
    </row>
    <row r="113" spans="1:7" ht="117" x14ac:dyDescent="0.3">
      <c r="A113" s="39" t="s">
        <v>685</v>
      </c>
      <c r="B113" s="12" t="s">
        <v>686</v>
      </c>
      <c r="C113" s="12" t="s">
        <v>687</v>
      </c>
      <c r="D113" s="45">
        <v>12</v>
      </c>
      <c r="E113" s="46" t="s">
        <v>428</v>
      </c>
      <c r="F113" s="43">
        <v>0</v>
      </c>
      <c r="G113" s="44">
        <f t="shared" si="1"/>
        <v>0</v>
      </c>
    </row>
    <row r="114" spans="1:7" ht="52" x14ac:dyDescent="0.3">
      <c r="A114" s="39" t="s">
        <v>688</v>
      </c>
      <c r="B114" s="12" t="s">
        <v>689</v>
      </c>
      <c r="C114" s="40" t="s">
        <v>690</v>
      </c>
      <c r="D114" s="45">
        <v>10</v>
      </c>
      <c r="E114" s="46" t="s">
        <v>428</v>
      </c>
      <c r="F114" s="43">
        <v>0</v>
      </c>
      <c r="G114" s="44">
        <f t="shared" si="1"/>
        <v>0</v>
      </c>
    </row>
    <row r="115" spans="1:7" ht="65" x14ac:dyDescent="0.3">
      <c r="A115" s="39" t="s">
        <v>691</v>
      </c>
      <c r="B115" s="12" t="s">
        <v>692</v>
      </c>
      <c r="C115" s="12" t="s">
        <v>693</v>
      </c>
      <c r="D115" s="45">
        <v>4</v>
      </c>
      <c r="E115" s="46" t="s">
        <v>428</v>
      </c>
      <c r="F115" s="43">
        <v>0</v>
      </c>
      <c r="G115" s="44">
        <f t="shared" si="1"/>
        <v>0</v>
      </c>
    </row>
    <row r="116" spans="1:7" ht="91" x14ac:dyDescent="0.3">
      <c r="A116" s="39" t="s">
        <v>694</v>
      </c>
      <c r="B116" s="12" t="s">
        <v>695</v>
      </c>
      <c r="C116" s="12" t="s">
        <v>696</v>
      </c>
      <c r="D116" s="12">
        <v>6</v>
      </c>
      <c r="E116" s="11" t="s">
        <v>428</v>
      </c>
      <c r="F116" s="43">
        <v>0</v>
      </c>
      <c r="G116" s="44">
        <f t="shared" si="1"/>
        <v>0</v>
      </c>
    </row>
    <row r="117" spans="1:7" ht="91" x14ac:dyDescent="0.3">
      <c r="A117" s="39" t="s">
        <v>697</v>
      </c>
      <c r="B117" s="12" t="s">
        <v>698</v>
      </c>
      <c r="C117" s="12" t="s">
        <v>699</v>
      </c>
      <c r="D117" s="12">
        <v>3</v>
      </c>
      <c r="E117" s="48" t="s">
        <v>428</v>
      </c>
      <c r="F117" s="43">
        <v>0</v>
      </c>
      <c r="G117" s="44">
        <f t="shared" si="1"/>
        <v>0</v>
      </c>
    </row>
    <row r="118" spans="1:7" ht="78" x14ac:dyDescent="0.3">
      <c r="A118" s="39" t="s">
        <v>700</v>
      </c>
      <c r="B118" s="12" t="s">
        <v>701</v>
      </c>
      <c r="C118" s="12" t="s">
        <v>702</v>
      </c>
      <c r="D118" s="12">
        <v>2</v>
      </c>
      <c r="E118" s="48" t="s">
        <v>428</v>
      </c>
      <c r="F118" s="43">
        <v>0</v>
      </c>
      <c r="G118" s="44">
        <f t="shared" si="1"/>
        <v>0</v>
      </c>
    </row>
    <row r="119" spans="1:7" ht="78" x14ac:dyDescent="0.3">
      <c r="A119" s="39" t="s">
        <v>703</v>
      </c>
      <c r="B119" s="12" t="s">
        <v>704</v>
      </c>
      <c r="C119" s="12" t="s">
        <v>705</v>
      </c>
      <c r="D119" s="45">
        <v>1</v>
      </c>
      <c r="E119" s="46" t="s">
        <v>428</v>
      </c>
      <c r="F119" s="43">
        <v>0</v>
      </c>
      <c r="G119" s="44">
        <f t="shared" si="1"/>
        <v>0</v>
      </c>
    </row>
    <row r="120" spans="1:7" ht="117" x14ac:dyDescent="0.3">
      <c r="A120" s="39" t="s">
        <v>706</v>
      </c>
      <c r="B120" s="12" t="s">
        <v>707</v>
      </c>
      <c r="C120" s="12" t="s">
        <v>687</v>
      </c>
      <c r="D120" s="45">
        <v>12</v>
      </c>
      <c r="E120" s="46" t="s">
        <v>428</v>
      </c>
      <c r="F120" s="43">
        <v>0</v>
      </c>
      <c r="G120" s="44">
        <f t="shared" si="1"/>
        <v>0</v>
      </c>
    </row>
    <row r="121" spans="1:7" ht="52" x14ac:dyDescent="0.3">
      <c r="A121" s="39" t="s">
        <v>708</v>
      </c>
      <c r="B121" s="40" t="s">
        <v>709</v>
      </c>
      <c r="C121" s="12" t="s">
        <v>690</v>
      </c>
      <c r="D121" s="45">
        <v>10</v>
      </c>
      <c r="E121" s="46" t="s">
        <v>428</v>
      </c>
      <c r="F121" s="43">
        <v>0</v>
      </c>
      <c r="G121" s="44">
        <f t="shared" si="1"/>
        <v>0</v>
      </c>
    </row>
    <row r="122" spans="1:7" ht="78" x14ac:dyDescent="0.3">
      <c r="A122" s="39" t="s">
        <v>710</v>
      </c>
      <c r="B122" s="12" t="s">
        <v>711</v>
      </c>
      <c r="C122" s="12" t="s">
        <v>712</v>
      </c>
      <c r="D122" s="45">
        <v>4</v>
      </c>
      <c r="E122" s="46" t="s">
        <v>428</v>
      </c>
      <c r="F122" s="43">
        <v>0</v>
      </c>
      <c r="G122" s="44">
        <f t="shared" si="1"/>
        <v>0</v>
      </c>
    </row>
    <row r="123" spans="1:7" ht="91" x14ac:dyDescent="0.3">
      <c r="A123" s="39" t="s">
        <v>713</v>
      </c>
      <c r="B123" s="12" t="s">
        <v>714</v>
      </c>
      <c r="C123" s="12" t="s">
        <v>715</v>
      </c>
      <c r="D123" s="45">
        <v>6</v>
      </c>
      <c r="E123" s="46" t="s">
        <v>428</v>
      </c>
      <c r="F123" s="43">
        <v>0</v>
      </c>
      <c r="G123" s="44">
        <f t="shared" si="1"/>
        <v>0</v>
      </c>
    </row>
    <row r="124" spans="1:7" ht="91" x14ac:dyDescent="0.3">
      <c r="A124" s="39" t="s">
        <v>716</v>
      </c>
      <c r="B124" s="12" t="s">
        <v>717</v>
      </c>
      <c r="C124" s="12" t="s">
        <v>718</v>
      </c>
      <c r="D124" s="45">
        <v>3</v>
      </c>
      <c r="E124" s="46" t="s">
        <v>428</v>
      </c>
      <c r="F124" s="43">
        <v>0</v>
      </c>
      <c r="G124" s="44">
        <f t="shared" si="1"/>
        <v>0</v>
      </c>
    </row>
    <row r="125" spans="1:7" ht="78" x14ac:dyDescent="0.3">
      <c r="A125" s="39" t="s">
        <v>719</v>
      </c>
      <c r="B125" s="12" t="s">
        <v>720</v>
      </c>
      <c r="C125" s="12" t="s">
        <v>721</v>
      </c>
      <c r="D125" s="45">
        <v>2</v>
      </c>
      <c r="E125" s="46" t="s">
        <v>428</v>
      </c>
      <c r="F125" s="43">
        <v>0</v>
      </c>
      <c r="G125" s="44">
        <f t="shared" si="1"/>
        <v>0</v>
      </c>
    </row>
    <row r="126" spans="1:7" ht="91" x14ac:dyDescent="0.3">
      <c r="A126" s="39" t="s">
        <v>722</v>
      </c>
      <c r="B126" s="12" t="s">
        <v>723</v>
      </c>
      <c r="C126" s="12" t="s">
        <v>724</v>
      </c>
      <c r="D126" s="45">
        <v>1</v>
      </c>
      <c r="E126" s="46" t="s">
        <v>428</v>
      </c>
      <c r="F126" s="43">
        <v>0</v>
      </c>
      <c r="G126" s="44">
        <f t="shared" si="1"/>
        <v>0</v>
      </c>
    </row>
    <row r="127" spans="1:7" ht="221" x14ac:dyDescent="0.3">
      <c r="A127" s="39" t="s">
        <v>725</v>
      </c>
      <c r="B127" s="12" t="s">
        <v>726</v>
      </c>
      <c r="C127" s="12" t="s">
        <v>727</v>
      </c>
      <c r="D127" s="45">
        <v>12</v>
      </c>
      <c r="E127" s="46" t="s">
        <v>428</v>
      </c>
      <c r="F127" s="43">
        <v>0</v>
      </c>
      <c r="G127" s="44">
        <f t="shared" si="1"/>
        <v>0</v>
      </c>
    </row>
    <row r="128" spans="1:7" ht="117" x14ac:dyDescent="0.3">
      <c r="A128" s="39" t="s">
        <v>728</v>
      </c>
      <c r="B128" s="12" t="s">
        <v>729</v>
      </c>
      <c r="C128" s="12" t="s">
        <v>730</v>
      </c>
      <c r="D128" s="45">
        <v>12</v>
      </c>
      <c r="E128" s="46" t="s">
        <v>428</v>
      </c>
      <c r="F128" s="43">
        <v>0</v>
      </c>
      <c r="G128" s="44">
        <f t="shared" si="1"/>
        <v>0</v>
      </c>
    </row>
    <row r="129" spans="1:7" ht="52" x14ac:dyDescent="0.3">
      <c r="A129" s="39" t="s">
        <v>731</v>
      </c>
      <c r="B129" s="12" t="s">
        <v>732</v>
      </c>
      <c r="C129" s="12" t="s">
        <v>733</v>
      </c>
      <c r="D129" s="45">
        <v>12</v>
      </c>
      <c r="E129" s="46" t="s">
        <v>428</v>
      </c>
      <c r="F129" s="43">
        <v>0</v>
      </c>
      <c r="G129" s="44">
        <f t="shared" si="1"/>
        <v>0</v>
      </c>
    </row>
    <row r="130" spans="1:7" ht="52.5" customHeight="1" x14ac:dyDescent="0.3">
      <c r="A130" s="39" t="s">
        <v>734</v>
      </c>
      <c r="B130" s="12" t="s">
        <v>735</v>
      </c>
      <c r="C130" s="12" t="s">
        <v>693</v>
      </c>
      <c r="D130" s="45">
        <v>6</v>
      </c>
      <c r="E130" s="46" t="s">
        <v>428</v>
      </c>
      <c r="F130" s="43">
        <v>0</v>
      </c>
      <c r="G130" s="44">
        <f t="shared" si="1"/>
        <v>0</v>
      </c>
    </row>
    <row r="131" spans="1:7" ht="91" x14ac:dyDescent="0.3">
      <c r="A131" s="39" t="s">
        <v>736</v>
      </c>
      <c r="B131" s="12" t="s">
        <v>737</v>
      </c>
      <c r="C131" s="12" t="s">
        <v>696</v>
      </c>
      <c r="D131" s="45">
        <v>4</v>
      </c>
      <c r="E131" s="46" t="s">
        <v>428</v>
      </c>
      <c r="F131" s="43">
        <v>0</v>
      </c>
      <c r="G131" s="44">
        <f t="shared" si="1"/>
        <v>0</v>
      </c>
    </row>
    <row r="132" spans="1:7" ht="91" x14ac:dyDescent="0.3">
      <c r="A132" s="39" t="s">
        <v>738</v>
      </c>
      <c r="B132" s="12" t="s">
        <v>739</v>
      </c>
      <c r="C132" s="12" t="s">
        <v>740</v>
      </c>
      <c r="D132" s="45">
        <v>6</v>
      </c>
      <c r="E132" s="46" t="s">
        <v>428</v>
      </c>
      <c r="F132" s="43">
        <v>0</v>
      </c>
      <c r="G132" s="44">
        <f t="shared" si="1"/>
        <v>0</v>
      </c>
    </row>
    <row r="133" spans="1:7" ht="78" x14ac:dyDescent="0.3">
      <c r="A133" s="39" t="s">
        <v>741</v>
      </c>
      <c r="B133" s="12" t="s">
        <v>742</v>
      </c>
      <c r="C133" s="12" t="s">
        <v>743</v>
      </c>
      <c r="D133" s="45">
        <v>2</v>
      </c>
      <c r="E133" s="46" t="s">
        <v>428</v>
      </c>
      <c r="F133" s="43">
        <v>0</v>
      </c>
      <c r="G133" s="44">
        <f t="shared" si="1"/>
        <v>0</v>
      </c>
    </row>
    <row r="134" spans="1:7" ht="65.25" customHeight="1" x14ac:dyDescent="0.3">
      <c r="A134" s="39" t="s">
        <v>744</v>
      </c>
      <c r="B134" s="12" t="s">
        <v>745</v>
      </c>
      <c r="C134" s="12" t="s">
        <v>746</v>
      </c>
      <c r="D134" s="45">
        <v>1</v>
      </c>
      <c r="E134" s="46" t="s">
        <v>428</v>
      </c>
      <c r="F134" s="43">
        <v>0</v>
      </c>
      <c r="G134" s="44">
        <f t="shared" si="1"/>
        <v>0</v>
      </c>
    </row>
    <row r="135" spans="1:7" ht="109.5" customHeight="1" x14ac:dyDescent="0.3">
      <c r="A135" s="39" t="s">
        <v>747</v>
      </c>
      <c r="B135" s="4" t="s">
        <v>748</v>
      </c>
      <c r="C135" s="4" t="s">
        <v>749</v>
      </c>
      <c r="D135" s="45">
        <v>12</v>
      </c>
      <c r="E135" s="46" t="s">
        <v>428</v>
      </c>
      <c r="F135" s="43">
        <v>0</v>
      </c>
      <c r="G135" s="44">
        <f t="shared" si="1"/>
        <v>0</v>
      </c>
    </row>
    <row r="136" spans="1:7" ht="109.5" customHeight="1" x14ac:dyDescent="0.3">
      <c r="A136" s="39" t="s">
        <v>750</v>
      </c>
      <c r="B136" s="4" t="s">
        <v>751</v>
      </c>
      <c r="C136" s="4" t="s">
        <v>752</v>
      </c>
      <c r="D136" s="45">
        <f>G136-F136</f>
        <v>0</v>
      </c>
      <c r="E136" s="46" t="s">
        <v>515</v>
      </c>
      <c r="F136" s="43">
        <v>0</v>
      </c>
      <c r="G136" s="44">
        <v>0</v>
      </c>
    </row>
    <row r="137" spans="1:7" ht="109.5" customHeight="1" x14ac:dyDescent="0.3">
      <c r="A137" s="39" t="s">
        <v>753</v>
      </c>
      <c r="B137" s="4" t="s">
        <v>754</v>
      </c>
      <c r="C137" s="4" t="s">
        <v>755</v>
      </c>
      <c r="D137" s="45">
        <f>G137-F137</f>
        <v>0</v>
      </c>
      <c r="E137" s="46" t="s">
        <v>428</v>
      </c>
      <c r="F137" s="43">
        <v>0</v>
      </c>
      <c r="G137" s="44">
        <v>0</v>
      </c>
    </row>
    <row r="138" spans="1:7" s="92" customFormat="1" ht="109.5" customHeight="1" x14ac:dyDescent="0.3">
      <c r="A138" s="85" t="s">
        <v>756</v>
      </c>
      <c r="B138" s="86" t="s">
        <v>757</v>
      </c>
      <c r="C138" s="87" t="s">
        <v>758</v>
      </c>
      <c r="D138" s="88">
        <v>180000</v>
      </c>
      <c r="E138" s="89" t="s">
        <v>421</v>
      </c>
      <c r="F138" s="90">
        <v>0</v>
      </c>
      <c r="G138" s="91">
        <v>0</v>
      </c>
    </row>
    <row r="139" spans="1:7" ht="15" customHeight="1" x14ac:dyDescent="0.3">
      <c r="A139" s="226" t="s">
        <v>759</v>
      </c>
      <c r="B139" s="227"/>
      <c r="C139" s="227"/>
      <c r="D139" s="78"/>
      <c r="E139" s="78"/>
      <c r="F139" s="80"/>
      <c r="G139" s="20">
        <f>SUM(G11:G138)</f>
        <v>0</v>
      </c>
    </row>
    <row r="141" spans="1:7" ht="14.25" customHeight="1" x14ac:dyDescent="0.3"/>
    <row r="142" spans="1:7" ht="15" customHeight="1" x14ac:dyDescent="0.3"/>
    <row r="143" spans="1:7" ht="15" customHeight="1" x14ac:dyDescent="0.3"/>
    <row r="144" spans="1:7" ht="15" customHeight="1" x14ac:dyDescent="0.3"/>
    <row r="145" ht="15" customHeight="1" x14ac:dyDescent="0.3"/>
    <row r="146" ht="15" customHeight="1" x14ac:dyDescent="0.3"/>
    <row r="147" ht="15" customHeight="1" x14ac:dyDescent="0.3"/>
    <row r="148" ht="15" customHeight="1" x14ac:dyDescent="0.3"/>
    <row r="149" ht="15" customHeight="1" x14ac:dyDescent="0.3"/>
    <row r="150" ht="15" customHeight="1" x14ac:dyDescent="0.3"/>
    <row r="151" ht="15" customHeight="1" x14ac:dyDescent="0.3"/>
    <row r="152" ht="15" customHeight="1" x14ac:dyDescent="0.3"/>
    <row r="153" ht="15" customHeight="1" x14ac:dyDescent="0.3"/>
    <row r="154" ht="15" customHeight="1" x14ac:dyDescent="0.3"/>
    <row r="155" ht="15" customHeight="1" x14ac:dyDescent="0.3"/>
    <row r="156" ht="15" customHeight="1" x14ac:dyDescent="0.3"/>
    <row r="157" ht="15" customHeight="1" x14ac:dyDescent="0.3"/>
    <row r="158" ht="15" customHeight="1" x14ac:dyDescent="0.3"/>
    <row r="159" ht="15" customHeight="1" x14ac:dyDescent="0.3"/>
    <row r="160" ht="15" customHeight="1" x14ac:dyDescent="0.3"/>
  </sheetData>
  <autoFilter ref="B1:B160"/>
  <mergeCells count="5">
    <mergeCell ref="A5:C5"/>
    <mergeCell ref="A6:C6"/>
    <mergeCell ref="A7:C7"/>
    <mergeCell ref="A8:G8"/>
    <mergeCell ref="A139:C139"/>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79998168889431442"/>
  </sheetPr>
  <dimension ref="A1:J366"/>
  <sheetViews>
    <sheetView tabSelected="1" workbookViewId="0">
      <selection activeCell="D367" sqref="D367"/>
    </sheetView>
  </sheetViews>
  <sheetFormatPr defaultColWidth="9.1796875" defaultRowHeight="13" x14ac:dyDescent="0.3"/>
  <cols>
    <col min="1" max="1" width="9.1796875" style="49"/>
    <col min="2" max="3" width="10.7265625" style="49" customWidth="1"/>
    <col min="4" max="4" width="62" style="18" customWidth="1"/>
    <col min="5" max="6" width="15.7265625" style="49" customWidth="1"/>
    <col min="7" max="8" width="15.7265625" style="74" customWidth="1"/>
    <col min="9" max="10" width="10.7265625" style="18" customWidth="1"/>
    <col min="11" max="11" width="9.81640625" style="18" customWidth="1"/>
    <col min="12" max="16384" width="9.1796875" style="18"/>
  </cols>
  <sheetData>
    <row r="1" spans="1:10" ht="15.75" customHeight="1" x14ac:dyDescent="0.3">
      <c r="A1" s="21"/>
      <c r="B1" s="22"/>
      <c r="C1" s="22"/>
      <c r="D1" s="79" t="s">
        <v>0</v>
      </c>
      <c r="E1" s="22"/>
      <c r="F1" s="22"/>
      <c r="G1" s="71"/>
      <c r="H1" s="75"/>
    </row>
    <row r="2" spans="1:10" ht="15.75" customHeight="1" x14ac:dyDescent="0.3">
      <c r="A2" s="26"/>
      <c r="B2" s="17"/>
      <c r="C2" s="17"/>
      <c r="D2" s="142" t="s">
        <v>1</v>
      </c>
      <c r="E2" s="17"/>
      <c r="F2" s="17"/>
      <c r="G2" s="72"/>
      <c r="H2" s="76"/>
    </row>
    <row r="3" spans="1:10" ht="15.75" customHeight="1" x14ac:dyDescent="0.3">
      <c r="A3" s="26"/>
      <c r="B3" s="17"/>
      <c r="C3" s="17"/>
      <c r="D3" s="143" t="s">
        <v>2</v>
      </c>
      <c r="E3" s="17"/>
      <c r="F3" s="17"/>
      <c r="G3" s="72"/>
      <c r="H3" s="76"/>
    </row>
    <row r="4" spans="1:10" ht="15.75" customHeight="1" x14ac:dyDescent="0.3">
      <c r="A4" s="26"/>
      <c r="B4" s="17"/>
      <c r="C4" s="17"/>
      <c r="D4" s="142" t="s">
        <v>3</v>
      </c>
      <c r="E4" s="17"/>
      <c r="F4" s="17"/>
      <c r="G4" s="72"/>
      <c r="H4" s="76"/>
    </row>
    <row r="5" spans="1:10" ht="15.75" customHeight="1" x14ac:dyDescent="0.3">
      <c r="A5" s="51" t="s">
        <v>18</v>
      </c>
      <c r="B5" s="52"/>
      <c r="C5" s="52"/>
      <c r="D5" s="52"/>
      <c r="E5" s="17"/>
      <c r="F5" s="17"/>
      <c r="G5" s="72"/>
      <c r="H5" s="76"/>
    </row>
    <row r="6" spans="1:10" ht="15.75" customHeight="1" x14ac:dyDescent="0.3">
      <c r="A6" s="51" t="s">
        <v>19</v>
      </c>
      <c r="B6" s="52"/>
      <c r="C6" s="52"/>
      <c r="D6" s="52"/>
      <c r="E6" s="17"/>
      <c r="F6" s="17"/>
      <c r="G6" s="72"/>
      <c r="H6" s="76"/>
    </row>
    <row r="7" spans="1:10" ht="15.75" customHeight="1" x14ac:dyDescent="0.3">
      <c r="A7" s="53" t="s">
        <v>760</v>
      </c>
      <c r="B7" s="54"/>
      <c r="C7" s="54"/>
      <c r="D7" s="54"/>
      <c r="E7" s="30"/>
      <c r="F7" s="30"/>
      <c r="G7" s="73"/>
      <c r="H7" s="77"/>
    </row>
    <row r="8" spans="1:10" ht="53.25" customHeight="1" x14ac:dyDescent="0.3">
      <c r="A8" s="145" t="s">
        <v>21</v>
      </c>
      <c r="B8" s="145" t="s">
        <v>22</v>
      </c>
      <c r="C8" s="145" t="s">
        <v>23</v>
      </c>
      <c r="D8" s="55" t="s">
        <v>24</v>
      </c>
      <c r="E8" s="38" t="s">
        <v>25</v>
      </c>
      <c r="F8" s="38" t="s">
        <v>26</v>
      </c>
      <c r="G8" s="38" t="s">
        <v>27</v>
      </c>
      <c r="H8" s="38" t="s">
        <v>7</v>
      </c>
    </row>
    <row r="9" spans="1:10" x14ac:dyDescent="0.3">
      <c r="A9" s="216" t="s">
        <v>28</v>
      </c>
      <c r="B9" s="217"/>
      <c r="C9" s="217"/>
      <c r="D9" s="218"/>
      <c r="E9" s="38"/>
      <c r="F9" s="38"/>
      <c r="G9" s="38"/>
      <c r="H9" s="38"/>
    </row>
    <row r="10" spans="1:10" x14ac:dyDescent="0.3">
      <c r="A10" s="13" t="s">
        <v>761</v>
      </c>
      <c r="B10" s="13"/>
      <c r="C10" s="13" t="s">
        <v>14</v>
      </c>
      <c r="D10" s="15" t="s">
        <v>30</v>
      </c>
      <c r="E10" s="56"/>
      <c r="F10" s="56"/>
      <c r="G10" s="63"/>
      <c r="H10" s="63"/>
      <c r="J10" s="57" t="s">
        <v>14</v>
      </c>
    </row>
    <row r="11" spans="1:10" x14ac:dyDescent="0.3">
      <c r="A11" s="13" t="s">
        <v>762</v>
      </c>
      <c r="B11" s="13">
        <v>1503050</v>
      </c>
      <c r="C11" s="13"/>
      <c r="D11" s="58" t="s">
        <v>32</v>
      </c>
      <c r="E11" s="56"/>
      <c r="F11" s="56"/>
      <c r="G11" s="63"/>
      <c r="H11" s="63"/>
      <c r="J11" s="57" t="s">
        <v>14</v>
      </c>
    </row>
    <row r="12" spans="1:10" ht="12.75" customHeight="1" x14ac:dyDescent="0.3">
      <c r="A12" s="8" t="s">
        <v>763</v>
      </c>
      <c r="B12" s="8">
        <v>1503050</v>
      </c>
      <c r="C12" s="8">
        <v>3.1</v>
      </c>
      <c r="D12" s="9" t="s">
        <v>2869</v>
      </c>
      <c r="E12" s="59">
        <v>12</v>
      </c>
      <c r="F12" s="56" t="s">
        <v>34</v>
      </c>
      <c r="G12" s="63">
        <f>H12/E12</f>
        <v>0</v>
      </c>
      <c r="H12" s="63">
        <v>0</v>
      </c>
      <c r="J12" s="57" t="s">
        <v>14</v>
      </c>
    </row>
    <row r="13" spans="1:10" x14ac:dyDescent="0.3">
      <c r="A13" s="8" t="s">
        <v>764</v>
      </c>
      <c r="B13" s="8">
        <v>1503050</v>
      </c>
      <c r="C13" s="8">
        <v>3.1</v>
      </c>
      <c r="D13" s="9" t="s">
        <v>36</v>
      </c>
      <c r="E13" s="59">
        <v>12</v>
      </c>
      <c r="F13" s="56" t="s">
        <v>34</v>
      </c>
      <c r="G13" s="63">
        <f t="shared" ref="G13:G19" si="0">H13/E13</f>
        <v>0</v>
      </c>
      <c r="H13" s="63">
        <v>0</v>
      </c>
      <c r="J13" s="57"/>
    </row>
    <row r="14" spans="1:10" x14ac:dyDescent="0.3">
      <c r="A14" s="8" t="s">
        <v>765</v>
      </c>
      <c r="B14" s="8">
        <v>1503050</v>
      </c>
      <c r="C14" s="8">
        <v>3.1</v>
      </c>
      <c r="D14" s="9" t="s">
        <v>38</v>
      </c>
      <c r="E14" s="59">
        <v>12</v>
      </c>
      <c r="F14" s="56" t="s">
        <v>34</v>
      </c>
      <c r="G14" s="63">
        <f t="shared" si="0"/>
        <v>0</v>
      </c>
      <c r="H14" s="63">
        <v>0</v>
      </c>
      <c r="J14" s="57"/>
    </row>
    <row r="15" spans="1:10" x14ac:dyDescent="0.3">
      <c r="A15" s="8" t="s">
        <v>766</v>
      </c>
      <c r="B15" s="8">
        <v>1503050</v>
      </c>
      <c r="C15" s="8">
        <v>3.2</v>
      </c>
      <c r="D15" s="9" t="s">
        <v>40</v>
      </c>
      <c r="E15" s="59">
        <v>12</v>
      </c>
      <c r="F15" s="56" t="s">
        <v>34</v>
      </c>
      <c r="G15" s="63">
        <f t="shared" si="0"/>
        <v>0</v>
      </c>
      <c r="H15" s="63">
        <v>0</v>
      </c>
      <c r="J15" s="57" t="s">
        <v>14</v>
      </c>
    </row>
    <row r="16" spans="1:10" x14ac:dyDescent="0.3">
      <c r="A16" s="8" t="s">
        <v>767</v>
      </c>
      <c r="B16" s="8">
        <v>1503050</v>
      </c>
      <c r="C16" s="8">
        <v>3.3</v>
      </c>
      <c r="D16" s="9" t="s">
        <v>2870</v>
      </c>
      <c r="E16" s="59">
        <v>12</v>
      </c>
      <c r="F16" s="56" t="s">
        <v>34</v>
      </c>
      <c r="G16" s="63">
        <f t="shared" si="0"/>
        <v>0</v>
      </c>
      <c r="H16" s="63">
        <v>0</v>
      </c>
      <c r="J16" s="57" t="s">
        <v>14</v>
      </c>
    </row>
    <row r="17" spans="1:10" x14ac:dyDescent="0.3">
      <c r="A17" s="8" t="s">
        <v>768</v>
      </c>
      <c r="B17" s="8">
        <v>1503050</v>
      </c>
      <c r="C17" s="8">
        <v>3.5</v>
      </c>
      <c r="D17" s="9" t="s">
        <v>2871</v>
      </c>
      <c r="E17" s="59">
        <v>12</v>
      </c>
      <c r="F17" s="56" t="s">
        <v>34</v>
      </c>
      <c r="G17" s="63">
        <f t="shared" si="0"/>
        <v>0</v>
      </c>
      <c r="H17" s="63">
        <v>0</v>
      </c>
      <c r="J17" s="57" t="s">
        <v>14</v>
      </c>
    </row>
    <row r="18" spans="1:10" x14ac:dyDescent="0.3">
      <c r="A18" s="8" t="s">
        <v>769</v>
      </c>
      <c r="B18" s="8">
        <v>1503050</v>
      </c>
      <c r="C18" s="8">
        <v>3.6</v>
      </c>
      <c r="D18" s="9" t="s">
        <v>44</v>
      </c>
      <c r="E18" s="59">
        <v>12</v>
      </c>
      <c r="F18" s="56" t="s">
        <v>34</v>
      </c>
      <c r="G18" s="63">
        <f t="shared" si="0"/>
        <v>0</v>
      </c>
      <c r="H18" s="63">
        <v>0</v>
      </c>
      <c r="J18" s="57"/>
    </row>
    <row r="19" spans="1:10" x14ac:dyDescent="0.3">
      <c r="A19" s="49" t="s">
        <v>770</v>
      </c>
      <c r="B19" s="8">
        <v>1503050</v>
      </c>
      <c r="C19" s="8">
        <v>3.7</v>
      </c>
      <c r="D19" s="9" t="s">
        <v>46</v>
      </c>
      <c r="E19" s="59">
        <v>12</v>
      </c>
      <c r="F19" s="56" t="s">
        <v>34</v>
      </c>
      <c r="G19" s="63">
        <f t="shared" si="0"/>
        <v>0</v>
      </c>
      <c r="H19" s="63">
        <v>0</v>
      </c>
      <c r="J19" s="57" t="s">
        <v>14</v>
      </c>
    </row>
    <row r="20" spans="1:10" x14ac:dyDescent="0.3">
      <c r="A20" s="13"/>
      <c r="B20" s="13"/>
      <c r="C20" s="13"/>
      <c r="D20" s="144" t="s">
        <v>771</v>
      </c>
      <c r="E20" s="59">
        <v>12</v>
      </c>
      <c r="F20" s="56" t="s">
        <v>34</v>
      </c>
      <c r="G20" s="63">
        <f>SUM(G12:G19)</f>
        <v>0</v>
      </c>
      <c r="H20" s="63">
        <f>SUM(H12:H19)</f>
        <v>0</v>
      </c>
      <c r="J20" s="57"/>
    </row>
    <row r="21" spans="1:10" x14ac:dyDescent="0.3">
      <c r="A21" s="13" t="s">
        <v>772</v>
      </c>
      <c r="B21" s="13">
        <v>1503050</v>
      </c>
      <c r="C21" s="8"/>
      <c r="D21" s="58" t="s">
        <v>49</v>
      </c>
      <c r="E21" s="56"/>
      <c r="F21" s="56"/>
      <c r="G21" s="63"/>
      <c r="H21" s="63"/>
      <c r="J21" s="57"/>
    </row>
    <row r="22" spans="1:10" x14ac:dyDescent="0.3">
      <c r="A22" s="8" t="s">
        <v>773</v>
      </c>
      <c r="B22" s="8">
        <v>1503050</v>
      </c>
      <c r="C22" s="8">
        <v>3.1</v>
      </c>
      <c r="D22" s="9" t="s">
        <v>51</v>
      </c>
      <c r="E22" s="8">
        <v>12</v>
      </c>
      <c r="F22" s="8" t="s">
        <v>34</v>
      </c>
      <c r="G22" s="20">
        <v>0</v>
      </c>
      <c r="H22" s="20">
        <v>0</v>
      </c>
      <c r="J22" s="57"/>
    </row>
    <row r="23" spans="1:10" x14ac:dyDescent="0.3">
      <c r="A23" s="8" t="s">
        <v>774</v>
      </c>
      <c r="B23" s="8">
        <v>1503050</v>
      </c>
      <c r="C23" s="8">
        <v>3.1</v>
      </c>
      <c r="D23" s="9" t="s">
        <v>2872</v>
      </c>
      <c r="E23" s="59">
        <v>12</v>
      </c>
      <c r="F23" s="56" t="s">
        <v>34</v>
      </c>
      <c r="G23" s="63">
        <f>H23/E23</f>
        <v>0</v>
      </c>
      <c r="H23" s="63">
        <v>0</v>
      </c>
      <c r="J23" s="57"/>
    </row>
    <row r="24" spans="1:10" x14ac:dyDescent="0.3">
      <c r="A24" s="8" t="s">
        <v>775</v>
      </c>
      <c r="B24" s="8">
        <v>1503050</v>
      </c>
      <c r="C24" s="8">
        <v>3.1</v>
      </c>
      <c r="D24" s="9" t="s">
        <v>2873</v>
      </c>
      <c r="E24" s="59">
        <v>12</v>
      </c>
      <c r="F24" s="56" t="s">
        <v>34</v>
      </c>
      <c r="G24" s="63">
        <f t="shared" ref="G24:G29" si="1">H24/E24</f>
        <v>0</v>
      </c>
      <c r="H24" s="63">
        <v>0</v>
      </c>
      <c r="J24" s="57"/>
    </row>
    <row r="25" spans="1:10" x14ac:dyDescent="0.3">
      <c r="A25" s="8" t="s">
        <v>776</v>
      </c>
      <c r="B25" s="8">
        <v>1503050</v>
      </c>
      <c r="C25" s="8">
        <v>3.2</v>
      </c>
      <c r="D25" s="9" t="s">
        <v>55</v>
      </c>
      <c r="E25" s="59">
        <v>12</v>
      </c>
      <c r="F25" s="56" t="s">
        <v>34</v>
      </c>
      <c r="G25" s="63">
        <f t="shared" si="1"/>
        <v>0</v>
      </c>
      <c r="H25" s="63">
        <v>0</v>
      </c>
      <c r="J25" s="57"/>
    </row>
    <row r="26" spans="1:10" x14ac:dyDescent="0.3">
      <c r="A26" s="8" t="s">
        <v>777</v>
      </c>
      <c r="B26" s="8">
        <v>1503050</v>
      </c>
      <c r="C26" s="8">
        <v>3.3</v>
      </c>
      <c r="D26" s="9" t="s">
        <v>57</v>
      </c>
      <c r="E26" s="59">
        <v>12</v>
      </c>
      <c r="F26" s="56" t="s">
        <v>34</v>
      </c>
      <c r="G26" s="63">
        <f t="shared" si="1"/>
        <v>0</v>
      </c>
      <c r="H26" s="63">
        <v>0</v>
      </c>
      <c r="J26" s="57"/>
    </row>
    <row r="27" spans="1:10" x14ac:dyDescent="0.3">
      <c r="A27" s="8" t="s">
        <v>778</v>
      </c>
      <c r="B27" s="8">
        <v>1503050</v>
      </c>
      <c r="C27" s="8">
        <v>3.5</v>
      </c>
      <c r="D27" s="9" t="s">
        <v>2874</v>
      </c>
      <c r="E27" s="59">
        <v>12</v>
      </c>
      <c r="F27" s="56" t="s">
        <v>34</v>
      </c>
      <c r="G27" s="63">
        <f t="shared" si="1"/>
        <v>0</v>
      </c>
      <c r="H27" s="63">
        <v>0</v>
      </c>
      <c r="J27" s="57"/>
    </row>
    <row r="28" spans="1:10" x14ac:dyDescent="0.3">
      <c r="A28" s="8" t="s">
        <v>779</v>
      </c>
      <c r="B28" s="8">
        <v>1503050</v>
      </c>
      <c r="C28" s="8">
        <v>3.6</v>
      </c>
      <c r="D28" s="9" t="s">
        <v>60</v>
      </c>
      <c r="E28" s="59">
        <v>12</v>
      </c>
      <c r="F28" s="56" t="s">
        <v>34</v>
      </c>
      <c r="G28" s="63">
        <f t="shared" si="1"/>
        <v>0</v>
      </c>
      <c r="H28" s="63">
        <v>0</v>
      </c>
      <c r="J28" s="57"/>
    </row>
    <row r="29" spans="1:10" x14ac:dyDescent="0.3">
      <c r="A29" s="8" t="s">
        <v>780</v>
      </c>
      <c r="B29" s="8">
        <v>1503050</v>
      </c>
      <c r="C29" s="8">
        <v>3.7</v>
      </c>
      <c r="D29" s="9" t="s">
        <v>62</v>
      </c>
      <c r="E29" s="59">
        <v>12</v>
      </c>
      <c r="F29" s="56" t="s">
        <v>34</v>
      </c>
      <c r="G29" s="63">
        <f t="shared" si="1"/>
        <v>0</v>
      </c>
      <c r="H29" s="63">
        <v>0</v>
      </c>
      <c r="J29" s="57"/>
    </row>
    <row r="30" spans="1:10" x14ac:dyDescent="0.3">
      <c r="A30" s="13"/>
      <c r="B30" s="13"/>
      <c r="C30" s="13"/>
      <c r="D30" s="144" t="s">
        <v>781</v>
      </c>
      <c r="E30" s="59">
        <v>12</v>
      </c>
      <c r="F30" s="56" t="s">
        <v>34</v>
      </c>
      <c r="G30" s="63">
        <f>SUM(G22:G29)</f>
        <v>0</v>
      </c>
      <c r="H30" s="63">
        <f>SUM(H22:H29)</f>
        <v>0</v>
      </c>
      <c r="J30" s="57"/>
    </row>
    <row r="31" spans="1:10" x14ac:dyDescent="0.3">
      <c r="A31" s="13" t="s">
        <v>782</v>
      </c>
      <c r="B31" s="13">
        <v>1503050</v>
      </c>
      <c r="C31" s="13"/>
      <c r="D31" s="192" t="s">
        <v>65</v>
      </c>
      <c r="E31" s="56"/>
      <c r="F31" s="56"/>
      <c r="G31" s="63"/>
      <c r="H31" s="63"/>
      <c r="J31" s="57"/>
    </row>
    <row r="32" spans="1:10" x14ac:dyDescent="0.3">
      <c r="A32" s="8" t="s">
        <v>783</v>
      </c>
      <c r="B32" s="8">
        <v>1503050</v>
      </c>
      <c r="C32" s="8">
        <v>3.1</v>
      </c>
      <c r="D32" s="4" t="s">
        <v>67</v>
      </c>
      <c r="E32" s="59">
        <v>12</v>
      </c>
      <c r="F32" s="56" t="s">
        <v>34</v>
      </c>
      <c r="G32" s="63">
        <f t="shared" ref="G32:G39" si="2">H32/E32</f>
        <v>0</v>
      </c>
      <c r="H32" s="63">
        <v>0</v>
      </c>
      <c r="J32" s="57"/>
    </row>
    <row r="33" spans="1:10" x14ac:dyDescent="0.3">
      <c r="A33" s="8" t="s">
        <v>784</v>
      </c>
      <c r="B33" s="8">
        <v>1503050</v>
      </c>
      <c r="C33" s="8">
        <v>3.1</v>
      </c>
      <c r="D33" s="4" t="s">
        <v>2875</v>
      </c>
      <c r="E33" s="59">
        <v>12</v>
      </c>
      <c r="F33" s="56" t="s">
        <v>34</v>
      </c>
      <c r="G33" s="63">
        <f t="shared" si="2"/>
        <v>0</v>
      </c>
      <c r="H33" s="63">
        <v>0</v>
      </c>
      <c r="J33" s="57"/>
    </row>
    <row r="34" spans="1:10" x14ac:dyDescent="0.3">
      <c r="A34" s="8" t="s">
        <v>785</v>
      </c>
      <c r="B34" s="8">
        <v>1503050</v>
      </c>
      <c r="C34" s="8">
        <v>3.1</v>
      </c>
      <c r="D34" s="4" t="s">
        <v>70</v>
      </c>
      <c r="E34" s="59">
        <v>12</v>
      </c>
      <c r="F34" s="56" t="s">
        <v>34</v>
      </c>
      <c r="G34" s="63">
        <f t="shared" si="2"/>
        <v>0</v>
      </c>
      <c r="H34" s="63">
        <v>0</v>
      </c>
      <c r="J34" s="57"/>
    </row>
    <row r="35" spans="1:10" ht="12.75" customHeight="1" x14ac:dyDescent="0.3">
      <c r="A35" s="8" t="s">
        <v>786</v>
      </c>
      <c r="B35" s="8">
        <v>1503050</v>
      </c>
      <c r="C35" s="8">
        <v>3.2</v>
      </c>
      <c r="D35" s="60" t="s">
        <v>72</v>
      </c>
      <c r="E35" s="59">
        <v>12</v>
      </c>
      <c r="F35" s="56" t="s">
        <v>34</v>
      </c>
      <c r="G35" s="63">
        <f t="shared" si="2"/>
        <v>0</v>
      </c>
      <c r="H35" s="63">
        <v>0</v>
      </c>
      <c r="J35" s="57"/>
    </row>
    <row r="36" spans="1:10" x14ac:dyDescent="0.3">
      <c r="A36" s="8" t="s">
        <v>787</v>
      </c>
      <c r="B36" s="8">
        <v>1503050</v>
      </c>
      <c r="C36" s="8">
        <v>3.3</v>
      </c>
      <c r="D36" s="9" t="s">
        <v>74</v>
      </c>
      <c r="E36" s="59">
        <v>12</v>
      </c>
      <c r="F36" s="56" t="s">
        <v>34</v>
      </c>
      <c r="G36" s="63">
        <f t="shared" si="2"/>
        <v>0</v>
      </c>
      <c r="H36" s="63">
        <v>0</v>
      </c>
      <c r="J36" s="57"/>
    </row>
    <row r="37" spans="1:10" x14ac:dyDescent="0.3">
      <c r="A37" s="8" t="s">
        <v>788</v>
      </c>
      <c r="B37" s="8">
        <v>1503050</v>
      </c>
      <c r="C37" s="8">
        <v>3.5</v>
      </c>
      <c r="D37" s="9" t="s">
        <v>2876</v>
      </c>
      <c r="E37" s="59">
        <v>12</v>
      </c>
      <c r="F37" s="56" t="s">
        <v>34</v>
      </c>
      <c r="G37" s="63">
        <f t="shared" si="2"/>
        <v>0</v>
      </c>
      <c r="H37" s="63">
        <v>0</v>
      </c>
      <c r="J37" s="57"/>
    </row>
    <row r="38" spans="1:10" x14ac:dyDescent="0.3">
      <c r="A38" s="8" t="s">
        <v>789</v>
      </c>
      <c r="B38" s="8">
        <v>1503050</v>
      </c>
      <c r="C38" s="8">
        <v>3.6</v>
      </c>
      <c r="D38" s="9" t="s">
        <v>77</v>
      </c>
      <c r="E38" s="59">
        <v>12</v>
      </c>
      <c r="F38" s="56" t="s">
        <v>34</v>
      </c>
      <c r="G38" s="63">
        <f t="shared" si="2"/>
        <v>0</v>
      </c>
      <c r="H38" s="63">
        <v>0</v>
      </c>
      <c r="J38" s="57"/>
    </row>
    <row r="39" spans="1:10" x14ac:dyDescent="0.3">
      <c r="A39" s="8" t="s">
        <v>790</v>
      </c>
      <c r="B39" s="8">
        <v>1503050</v>
      </c>
      <c r="C39" s="8">
        <v>3.7</v>
      </c>
      <c r="D39" s="9" t="s">
        <v>79</v>
      </c>
      <c r="E39" s="59">
        <v>12</v>
      </c>
      <c r="F39" s="56" t="s">
        <v>34</v>
      </c>
      <c r="G39" s="63">
        <f t="shared" si="2"/>
        <v>0</v>
      </c>
      <c r="H39" s="63">
        <v>0</v>
      </c>
      <c r="J39" s="57"/>
    </row>
    <row r="40" spans="1:10" ht="12.75" customHeight="1" x14ac:dyDescent="0.3">
      <c r="A40" s="13"/>
      <c r="B40" s="13"/>
      <c r="C40" s="13"/>
      <c r="D40" s="144" t="s">
        <v>791</v>
      </c>
      <c r="E40" s="59">
        <v>12</v>
      </c>
      <c r="F40" s="56" t="s">
        <v>34</v>
      </c>
      <c r="G40" s="63">
        <f t="shared" ref="G40:H40" si="3">SUM(G32:G39)</f>
        <v>0</v>
      </c>
      <c r="H40" s="63">
        <f t="shared" si="3"/>
        <v>0</v>
      </c>
      <c r="J40" s="57"/>
    </row>
    <row r="41" spans="1:10" x14ac:dyDescent="0.3">
      <c r="A41" s="13" t="s">
        <v>792</v>
      </c>
      <c r="B41" s="13">
        <v>1503050</v>
      </c>
      <c r="C41" s="8"/>
      <c r="D41" s="192" t="s">
        <v>82</v>
      </c>
      <c r="E41" s="56"/>
      <c r="F41" s="56"/>
      <c r="G41" s="63"/>
      <c r="H41" s="63"/>
      <c r="J41" s="57"/>
    </row>
    <row r="42" spans="1:10" x14ac:dyDescent="0.3">
      <c r="A42" s="8" t="s">
        <v>793</v>
      </c>
      <c r="B42" s="8">
        <v>1503050</v>
      </c>
      <c r="C42" s="8">
        <v>3.1</v>
      </c>
      <c r="D42" s="9" t="s">
        <v>84</v>
      </c>
      <c r="E42" s="59">
        <v>12</v>
      </c>
      <c r="F42" s="56" t="s">
        <v>34</v>
      </c>
      <c r="G42" s="63">
        <f t="shared" ref="G42:G49" si="4">H42/E42</f>
        <v>0</v>
      </c>
      <c r="H42" s="63">
        <v>0</v>
      </c>
      <c r="J42" s="57"/>
    </row>
    <row r="43" spans="1:10" x14ac:dyDescent="0.3">
      <c r="A43" s="8" t="s">
        <v>794</v>
      </c>
      <c r="B43" s="8">
        <v>1503050</v>
      </c>
      <c r="C43" s="8">
        <v>3.1</v>
      </c>
      <c r="D43" s="9" t="s">
        <v>86</v>
      </c>
      <c r="E43" s="59">
        <v>12</v>
      </c>
      <c r="F43" s="56" t="s">
        <v>34</v>
      </c>
      <c r="G43" s="63">
        <f t="shared" si="4"/>
        <v>0</v>
      </c>
      <c r="H43" s="63">
        <v>0</v>
      </c>
      <c r="J43" s="57"/>
    </row>
    <row r="44" spans="1:10" x14ac:dyDescent="0.3">
      <c r="A44" s="8" t="s">
        <v>795</v>
      </c>
      <c r="B44" s="8">
        <v>1503050</v>
      </c>
      <c r="C44" s="8">
        <v>3.1</v>
      </c>
      <c r="D44" s="9" t="s">
        <v>88</v>
      </c>
      <c r="E44" s="59">
        <v>12</v>
      </c>
      <c r="F44" s="56" t="s">
        <v>34</v>
      </c>
      <c r="G44" s="63">
        <f t="shared" si="4"/>
        <v>0</v>
      </c>
      <c r="H44" s="63">
        <v>0</v>
      </c>
      <c r="J44" s="57"/>
    </row>
    <row r="45" spans="1:10" x14ac:dyDescent="0.3">
      <c r="A45" s="8" t="s">
        <v>796</v>
      </c>
      <c r="B45" s="8">
        <v>1503050</v>
      </c>
      <c r="C45" s="8">
        <v>3.2</v>
      </c>
      <c r="D45" s="9" t="s">
        <v>90</v>
      </c>
      <c r="E45" s="59">
        <v>12</v>
      </c>
      <c r="F45" s="56" t="s">
        <v>34</v>
      </c>
      <c r="G45" s="63">
        <f t="shared" si="4"/>
        <v>0</v>
      </c>
      <c r="H45" s="63">
        <v>0</v>
      </c>
      <c r="J45" s="57"/>
    </row>
    <row r="46" spans="1:10" x14ac:dyDescent="0.3">
      <c r="A46" s="8" t="s">
        <v>797</v>
      </c>
      <c r="B46" s="8">
        <v>1503050</v>
      </c>
      <c r="C46" s="8">
        <v>3.3</v>
      </c>
      <c r="D46" s="9" t="s">
        <v>92</v>
      </c>
      <c r="E46" s="59">
        <v>12</v>
      </c>
      <c r="F46" s="56" t="s">
        <v>34</v>
      </c>
      <c r="G46" s="63">
        <f t="shared" si="4"/>
        <v>0</v>
      </c>
      <c r="H46" s="63">
        <v>0</v>
      </c>
      <c r="J46" s="57"/>
    </row>
    <row r="47" spans="1:10" x14ac:dyDescent="0.3">
      <c r="A47" s="8" t="s">
        <v>798</v>
      </c>
      <c r="B47" s="8">
        <v>1503050</v>
      </c>
      <c r="C47" s="8">
        <v>3.5</v>
      </c>
      <c r="D47" s="9" t="s">
        <v>94</v>
      </c>
      <c r="E47" s="59">
        <v>12</v>
      </c>
      <c r="F47" s="56" t="s">
        <v>34</v>
      </c>
      <c r="G47" s="63">
        <f t="shared" si="4"/>
        <v>0</v>
      </c>
      <c r="H47" s="63">
        <v>0</v>
      </c>
      <c r="J47" s="57"/>
    </row>
    <row r="48" spans="1:10" x14ac:dyDescent="0.3">
      <c r="A48" s="8" t="s">
        <v>799</v>
      </c>
      <c r="B48" s="8">
        <v>1503050</v>
      </c>
      <c r="C48" s="8">
        <v>3.6</v>
      </c>
      <c r="D48" s="9" t="s">
        <v>96</v>
      </c>
      <c r="E48" s="59">
        <v>12</v>
      </c>
      <c r="F48" s="56" t="s">
        <v>34</v>
      </c>
      <c r="G48" s="63">
        <f t="shared" si="4"/>
        <v>0</v>
      </c>
      <c r="H48" s="63">
        <v>0</v>
      </c>
      <c r="J48" s="57"/>
    </row>
    <row r="49" spans="1:10" x14ac:dyDescent="0.3">
      <c r="A49" s="8" t="s">
        <v>800</v>
      </c>
      <c r="B49" s="8">
        <v>1503050</v>
      </c>
      <c r="C49" s="8">
        <v>3.7</v>
      </c>
      <c r="D49" s="9" t="s">
        <v>98</v>
      </c>
      <c r="E49" s="59">
        <v>12</v>
      </c>
      <c r="F49" s="56" t="s">
        <v>34</v>
      </c>
      <c r="G49" s="63">
        <f t="shared" si="4"/>
        <v>0</v>
      </c>
      <c r="H49" s="63">
        <v>0</v>
      </c>
      <c r="J49" s="57"/>
    </row>
    <row r="50" spans="1:10" x14ac:dyDescent="0.3">
      <c r="A50" s="13"/>
      <c r="B50" s="13"/>
      <c r="C50" s="13"/>
      <c r="D50" s="144" t="s">
        <v>801</v>
      </c>
      <c r="E50" s="59">
        <v>12</v>
      </c>
      <c r="F50" s="56" t="s">
        <v>34</v>
      </c>
      <c r="G50" s="63">
        <f t="shared" ref="G50:H50" si="5">SUM(G42:G49)</f>
        <v>0</v>
      </c>
      <c r="H50" s="63">
        <f t="shared" si="5"/>
        <v>0</v>
      </c>
      <c r="J50" s="57"/>
    </row>
    <row r="51" spans="1:10" ht="12.75" customHeight="1" x14ac:dyDescent="0.3">
      <c r="A51" s="13" t="s">
        <v>802</v>
      </c>
      <c r="B51" s="13">
        <v>1503050</v>
      </c>
      <c r="C51" s="13"/>
      <c r="D51" s="192" t="s">
        <v>101</v>
      </c>
      <c r="E51" s="56"/>
      <c r="F51" s="56"/>
      <c r="G51" s="63"/>
      <c r="H51" s="63"/>
      <c r="J51" s="57"/>
    </row>
    <row r="52" spans="1:10" x14ac:dyDescent="0.3">
      <c r="A52" s="8" t="s">
        <v>803</v>
      </c>
      <c r="B52" s="8">
        <v>1503050</v>
      </c>
      <c r="C52" s="8">
        <v>3.1</v>
      </c>
      <c r="D52" s="4" t="s">
        <v>2877</v>
      </c>
      <c r="E52" s="59">
        <v>12</v>
      </c>
      <c r="F52" s="56" t="s">
        <v>34</v>
      </c>
      <c r="G52" s="63">
        <f t="shared" ref="G52:G59" si="6">H52/E52</f>
        <v>0</v>
      </c>
      <c r="H52" s="63">
        <v>0</v>
      </c>
      <c r="J52" s="57"/>
    </row>
    <row r="53" spans="1:10" x14ac:dyDescent="0.3">
      <c r="A53" s="8" t="s">
        <v>804</v>
      </c>
      <c r="B53" s="8">
        <v>1503050</v>
      </c>
      <c r="C53" s="8">
        <v>3.1</v>
      </c>
      <c r="D53" s="4" t="s">
        <v>2878</v>
      </c>
      <c r="E53" s="59">
        <v>12</v>
      </c>
      <c r="F53" s="56" t="s">
        <v>34</v>
      </c>
      <c r="G53" s="63">
        <f t="shared" si="6"/>
        <v>0</v>
      </c>
      <c r="H53" s="63">
        <v>0</v>
      </c>
      <c r="J53" s="57"/>
    </row>
    <row r="54" spans="1:10" x14ac:dyDescent="0.3">
      <c r="A54" s="8" t="s">
        <v>805</v>
      </c>
      <c r="B54" s="8">
        <v>1503050</v>
      </c>
      <c r="C54" s="8">
        <v>3.1</v>
      </c>
      <c r="D54" s="4" t="s">
        <v>105</v>
      </c>
      <c r="E54" s="59">
        <v>12</v>
      </c>
      <c r="F54" s="56" t="s">
        <v>34</v>
      </c>
      <c r="G54" s="63">
        <f t="shared" si="6"/>
        <v>0</v>
      </c>
      <c r="H54" s="63">
        <v>0</v>
      </c>
      <c r="J54" s="57"/>
    </row>
    <row r="55" spans="1:10" ht="12.75" customHeight="1" x14ac:dyDescent="0.3">
      <c r="A55" s="8" t="s">
        <v>806</v>
      </c>
      <c r="B55" s="8">
        <v>1503050</v>
      </c>
      <c r="C55" s="8">
        <v>3.2</v>
      </c>
      <c r="D55" s="60" t="s">
        <v>2879</v>
      </c>
      <c r="E55" s="59">
        <v>12</v>
      </c>
      <c r="F55" s="56" t="s">
        <v>34</v>
      </c>
      <c r="G55" s="63">
        <f t="shared" si="6"/>
        <v>0</v>
      </c>
      <c r="H55" s="63">
        <v>0</v>
      </c>
      <c r="J55" s="57"/>
    </row>
    <row r="56" spans="1:10" x14ac:dyDescent="0.3">
      <c r="A56" s="8" t="s">
        <v>807</v>
      </c>
      <c r="B56" s="8">
        <v>1503050</v>
      </c>
      <c r="C56" s="8">
        <v>3.3</v>
      </c>
      <c r="D56" s="9" t="s">
        <v>108</v>
      </c>
      <c r="E56" s="59">
        <v>12</v>
      </c>
      <c r="F56" s="56" t="s">
        <v>34</v>
      </c>
      <c r="G56" s="63">
        <f t="shared" si="6"/>
        <v>0</v>
      </c>
      <c r="H56" s="63">
        <v>0</v>
      </c>
      <c r="J56" s="57"/>
    </row>
    <row r="57" spans="1:10" x14ac:dyDescent="0.3">
      <c r="A57" s="8" t="s">
        <v>808</v>
      </c>
      <c r="B57" s="8">
        <v>1503050</v>
      </c>
      <c r="C57" s="8">
        <v>3.5</v>
      </c>
      <c r="D57" s="9" t="s">
        <v>2880</v>
      </c>
      <c r="E57" s="59">
        <v>12</v>
      </c>
      <c r="F57" s="56" t="s">
        <v>34</v>
      </c>
      <c r="G57" s="63">
        <f t="shared" si="6"/>
        <v>0</v>
      </c>
      <c r="H57" s="63">
        <v>0</v>
      </c>
      <c r="J57" s="57"/>
    </row>
    <row r="58" spans="1:10" x14ac:dyDescent="0.3">
      <c r="A58" s="8" t="s">
        <v>809</v>
      </c>
      <c r="B58" s="8">
        <v>1503050</v>
      </c>
      <c r="C58" s="8">
        <v>3.6</v>
      </c>
      <c r="D58" s="9" t="s">
        <v>111</v>
      </c>
      <c r="E58" s="59">
        <v>12</v>
      </c>
      <c r="F58" s="56" t="s">
        <v>34</v>
      </c>
      <c r="G58" s="63">
        <f t="shared" si="6"/>
        <v>0</v>
      </c>
      <c r="H58" s="63">
        <v>0</v>
      </c>
      <c r="J58" s="57"/>
    </row>
    <row r="59" spans="1:10" x14ac:dyDescent="0.3">
      <c r="A59" s="8" t="s">
        <v>810</v>
      </c>
      <c r="B59" s="8">
        <v>1503050</v>
      </c>
      <c r="C59" s="8">
        <v>3.7</v>
      </c>
      <c r="D59" s="9" t="s">
        <v>113</v>
      </c>
      <c r="E59" s="59">
        <v>12</v>
      </c>
      <c r="F59" s="56" t="s">
        <v>34</v>
      </c>
      <c r="G59" s="63">
        <f t="shared" si="6"/>
        <v>0</v>
      </c>
      <c r="H59" s="63">
        <v>0</v>
      </c>
      <c r="J59" s="57"/>
    </row>
    <row r="60" spans="1:10" x14ac:dyDescent="0.3">
      <c r="A60" s="13"/>
      <c r="B60" s="13"/>
      <c r="C60" s="13"/>
      <c r="D60" s="144" t="s">
        <v>811</v>
      </c>
      <c r="E60" s="59">
        <v>12</v>
      </c>
      <c r="F60" s="56" t="s">
        <v>34</v>
      </c>
      <c r="G60" s="63">
        <f t="shared" ref="G60:H60" si="7">SUM(G52:G59)</f>
        <v>0</v>
      </c>
      <c r="H60" s="63">
        <f t="shared" si="7"/>
        <v>0</v>
      </c>
      <c r="J60" s="57"/>
    </row>
    <row r="61" spans="1:10" x14ac:dyDescent="0.3">
      <c r="A61" s="13" t="s">
        <v>812</v>
      </c>
      <c r="B61" s="13">
        <v>1503050</v>
      </c>
      <c r="C61" s="8"/>
      <c r="D61" s="192" t="s">
        <v>116</v>
      </c>
      <c r="E61" s="56"/>
      <c r="F61" s="56"/>
      <c r="G61" s="63"/>
      <c r="H61" s="63"/>
      <c r="J61" s="57"/>
    </row>
    <row r="62" spans="1:10" x14ac:dyDescent="0.3">
      <c r="A62" s="8" t="s">
        <v>813</v>
      </c>
      <c r="B62" s="8">
        <v>1503050</v>
      </c>
      <c r="C62" s="8">
        <v>3.1</v>
      </c>
      <c r="D62" s="9" t="s">
        <v>2881</v>
      </c>
      <c r="E62" s="59">
        <v>12</v>
      </c>
      <c r="F62" s="56" t="s">
        <v>34</v>
      </c>
      <c r="G62" s="63">
        <f t="shared" ref="G62:G69" si="8">H62/E62</f>
        <v>0</v>
      </c>
      <c r="H62" s="63">
        <v>0</v>
      </c>
      <c r="J62" s="57"/>
    </row>
    <row r="63" spans="1:10" x14ac:dyDescent="0.3">
      <c r="A63" s="8" t="s">
        <v>814</v>
      </c>
      <c r="B63" s="8">
        <v>1503050</v>
      </c>
      <c r="C63" s="8">
        <v>3.1</v>
      </c>
      <c r="D63" s="9" t="s">
        <v>2882</v>
      </c>
      <c r="E63" s="59">
        <v>12</v>
      </c>
      <c r="F63" s="56" t="s">
        <v>34</v>
      </c>
      <c r="G63" s="63">
        <f t="shared" si="8"/>
        <v>0</v>
      </c>
      <c r="H63" s="63">
        <v>0</v>
      </c>
      <c r="J63" s="57"/>
    </row>
    <row r="64" spans="1:10" x14ac:dyDescent="0.3">
      <c r="A64" s="8" t="s">
        <v>815</v>
      </c>
      <c r="B64" s="8">
        <v>1503050</v>
      </c>
      <c r="C64" s="8">
        <v>3.1</v>
      </c>
      <c r="D64" s="9" t="s">
        <v>120</v>
      </c>
      <c r="E64" s="59">
        <v>12</v>
      </c>
      <c r="F64" s="56" t="s">
        <v>34</v>
      </c>
      <c r="G64" s="63">
        <f t="shared" si="8"/>
        <v>0</v>
      </c>
      <c r="H64" s="63">
        <v>0</v>
      </c>
      <c r="J64" s="57"/>
    </row>
    <row r="65" spans="1:10" x14ac:dyDescent="0.3">
      <c r="A65" s="8" t="s">
        <v>816</v>
      </c>
      <c r="B65" s="8">
        <v>1503050</v>
      </c>
      <c r="C65" s="8">
        <v>3.2</v>
      </c>
      <c r="D65" s="9" t="s">
        <v>2883</v>
      </c>
      <c r="E65" s="59">
        <v>12</v>
      </c>
      <c r="F65" s="56" t="s">
        <v>34</v>
      </c>
      <c r="G65" s="63">
        <f t="shared" si="8"/>
        <v>0</v>
      </c>
      <c r="H65" s="63">
        <v>0</v>
      </c>
      <c r="J65" s="57"/>
    </row>
    <row r="66" spans="1:10" x14ac:dyDescent="0.3">
      <c r="A66" s="8" t="s">
        <v>817</v>
      </c>
      <c r="B66" s="8">
        <v>1503050</v>
      </c>
      <c r="C66" s="8">
        <v>3.3</v>
      </c>
      <c r="D66" s="9" t="s">
        <v>2884</v>
      </c>
      <c r="E66" s="59">
        <v>12</v>
      </c>
      <c r="F66" s="56" t="s">
        <v>34</v>
      </c>
      <c r="G66" s="63">
        <f t="shared" si="8"/>
        <v>0</v>
      </c>
      <c r="H66" s="63">
        <v>0</v>
      </c>
      <c r="J66" s="57"/>
    </row>
    <row r="67" spans="1:10" x14ac:dyDescent="0.3">
      <c r="A67" s="8" t="s">
        <v>818</v>
      </c>
      <c r="B67" s="8">
        <v>1503050</v>
      </c>
      <c r="C67" s="8">
        <v>3.5</v>
      </c>
      <c r="D67" s="9" t="s">
        <v>2885</v>
      </c>
      <c r="E67" s="59">
        <v>12</v>
      </c>
      <c r="F67" s="56" t="s">
        <v>34</v>
      </c>
      <c r="G67" s="63">
        <f t="shared" si="8"/>
        <v>0</v>
      </c>
      <c r="H67" s="63">
        <v>0</v>
      </c>
      <c r="J67" s="57"/>
    </row>
    <row r="68" spans="1:10" x14ac:dyDescent="0.3">
      <c r="A68" s="8" t="s">
        <v>819</v>
      </c>
      <c r="B68" s="8">
        <v>1503050</v>
      </c>
      <c r="C68" s="8">
        <v>3.6</v>
      </c>
      <c r="D68" s="9" t="s">
        <v>125</v>
      </c>
      <c r="E68" s="59">
        <v>12</v>
      </c>
      <c r="F68" s="56" t="s">
        <v>34</v>
      </c>
      <c r="G68" s="63">
        <f t="shared" si="8"/>
        <v>0</v>
      </c>
      <c r="H68" s="63">
        <v>0</v>
      </c>
      <c r="J68" s="57"/>
    </row>
    <row r="69" spans="1:10" x14ac:dyDescent="0.3">
      <c r="A69" s="8" t="s">
        <v>820</v>
      </c>
      <c r="B69" s="8">
        <v>1503050</v>
      </c>
      <c r="C69" s="8">
        <v>3.7</v>
      </c>
      <c r="D69" s="9" t="s">
        <v>127</v>
      </c>
      <c r="E69" s="59">
        <v>12</v>
      </c>
      <c r="F69" s="56" t="s">
        <v>34</v>
      </c>
      <c r="G69" s="63">
        <f t="shared" si="8"/>
        <v>0</v>
      </c>
      <c r="H69" s="63">
        <v>0</v>
      </c>
      <c r="J69" s="57"/>
    </row>
    <row r="70" spans="1:10" x14ac:dyDescent="0.3">
      <c r="A70" s="13"/>
      <c r="B70" s="13"/>
      <c r="C70" s="13"/>
      <c r="D70" s="144" t="s">
        <v>821</v>
      </c>
      <c r="E70" s="59">
        <v>12</v>
      </c>
      <c r="F70" s="56" t="s">
        <v>34</v>
      </c>
      <c r="G70" s="63">
        <f t="shared" ref="G70:H70" si="9">SUM(G62:G69)</f>
        <v>0</v>
      </c>
      <c r="H70" s="63">
        <f t="shared" si="9"/>
        <v>0</v>
      </c>
      <c r="J70" s="57"/>
    </row>
    <row r="71" spans="1:10" ht="12.75" customHeight="1" x14ac:dyDescent="0.3">
      <c r="A71" s="13" t="s">
        <v>822</v>
      </c>
      <c r="B71" s="13">
        <v>1503050</v>
      </c>
      <c r="C71" s="13"/>
      <c r="D71" s="192" t="s">
        <v>130</v>
      </c>
      <c r="E71" s="56"/>
      <c r="F71" s="56"/>
      <c r="G71" s="63"/>
      <c r="H71" s="63"/>
      <c r="J71" s="57"/>
    </row>
    <row r="72" spans="1:10" x14ac:dyDescent="0.3">
      <c r="A72" s="8" t="s">
        <v>823</v>
      </c>
      <c r="B72" s="8">
        <v>1503050</v>
      </c>
      <c r="C72" s="8">
        <v>3.1</v>
      </c>
      <c r="D72" s="4" t="s">
        <v>2886</v>
      </c>
      <c r="E72" s="59">
        <v>12</v>
      </c>
      <c r="F72" s="56" t="s">
        <v>34</v>
      </c>
      <c r="G72" s="63">
        <f t="shared" ref="G72:G79" si="10">H72/E72</f>
        <v>0</v>
      </c>
      <c r="H72" s="63">
        <v>0</v>
      </c>
      <c r="J72" s="57"/>
    </row>
    <row r="73" spans="1:10" x14ac:dyDescent="0.3">
      <c r="A73" s="8" t="s">
        <v>824</v>
      </c>
      <c r="B73" s="8">
        <v>1503050</v>
      </c>
      <c r="C73" s="8">
        <v>3.1</v>
      </c>
      <c r="D73" s="4" t="s">
        <v>133</v>
      </c>
      <c r="E73" s="59">
        <v>12</v>
      </c>
      <c r="F73" s="56" t="s">
        <v>34</v>
      </c>
      <c r="G73" s="63">
        <f t="shared" si="10"/>
        <v>0</v>
      </c>
      <c r="H73" s="63">
        <v>0</v>
      </c>
      <c r="J73" s="57"/>
    </row>
    <row r="74" spans="1:10" x14ac:dyDescent="0.3">
      <c r="A74" s="8" t="s">
        <v>825</v>
      </c>
      <c r="B74" s="8">
        <v>1503050</v>
      </c>
      <c r="C74" s="8">
        <v>3.1</v>
      </c>
      <c r="D74" s="4" t="s">
        <v>135</v>
      </c>
      <c r="E74" s="59">
        <v>12</v>
      </c>
      <c r="F74" s="56" t="s">
        <v>34</v>
      </c>
      <c r="G74" s="63">
        <f t="shared" si="10"/>
        <v>0</v>
      </c>
      <c r="H74" s="63">
        <v>0</v>
      </c>
      <c r="J74" s="57"/>
    </row>
    <row r="75" spans="1:10" ht="12.75" customHeight="1" x14ac:dyDescent="0.3">
      <c r="A75" s="8" t="s">
        <v>826</v>
      </c>
      <c r="B75" s="8">
        <v>1503050</v>
      </c>
      <c r="C75" s="8">
        <v>3.2</v>
      </c>
      <c r="D75" s="60" t="s">
        <v>137</v>
      </c>
      <c r="E75" s="59">
        <v>12</v>
      </c>
      <c r="F75" s="56" t="s">
        <v>34</v>
      </c>
      <c r="G75" s="63">
        <f t="shared" si="10"/>
        <v>0</v>
      </c>
      <c r="H75" s="63">
        <v>0</v>
      </c>
      <c r="J75" s="57"/>
    </row>
    <row r="76" spans="1:10" x14ac:dyDescent="0.3">
      <c r="A76" s="8" t="s">
        <v>827</v>
      </c>
      <c r="B76" s="8">
        <v>1503050</v>
      </c>
      <c r="C76" s="8">
        <v>3.3</v>
      </c>
      <c r="D76" s="9" t="s">
        <v>139</v>
      </c>
      <c r="E76" s="59">
        <v>12</v>
      </c>
      <c r="F76" s="56" t="s">
        <v>34</v>
      </c>
      <c r="G76" s="63">
        <f t="shared" si="10"/>
        <v>0</v>
      </c>
      <c r="H76" s="63">
        <v>0</v>
      </c>
      <c r="J76" s="57"/>
    </row>
    <row r="77" spans="1:10" x14ac:dyDescent="0.3">
      <c r="A77" s="8" t="s">
        <v>828</v>
      </c>
      <c r="B77" s="8">
        <v>1503050</v>
      </c>
      <c r="C77" s="8">
        <v>3.5</v>
      </c>
      <c r="D77" s="9" t="s">
        <v>2887</v>
      </c>
      <c r="E77" s="59">
        <v>12</v>
      </c>
      <c r="F77" s="56" t="s">
        <v>34</v>
      </c>
      <c r="G77" s="63">
        <f t="shared" si="10"/>
        <v>0</v>
      </c>
      <c r="H77" s="63">
        <v>0</v>
      </c>
      <c r="J77" s="57"/>
    </row>
    <row r="78" spans="1:10" x14ac:dyDescent="0.3">
      <c r="A78" s="8" t="s">
        <v>829</v>
      </c>
      <c r="B78" s="8">
        <v>1503050</v>
      </c>
      <c r="C78" s="8">
        <v>3.6</v>
      </c>
      <c r="D78" s="9" t="s">
        <v>142</v>
      </c>
      <c r="E78" s="59">
        <v>12</v>
      </c>
      <c r="F78" s="56" t="s">
        <v>34</v>
      </c>
      <c r="G78" s="63">
        <f t="shared" si="10"/>
        <v>0</v>
      </c>
      <c r="H78" s="63">
        <v>0</v>
      </c>
      <c r="J78" s="57"/>
    </row>
    <row r="79" spans="1:10" x14ac:dyDescent="0.3">
      <c r="A79" s="8" t="s">
        <v>830</v>
      </c>
      <c r="B79" s="8">
        <v>1503050</v>
      </c>
      <c r="C79" s="8">
        <v>3.7</v>
      </c>
      <c r="D79" s="9" t="s">
        <v>144</v>
      </c>
      <c r="E79" s="59">
        <v>12</v>
      </c>
      <c r="F79" s="56" t="s">
        <v>34</v>
      </c>
      <c r="G79" s="63">
        <f t="shared" si="10"/>
        <v>0</v>
      </c>
      <c r="H79" s="63">
        <v>0</v>
      </c>
      <c r="J79" s="57"/>
    </row>
    <row r="80" spans="1:10" x14ac:dyDescent="0.3">
      <c r="A80" s="13"/>
      <c r="B80" s="13"/>
      <c r="C80" s="13"/>
      <c r="D80" s="144" t="s">
        <v>831</v>
      </c>
      <c r="E80" s="59">
        <v>12</v>
      </c>
      <c r="F80" s="56" t="s">
        <v>34</v>
      </c>
      <c r="G80" s="63">
        <f t="shared" ref="G80:H80" si="11">SUM(G72:G79)</f>
        <v>0</v>
      </c>
      <c r="H80" s="63">
        <f t="shared" si="11"/>
        <v>0</v>
      </c>
      <c r="J80" s="57"/>
    </row>
    <row r="81" spans="1:10" x14ac:dyDescent="0.3">
      <c r="A81" s="13" t="s">
        <v>761</v>
      </c>
      <c r="B81" s="13">
        <v>1503050</v>
      </c>
      <c r="C81" s="13" t="s">
        <v>14</v>
      </c>
      <c r="D81" s="144" t="s">
        <v>146</v>
      </c>
      <c r="E81" s="59">
        <v>12</v>
      </c>
      <c r="F81" s="56" t="s">
        <v>34</v>
      </c>
      <c r="G81" s="63">
        <f>G80+G70+G60+G50+G40+G30+G20</f>
        <v>0</v>
      </c>
      <c r="H81" s="63">
        <f>H80+H70+H60+H50+H40+H30+H20</f>
        <v>0</v>
      </c>
      <c r="J81" s="57" t="s">
        <v>14</v>
      </c>
    </row>
    <row r="82" spans="1:10" x14ac:dyDescent="0.3">
      <c r="A82" s="13" t="s">
        <v>832</v>
      </c>
      <c r="B82" s="147">
        <v>1503050</v>
      </c>
      <c r="C82" s="148"/>
      <c r="D82" s="185" t="s">
        <v>2706</v>
      </c>
      <c r="E82" s="59"/>
      <c r="F82" s="56"/>
      <c r="G82" s="63"/>
      <c r="H82" s="63"/>
      <c r="J82" s="57"/>
    </row>
    <row r="83" spans="1:10" x14ac:dyDescent="0.3">
      <c r="A83" s="13" t="s">
        <v>2888</v>
      </c>
      <c r="B83" s="147">
        <v>1503050</v>
      </c>
      <c r="C83" s="148"/>
      <c r="D83" s="186" t="s">
        <v>2710</v>
      </c>
      <c r="E83" s="59"/>
      <c r="F83" s="56"/>
      <c r="G83" s="63"/>
      <c r="H83" s="63"/>
      <c r="J83" s="57"/>
    </row>
    <row r="84" spans="1:10" x14ac:dyDescent="0.3">
      <c r="A84" s="8" t="s">
        <v>2889</v>
      </c>
      <c r="B84" s="8">
        <v>1503050</v>
      </c>
      <c r="C84" s="149">
        <v>3.1</v>
      </c>
      <c r="D84" s="150" t="s">
        <v>2859</v>
      </c>
      <c r="E84" s="194">
        <v>12</v>
      </c>
      <c r="F84" s="195" t="s">
        <v>34</v>
      </c>
      <c r="G84" s="196">
        <f t="shared" ref="G84:G90" si="12">H84/E84</f>
        <v>0</v>
      </c>
      <c r="H84" s="196">
        <v>0</v>
      </c>
      <c r="J84" s="57"/>
    </row>
    <row r="85" spans="1:10" x14ac:dyDescent="0.3">
      <c r="A85" s="8" t="s">
        <v>2891</v>
      </c>
      <c r="B85" s="8">
        <v>1503050</v>
      </c>
      <c r="C85" s="8">
        <v>3.1</v>
      </c>
      <c r="D85" s="151" t="s">
        <v>2714</v>
      </c>
      <c r="E85" s="59">
        <v>12</v>
      </c>
      <c r="F85" s="56" t="s">
        <v>34</v>
      </c>
      <c r="G85" s="63">
        <f t="shared" si="12"/>
        <v>0</v>
      </c>
      <c r="H85" s="63">
        <v>0</v>
      </c>
      <c r="J85" s="57"/>
    </row>
    <row r="86" spans="1:10" x14ac:dyDescent="0.3">
      <c r="A86" s="8" t="s">
        <v>2890</v>
      </c>
      <c r="B86" s="8">
        <v>1503050</v>
      </c>
      <c r="C86" s="8">
        <v>3.1</v>
      </c>
      <c r="D86" s="151" t="s">
        <v>2716</v>
      </c>
      <c r="E86" s="59">
        <v>12</v>
      </c>
      <c r="F86" s="56" t="s">
        <v>34</v>
      </c>
      <c r="G86" s="63">
        <f t="shared" si="12"/>
        <v>0</v>
      </c>
      <c r="H86" s="63">
        <v>0</v>
      </c>
      <c r="J86" s="57"/>
    </row>
    <row r="87" spans="1:10" x14ac:dyDescent="0.3">
      <c r="A87" s="8" t="s">
        <v>2892</v>
      </c>
      <c r="B87" s="8">
        <v>1503050</v>
      </c>
      <c r="C87" s="8">
        <v>3.2</v>
      </c>
      <c r="D87" s="60" t="s">
        <v>2718</v>
      </c>
      <c r="E87" s="59">
        <v>12</v>
      </c>
      <c r="F87" s="56" t="s">
        <v>34</v>
      </c>
      <c r="G87" s="63">
        <f t="shared" si="12"/>
        <v>0</v>
      </c>
      <c r="H87" s="63">
        <v>0</v>
      </c>
      <c r="J87" s="57"/>
    </row>
    <row r="88" spans="1:10" x14ac:dyDescent="0.3">
      <c r="A88" s="8" t="s">
        <v>2893</v>
      </c>
      <c r="B88" s="8">
        <v>1503050</v>
      </c>
      <c r="C88" s="8">
        <v>3.3</v>
      </c>
      <c r="D88" s="9" t="s">
        <v>2864</v>
      </c>
      <c r="E88" s="59">
        <v>12</v>
      </c>
      <c r="F88" s="56" t="s">
        <v>34</v>
      </c>
      <c r="G88" s="63">
        <f t="shared" si="12"/>
        <v>0</v>
      </c>
      <c r="H88" s="63">
        <v>0</v>
      </c>
      <c r="J88" s="57"/>
    </row>
    <row r="89" spans="1:10" x14ac:dyDescent="0.3">
      <c r="A89" s="8" t="s">
        <v>2894</v>
      </c>
      <c r="B89" s="8">
        <v>1503050</v>
      </c>
      <c r="C89" s="8">
        <v>3.5</v>
      </c>
      <c r="D89" s="9" t="s">
        <v>2722</v>
      </c>
      <c r="E89" s="59">
        <v>12</v>
      </c>
      <c r="F89" s="56" t="s">
        <v>34</v>
      </c>
      <c r="G89" s="63">
        <f t="shared" si="12"/>
        <v>0</v>
      </c>
      <c r="H89" s="63">
        <v>0</v>
      </c>
      <c r="J89" s="57"/>
    </row>
    <row r="90" spans="1:10" x14ac:dyDescent="0.3">
      <c r="A90" s="8" t="s">
        <v>2896</v>
      </c>
      <c r="B90" s="8">
        <v>1503050</v>
      </c>
      <c r="C90" s="8">
        <v>3.6</v>
      </c>
      <c r="D90" s="9" t="s">
        <v>2724</v>
      </c>
      <c r="E90" s="59">
        <v>12</v>
      </c>
      <c r="F90" s="56" t="s">
        <v>34</v>
      </c>
      <c r="G90" s="63">
        <f t="shared" si="12"/>
        <v>0</v>
      </c>
      <c r="H90" s="63">
        <v>0</v>
      </c>
      <c r="J90" s="57"/>
    </row>
    <row r="91" spans="1:10" x14ac:dyDescent="0.3">
      <c r="A91" s="8" t="s">
        <v>2895</v>
      </c>
      <c r="B91" s="8">
        <v>1503050</v>
      </c>
      <c r="C91" s="8">
        <v>3.7</v>
      </c>
      <c r="D91" s="152" t="s">
        <v>2726</v>
      </c>
      <c r="E91" s="59">
        <v>12</v>
      </c>
      <c r="F91" s="56" t="s">
        <v>34</v>
      </c>
      <c r="G91" s="63">
        <f t="shared" ref="G91:H91" si="13">SUM(G83:G90)</f>
        <v>0</v>
      </c>
      <c r="H91" s="63">
        <f t="shared" si="13"/>
        <v>0</v>
      </c>
      <c r="J91" s="57"/>
    </row>
    <row r="92" spans="1:10" x14ac:dyDescent="0.3">
      <c r="A92" s="13"/>
      <c r="B92" s="13"/>
      <c r="C92" s="13"/>
      <c r="D92" s="153" t="s">
        <v>2897</v>
      </c>
      <c r="E92" s="59">
        <v>12</v>
      </c>
      <c r="F92" s="56" t="s">
        <v>34</v>
      </c>
      <c r="G92" s="63">
        <v>0</v>
      </c>
      <c r="H92" s="63">
        <v>0</v>
      </c>
      <c r="J92" s="57"/>
    </row>
    <row r="93" spans="1:10" x14ac:dyDescent="0.3">
      <c r="A93" s="13" t="s">
        <v>2898</v>
      </c>
      <c r="B93" s="13">
        <v>1503050</v>
      </c>
      <c r="C93" s="8"/>
      <c r="D93" s="154" t="s">
        <v>2611</v>
      </c>
      <c r="E93" s="59"/>
      <c r="F93" s="56"/>
      <c r="G93" s="63"/>
      <c r="H93" s="63"/>
      <c r="J93" s="57"/>
    </row>
    <row r="94" spans="1:10" x14ac:dyDescent="0.3">
      <c r="A94" s="8" t="s">
        <v>2899</v>
      </c>
      <c r="B94" s="8">
        <v>1503050</v>
      </c>
      <c r="C94" s="8">
        <v>3.1</v>
      </c>
      <c r="D94" s="150" t="s">
        <v>2613</v>
      </c>
      <c r="E94" s="59">
        <v>12</v>
      </c>
      <c r="F94" s="56" t="s">
        <v>34</v>
      </c>
      <c r="G94" s="63">
        <f t="shared" ref="G94:G100" si="14">H94/E94</f>
        <v>0</v>
      </c>
      <c r="H94" s="63">
        <v>0</v>
      </c>
      <c r="J94" s="57"/>
    </row>
    <row r="95" spans="1:10" x14ac:dyDescent="0.3">
      <c r="A95" s="8" t="s">
        <v>2900</v>
      </c>
      <c r="B95" s="8">
        <v>1503050</v>
      </c>
      <c r="C95" s="8">
        <v>3.1</v>
      </c>
      <c r="D95" s="151" t="s">
        <v>2615</v>
      </c>
      <c r="E95" s="59">
        <v>12</v>
      </c>
      <c r="F95" s="56" t="s">
        <v>34</v>
      </c>
      <c r="G95" s="63">
        <f t="shared" si="14"/>
        <v>0</v>
      </c>
      <c r="H95" s="63">
        <v>0</v>
      </c>
      <c r="J95" s="57"/>
    </row>
    <row r="96" spans="1:10" x14ac:dyDescent="0.3">
      <c r="A96" s="8" t="s">
        <v>2901</v>
      </c>
      <c r="B96" s="8">
        <v>1503050</v>
      </c>
      <c r="C96" s="8">
        <v>3.1</v>
      </c>
      <c r="D96" s="151" t="s">
        <v>2617</v>
      </c>
      <c r="E96" s="59">
        <v>12</v>
      </c>
      <c r="F96" s="56" t="s">
        <v>34</v>
      </c>
      <c r="G96" s="63">
        <f t="shared" si="14"/>
        <v>0</v>
      </c>
      <c r="H96" s="63">
        <v>0</v>
      </c>
      <c r="J96" s="57"/>
    </row>
    <row r="97" spans="1:10" x14ac:dyDescent="0.3">
      <c r="A97" s="8" t="s">
        <v>2902</v>
      </c>
      <c r="B97" s="8">
        <v>1503050</v>
      </c>
      <c r="C97" s="8">
        <v>3.2</v>
      </c>
      <c r="D97" s="60" t="s">
        <v>2619</v>
      </c>
      <c r="E97" s="59">
        <v>12</v>
      </c>
      <c r="F97" s="56" t="s">
        <v>34</v>
      </c>
      <c r="G97" s="63">
        <f t="shared" si="14"/>
        <v>0</v>
      </c>
      <c r="H97" s="63">
        <v>0</v>
      </c>
      <c r="J97" s="57"/>
    </row>
    <row r="98" spans="1:10" x14ac:dyDescent="0.3">
      <c r="A98" s="8" t="s">
        <v>2903</v>
      </c>
      <c r="B98" s="8">
        <v>1503050</v>
      </c>
      <c r="C98" s="8">
        <v>3.3</v>
      </c>
      <c r="D98" s="9" t="s">
        <v>2621</v>
      </c>
      <c r="E98" s="59">
        <v>12</v>
      </c>
      <c r="F98" s="56" t="s">
        <v>34</v>
      </c>
      <c r="G98" s="63">
        <f t="shared" si="14"/>
        <v>0</v>
      </c>
      <c r="H98" s="63">
        <v>0</v>
      </c>
      <c r="J98" s="57"/>
    </row>
    <row r="99" spans="1:10" x14ac:dyDescent="0.3">
      <c r="A99" s="8" t="s">
        <v>2904</v>
      </c>
      <c r="B99" s="8">
        <v>1503050</v>
      </c>
      <c r="C99" s="8">
        <v>3.5</v>
      </c>
      <c r="D99" s="9" t="s">
        <v>2623</v>
      </c>
      <c r="E99" s="59">
        <v>12</v>
      </c>
      <c r="F99" s="56" t="s">
        <v>34</v>
      </c>
      <c r="G99" s="63">
        <f t="shared" si="14"/>
        <v>0</v>
      </c>
      <c r="H99" s="63">
        <v>0</v>
      </c>
      <c r="J99" s="57"/>
    </row>
    <row r="100" spans="1:10" x14ac:dyDescent="0.3">
      <c r="A100" s="8" t="s">
        <v>2905</v>
      </c>
      <c r="B100" s="8">
        <v>1503050</v>
      </c>
      <c r="C100" s="8">
        <v>3.6</v>
      </c>
      <c r="D100" s="9" t="s">
        <v>2625</v>
      </c>
      <c r="E100" s="59">
        <v>12</v>
      </c>
      <c r="F100" s="56" t="s">
        <v>34</v>
      </c>
      <c r="G100" s="63">
        <f t="shared" si="14"/>
        <v>0</v>
      </c>
      <c r="H100" s="63">
        <v>0</v>
      </c>
      <c r="J100" s="57"/>
    </row>
    <row r="101" spans="1:10" x14ac:dyDescent="0.3">
      <c r="A101" s="8" t="s">
        <v>2906</v>
      </c>
      <c r="B101" s="8">
        <v>1503050</v>
      </c>
      <c r="C101" s="8">
        <v>3.7</v>
      </c>
      <c r="D101" s="152" t="s">
        <v>2627</v>
      </c>
      <c r="E101" s="59">
        <v>12</v>
      </c>
      <c r="F101" s="56" t="s">
        <v>34</v>
      </c>
      <c r="G101" s="63">
        <f t="shared" ref="G101" si="15">SUM(G93:G100)</f>
        <v>0</v>
      </c>
      <c r="H101" s="63">
        <f>SUM(H92:H100)</f>
        <v>0</v>
      </c>
      <c r="J101" s="57"/>
    </row>
    <row r="102" spans="1:10" x14ac:dyDescent="0.3">
      <c r="A102" s="13"/>
      <c r="B102" s="13"/>
      <c r="C102" s="13"/>
      <c r="D102" s="155" t="s">
        <v>2907</v>
      </c>
      <c r="E102" s="59">
        <v>12</v>
      </c>
      <c r="F102" s="59" t="s">
        <v>34</v>
      </c>
      <c r="G102" s="63">
        <v>0</v>
      </c>
      <c r="H102" s="63">
        <v>0</v>
      </c>
      <c r="J102" s="57" t="s">
        <v>14</v>
      </c>
    </row>
    <row r="103" spans="1:10" x14ac:dyDescent="0.3">
      <c r="A103" s="13" t="s">
        <v>2908</v>
      </c>
      <c r="B103" s="147">
        <v>1503050</v>
      </c>
      <c r="C103" s="156"/>
      <c r="D103" s="197" t="s">
        <v>2630</v>
      </c>
      <c r="E103" s="56"/>
      <c r="F103" s="56"/>
      <c r="G103" s="63"/>
      <c r="H103" s="63"/>
      <c r="J103" s="57"/>
    </row>
    <row r="104" spans="1:10" x14ac:dyDescent="0.3">
      <c r="A104" s="8" t="s">
        <v>2909</v>
      </c>
      <c r="B104" s="8">
        <v>1503050</v>
      </c>
      <c r="C104" s="149">
        <v>3.1</v>
      </c>
      <c r="D104" s="150" t="s">
        <v>2632</v>
      </c>
      <c r="E104" s="59">
        <v>12</v>
      </c>
      <c r="F104" s="59" t="s">
        <v>34</v>
      </c>
      <c r="G104" s="63">
        <v>0</v>
      </c>
      <c r="H104" s="63">
        <v>0</v>
      </c>
      <c r="J104" s="57" t="s">
        <v>14</v>
      </c>
    </row>
    <row r="105" spans="1:10" ht="12.75" customHeight="1" x14ac:dyDescent="0.3">
      <c r="A105" s="8" t="s">
        <v>2910</v>
      </c>
      <c r="B105" s="8">
        <v>1503050</v>
      </c>
      <c r="C105" s="8">
        <v>3.1</v>
      </c>
      <c r="D105" s="151" t="s">
        <v>2634</v>
      </c>
      <c r="E105" s="59">
        <v>12</v>
      </c>
      <c r="F105" s="59" t="s">
        <v>34</v>
      </c>
      <c r="G105" s="63">
        <v>0</v>
      </c>
      <c r="H105" s="63">
        <v>0</v>
      </c>
      <c r="J105" s="57"/>
    </row>
    <row r="106" spans="1:10" x14ac:dyDescent="0.3">
      <c r="A106" s="8" t="s">
        <v>2911</v>
      </c>
      <c r="B106" s="8">
        <v>1503050</v>
      </c>
      <c r="C106" s="8">
        <v>3.1</v>
      </c>
      <c r="D106" s="151" t="s">
        <v>2636</v>
      </c>
      <c r="E106" s="59">
        <v>12</v>
      </c>
      <c r="F106" s="56" t="s">
        <v>34</v>
      </c>
      <c r="G106" s="63">
        <f t="shared" ref="G106:G112" si="16">H106/E106</f>
        <v>0</v>
      </c>
      <c r="H106" s="63">
        <v>0</v>
      </c>
      <c r="J106" s="57"/>
    </row>
    <row r="107" spans="1:10" x14ac:dyDescent="0.3">
      <c r="A107" s="8" t="s">
        <v>2912</v>
      </c>
      <c r="B107" s="8">
        <v>1503050</v>
      </c>
      <c r="C107" s="8">
        <v>3.2</v>
      </c>
      <c r="D107" s="60" t="s">
        <v>2638</v>
      </c>
      <c r="E107" s="59">
        <v>12</v>
      </c>
      <c r="F107" s="56" t="s">
        <v>34</v>
      </c>
      <c r="G107" s="63">
        <f t="shared" si="16"/>
        <v>0</v>
      </c>
      <c r="H107" s="63">
        <v>0</v>
      </c>
      <c r="J107" s="57"/>
    </row>
    <row r="108" spans="1:10" x14ac:dyDescent="0.3">
      <c r="A108" s="8" t="s">
        <v>2913</v>
      </c>
      <c r="B108" s="8">
        <v>1503050</v>
      </c>
      <c r="C108" s="8">
        <v>3.3</v>
      </c>
      <c r="D108" s="9" t="s">
        <v>2640</v>
      </c>
      <c r="E108" s="59">
        <v>12</v>
      </c>
      <c r="F108" s="56" t="s">
        <v>34</v>
      </c>
      <c r="G108" s="63">
        <f t="shared" si="16"/>
        <v>0</v>
      </c>
      <c r="H108" s="63">
        <v>0</v>
      </c>
      <c r="J108" s="57"/>
    </row>
    <row r="109" spans="1:10" ht="12.75" customHeight="1" x14ac:dyDescent="0.3">
      <c r="A109" s="8" t="s">
        <v>2914</v>
      </c>
      <c r="B109" s="8">
        <v>1503050</v>
      </c>
      <c r="C109" s="8">
        <v>3.5</v>
      </c>
      <c r="D109" s="9" t="s">
        <v>2642</v>
      </c>
      <c r="E109" s="59">
        <v>12</v>
      </c>
      <c r="F109" s="56" t="s">
        <v>34</v>
      </c>
      <c r="G109" s="63">
        <f t="shared" si="16"/>
        <v>0</v>
      </c>
      <c r="H109" s="63">
        <v>0</v>
      </c>
      <c r="J109" s="57"/>
    </row>
    <row r="110" spans="1:10" x14ac:dyDescent="0.3">
      <c r="A110" s="8" t="s">
        <v>2915</v>
      </c>
      <c r="B110" s="8">
        <v>1503050</v>
      </c>
      <c r="C110" s="8">
        <v>3.6</v>
      </c>
      <c r="D110" s="9" t="s">
        <v>2644</v>
      </c>
      <c r="E110" s="59">
        <v>12</v>
      </c>
      <c r="F110" s="56" t="s">
        <v>34</v>
      </c>
      <c r="G110" s="63">
        <f t="shared" si="16"/>
        <v>0</v>
      </c>
      <c r="H110" s="63">
        <v>0</v>
      </c>
      <c r="J110" s="57"/>
    </row>
    <row r="111" spans="1:10" x14ac:dyDescent="0.3">
      <c r="A111" s="8" t="s">
        <v>2916</v>
      </c>
      <c r="B111" s="8">
        <v>1503050</v>
      </c>
      <c r="C111" s="8">
        <v>3.7</v>
      </c>
      <c r="D111" s="152" t="s">
        <v>2646</v>
      </c>
      <c r="E111" s="59">
        <v>12</v>
      </c>
      <c r="F111" s="56" t="s">
        <v>34</v>
      </c>
      <c r="G111" s="63">
        <f t="shared" si="16"/>
        <v>0</v>
      </c>
      <c r="H111" s="63">
        <v>0</v>
      </c>
      <c r="J111" s="57"/>
    </row>
    <row r="112" spans="1:10" x14ac:dyDescent="0.3">
      <c r="A112" s="13"/>
      <c r="B112" s="13"/>
      <c r="C112" s="13"/>
      <c r="D112" s="153" t="s">
        <v>2917</v>
      </c>
      <c r="E112" s="59">
        <v>12</v>
      </c>
      <c r="F112" s="56" t="s">
        <v>34</v>
      </c>
      <c r="G112" s="63">
        <f t="shared" si="16"/>
        <v>0</v>
      </c>
      <c r="H112" s="63">
        <v>0</v>
      </c>
      <c r="J112" s="57"/>
    </row>
    <row r="113" spans="1:10" x14ac:dyDescent="0.3">
      <c r="A113" s="13" t="s">
        <v>2918</v>
      </c>
      <c r="B113" s="147">
        <v>1503050</v>
      </c>
      <c r="C113" s="156"/>
      <c r="D113" s="197" t="s">
        <v>2649</v>
      </c>
      <c r="E113" s="59"/>
      <c r="F113" s="56"/>
      <c r="G113" s="63"/>
      <c r="H113" s="63"/>
      <c r="J113" s="57"/>
    </row>
    <row r="114" spans="1:10" x14ac:dyDescent="0.3">
      <c r="A114" s="8" t="s">
        <v>2919</v>
      </c>
      <c r="B114" s="8">
        <v>1503050</v>
      </c>
      <c r="C114" s="149">
        <v>3.1</v>
      </c>
      <c r="D114" s="150" t="s">
        <v>2651</v>
      </c>
      <c r="E114" s="59">
        <v>12</v>
      </c>
      <c r="F114" s="56" t="s">
        <v>34</v>
      </c>
      <c r="G114" s="63">
        <f t="shared" ref="G114" si="17">SUM(G106:G113)</f>
        <v>0</v>
      </c>
      <c r="H114" s="63">
        <f>SUM(H104:H113)</f>
        <v>0</v>
      </c>
      <c r="J114" s="57"/>
    </row>
    <row r="115" spans="1:10" x14ac:dyDescent="0.3">
      <c r="A115" s="8" t="s">
        <v>2920</v>
      </c>
      <c r="B115" s="8">
        <v>1503050</v>
      </c>
      <c r="C115" s="8">
        <v>3.1</v>
      </c>
      <c r="D115" s="151" t="s">
        <v>2653</v>
      </c>
      <c r="E115" s="59">
        <v>12</v>
      </c>
      <c r="F115" s="59" t="s">
        <v>34</v>
      </c>
      <c r="G115" s="63">
        <v>0</v>
      </c>
      <c r="H115" s="63">
        <v>0</v>
      </c>
      <c r="J115" s="57"/>
    </row>
    <row r="116" spans="1:10" x14ac:dyDescent="0.3">
      <c r="A116" s="8" t="s">
        <v>2921</v>
      </c>
      <c r="B116" s="8">
        <v>1503050</v>
      </c>
      <c r="C116" s="8">
        <v>3.1</v>
      </c>
      <c r="D116" s="151" t="s">
        <v>2655</v>
      </c>
      <c r="E116" s="59">
        <v>12</v>
      </c>
      <c r="F116" s="56" t="s">
        <v>34</v>
      </c>
      <c r="G116" s="63">
        <f t="shared" ref="G116:G122" si="18">H116/E116</f>
        <v>0</v>
      </c>
      <c r="H116" s="63">
        <v>0</v>
      </c>
      <c r="J116" s="57"/>
    </row>
    <row r="117" spans="1:10" x14ac:dyDescent="0.3">
      <c r="A117" s="8" t="s">
        <v>2922</v>
      </c>
      <c r="B117" s="8">
        <v>1503050</v>
      </c>
      <c r="C117" s="8">
        <v>3.2</v>
      </c>
      <c r="D117" s="60" t="s">
        <v>2657</v>
      </c>
      <c r="E117" s="59">
        <v>12</v>
      </c>
      <c r="F117" s="56" t="s">
        <v>34</v>
      </c>
      <c r="G117" s="63">
        <f t="shared" si="18"/>
        <v>0</v>
      </c>
      <c r="H117" s="63">
        <v>0</v>
      </c>
      <c r="J117" s="57"/>
    </row>
    <row r="118" spans="1:10" x14ac:dyDescent="0.3">
      <c r="A118" s="8" t="s">
        <v>2923</v>
      </c>
      <c r="B118" s="8">
        <v>1503050</v>
      </c>
      <c r="C118" s="8">
        <v>3.3</v>
      </c>
      <c r="D118" s="9" t="s">
        <v>2659</v>
      </c>
      <c r="E118" s="59">
        <v>12</v>
      </c>
      <c r="F118" s="56" t="s">
        <v>34</v>
      </c>
      <c r="G118" s="63">
        <f t="shared" si="18"/>
        <v>0</v>
      </c>
      <c r="H118" s="63">
        <v>0</v>
      </c>
      <c r="J118" s="57"/>
    </row>
    <row r="119" spans="1:10" x14ac:dyDescent="0.3">
      <c r="A119" s="8" t="s">
        <v>2924</v>
      </c>
      <c r="B119" s="8">
        <v>1503050</v>
      </c>
      <c r="C119" s="8">
        <v>3.5</v>
      </c>
      <c r="D119" s="9" t="s">
        <v>2661</v>
      </c>
      <c r="E119" s="59">
        <v>12</v>
      </c>
      <c r="F119" s="56" t="s">
        <v>34</v>
      </c>
      <c r="G119" s="63">
        <f t="shared" si="18"/>
        <v>0</v>
      </c>
      <c r="H119" s="63">
        <v>0</v>
      </c>
      <c r="J119" s="57"/>
    </row>
    <row r="120" spans="1:10" x14ac:dyDescent="0.3">
      <c r="A120" s="8" t="s">
        <v>2925</v>
      </c>
      <c r="B120" s="8">
        <v>1503050</v>
      </c>
      <c r="C120" s="8">
        <v>3.6</v>
      </c>
      <c r="D120" s="9" t="s">
        <v>2663</v>
      </c>
      <c r="E120" s="59">
        <v>12</v>
      </c>
      <c r="F120" s="56" t="s">
        <v>34</v>
      </c>
      <c r="G120" s="63">
        <f t="shared" si="18"/>
        <v>0</v>
      </c>
      <c r="H120" s="63">
        <v>0</v>
      </c>
      <c r="J120" s="57"/>
    </row>
    <row r="121" spans="1:10" x14ac:dyDescent="0.3">
      <c r="A121" s="8" t="s">
        <v>2926</v>
      </c>
      <c r="B121" s="8">
        <v>1503050</v>
      </c>
      <c r="C121" s="8">
        <v>3.7</v>
      </c>
      <c r="D121" s="152" t="s">
        <v>2665</v>
      </c>
      <c r="E121" s="59">
        <v>12</v>
      </c>
      <c r="F121" s="56" t="s">
        <v>34</v>
      </c>
      <c r="G121" s="63">
        <f t="shared" si="18"/>
        <v>0</v>
      </c>
      <c r="H121" s="63">
        <v>0</v>
      </c>
      <c r="J121" s="57"/>
    </row>
    <row r="122" spans="1:10" x14ac:dyDescent="0.3">
      <c r="A122" s="13"/>
      <c r="B122" s="13"/>
      <c r="C122" s="13"/>
      <c r="D122" s="153" t="s">
        <v>2927</v>
      </c>
      <c r="E122" s="59">
        <v>12</v>
      </c>
      <c r="F122" s="56" t="s">
        <v>34</v>
      </c>
      <c r="G122" s="63">
        <f t="shared" si="18"/>
        <v>0</v>
      </c>
      <c r="H122" s="63">
        <v>0</v>
      </c>
      <c r="J122" s="57"/>
    </row>
    <row r="123" spans="1:10" x14ac:dyDescent="0.3">
      <c r="A123" s="13" t="s">
        <v>2928</v>
      </c>
      <c r="B123" s="147">
        <v>1503050</v>
      </c>
      <c r="C123" s="156"/>
      <c r="D123" s="197" t="s">
        <v>2668</v>
      </c>
      <c r="E123" s="59"/>
      <c r="F123" s="56"/>
      <c r="G123" s="63"/>
      <c r="H123" s="63"/>
      <c r="J123" s="57"/>
    </row>
    <row r="124" spans="1:10" x14ac:dyDescent="0.3">
      <c r="A124" s="8" t="s">
        <v>2930</v>
      </c>
      <c r="B124" s="8">
        <v>1503050</v>
      </c>
      <c r="C124" s="149">
        <v>3.1</v>
      </c>
      <c r="D124" s="150" t="s">
        <v>2670</v>
      </c>
      <c r="E124" s="59">
        <v>12</v>
      </c>
      <c r="F124" s="56" t="s">
        <v>34</v>
      </c>
      <c r="G124" s="63">
        <f t="shared" ref="G124" si="19">SUM(G116:G123)</f>
        <v>0</v>
      </c>
      <c r="H124" s="63">
        <f>SUM(H115:H123)</f>
        <v>0</v>
      </c>
      <c r="J124" s="57"/>
    </row>
    <row r="125" spans="1:10" ht="12.75" customHeight="1" x14ac:dyDescent="0.3">
      <c r="A125" s="8" t="s">
        <v>2931</v>
      </c>
      <c r="B125" s="8">
        <v>1503050</v>
      </c>
      <c r="C125" s="8">
        <v>3.1</v>
      </c>
      <c r="D125" s="151" t="s">
        <v>2672</v>
      </c>
      <c r="E125" s="59">
        <v>12</v>
      </c>
      <c r="F125" s="59" t="s">
        <v>34</v>
      </c>
      <c r="G125" s="63">
        <v>0</v>
      </c>
      <c r="H125" s="63">
        <v>0</v>
      </c>
      <c r="J125" s="57"/>
    </row>
    <row r="126" spans="1:10" x14ac:dyDescent="0.3">
      <c r="A126" s="8" t="s">
        <v>2933</v>
      </c>
      <c r="B126" s="8">
        <v>1503050</v>
      </c>
      <c r="C126" s="8">
        <v>3.1</v>
      </c>
      <c r="D126" s="151" t="s">
        <v>2674</v>
      </c>
      <c r="E126" s="59">
        <v>12</v>
      </c>
      <c r="F126" s="56" t="s">
        <v>34</v>
      </c>
      <c r="G126" s="63">
        <f t="shared" ref="G126:G132" si="20">H126/E126</f>
        <v>0</v>
      </c>
      <c r="H126" s="63">
        <v>0</v>
      </c>
      <c r="J126" s="57"/>
    </row>
    <row r="127" spans="1:10" x14ac:dyDescent="0.3">
      <c r="A127" s="8" t="s">
        <v>2934</v>
      </c>
      <c r="B127" s="8">
        <v>1503050</v>
      </c>
      <c r="C127" s="8">
        <v>3.2</v>
      </c>
      <c r="D127" s="60" t="s">
        <v>2676</v>
      </c>
      <c r="E127" s="59">
        <v>12</v>
      </c>
      <c r="F127" s="56" t="s">
        <v>34</v>
      </c>
      <c r="G127" s="63">
        <f t="shared" si="20"/>
        <v>0</v>
      </c>
      <c r="H127" s="63">
        <v>0</v>
      </c>
      <c r="J127" s="57"/>
    </row>
    <row r="128" spans="1:10" x14ac:dyDescent="0.3">
      <c r="A128" s="8" t="s">
        <v>2935</v>
      </c>
      <c r="B128" s="8">
        <v>1503050</v>
      </c>
      <c r="C128" s="8">
        <v>3.3</v>
      </c>
      <c r="D128" s="9" t="s">
        <v>2678</v>
      </c>
      <c r="E128" s="59">
        <v>12</v>
      </c>
      <c r="F128" s="56" t="s">
        <v>34</v>
      </c>
      <c r="G128" s="63">
        <f t="shared" si="20"/>
        <v>0</v>
      </c>
      <c r="H128" s="63">
        <v>0</v>
      </c>
      <c r="J128" s="57"/>
    </row>
    <row r="129" spans="1:10" ht="12.75" customHeight="1" x14ac:dyDescent="0.3">
      <c r="A129" s="8" t="s">
        <v>2936</v>
      </c>
      <c r="B129" s="8">
        <v>1503050</v>
      </c>
      <c r="C129" s="8">
        <v>3.5</v>
      </c>
      <c r="D129" s="9" t="s">
        <v>2680</v>
      </c>
      <c r="E129" s="59">
        <v>12</v>
      </c>
      <c r="F129" s="56" t="s">
        <v>34</v>
      </c>
      <c r="G129" s="63">
        <f t="shared" si="20"/>
        <v>0</v>
      </c>
      <c r="H129" s="63">
        <v>0</v>
      </c>
      <c r="J129" s="57"/>
    </row>
    <row r="130" spans="1:10" x14ac:dyDescent="0.3">
      <c r="A130" s="8" t="s">
        <v>2937</v>
      </c>
      <c r="B130" s="8">
        <v>1503050</v>
      </c>
      <c r="C130" s="8">
        <v>3.6</v>
      </c>
      <c r="D130" s="9" t="s">
        <v>2682</v>
      </c>
      <c r="E130" s="59">
        <v>12</v>
      </c>
      <c r="F130" s="56" t="s">
        <v>34</v>
      </c>
      <c r="G130" s="63">
        <f t="shared" si="20"/>
        <v>0</v>
      </c>
      <c r="H130" s="63">
        <v>0</v>
      </c>
      <c r="J130" s="57"/>
    </row>
    <row r="131" spans="1:10" x14ac:dyDescent="0.3">
      <c r="A131" s="8" t="s">
        <v>2938</v>
      </c>
      <c r="B131" s="8">
        <v>1503050</v>
      </c>
      <c r="C131" s="8">
        <v>3.7</v>
      </c>
      <c r="D131" s="152" t="s">
        <v>2684</v>
      </c>
      <c r="E131" s="59">
        <v>12</v>
      </c>
      <c r="F131" s="56" t="s">
        <v>34</v>
      </c>
      <c r="G131" s="63">
        <f t="shared" si="20"/>
        <v>0</v>
      </c>
      <c r="H131" s="63">
        <v>0</v>
      </c>
      <c r="J131" s="57"/>
    </row>
    <row r="132" spans="1:10" x14ac:dyDescent="0.3">
      <c r="A132" s="13"/>
      <c r="B132" s="13"/>
      <c r="C132" s="13"/>
      <c r="D132" s="153" t="s">
        <v>2939</v>
      </c>
      <c r="E132" s="59">
        <v>12</v>
      </c>
      <c r="F132" s="56" t="s">
        <v>34</v>
      </c>
      <c r="G132" s="63">
        <f t="shared" si="20"/>
        <v>0</v>
      </c>
      <c r="H132" s="63">
        <v>0</v>
      </c>
      <c r="J132" s="57"/>
    </row>
    <row r="133" spans="1:10" x14ac:dyDescent="0.3">
      <c r="A133" s="13" t="s">
        <v>2940</v>
      </c>
      <c r="B133" s="147">
        <v>1503050</v>
      </c>
      <c r="C133" s="156"/>
      <c r="D133" s="197" t="s">
        <v>2687</v>
      </c>
      <c r="E133" s="59"/>
      <c r="F133" s="56"/>
      <c r="G133" s="63"/>
      <c r="H133" s="63"/>
      <c r="J133" s="57"/>
    </row>
    <row r="134" spans="1:10" x14ac:dyDescent="0.3">
      <c r="A134" s="8" t="s">
        <v>2942</v>
      </c>
      <c r="B134" s="8">
        <v>1503050</v>
      </c>
      <c r="C134" s="149">
        <v>3.1</v>
      </c>
      <c r="D134" s="150" t="s">
        <v>2689</v>
      </c>
      <c r="E134" s="59">
        <v>12</v>
      </c>
      <c r="F134" s="56" t="s">
        <v>34</v>
      </c>
      <c r="G134" s="63">
        <f t="shared" ref="G134" si="21">SUM(G126:G133)</f>
        <v>0</v>
      </c>
      <c r="H134" s="63">
        <f>SUM(H125:H133)</f>
        <v>0</v>
      </c>
      <c r="J134" s="57"/>
    </row>
    <row r="135" spans="1:10" x14ac:dyDescent="0.3">
      <c r="A135" s="8" t="s">
        <v>2941</v>
      </c>
      <c r="B135" s="8">
        <v>1503050</v>
      </c>
      <c r="C135" s="8">
        <v>3.1</v>
      </c>
      <c r="D135" s="151" t="s">
        <v>2691</v>
      </c>
      <c r="E135" s="59">
        <v>12</v>
      </c>
      <c r="F135" s="59" t="s">
        <v>34</v>
      </c>
      <c r="G135" s="63">
        <v>0</v>
      </c>
      <c r="H135" s="63">
        <v>0</v>
      </c>
      <c r="J135" s="57"/>
    </row>
    <row r="136" spans="1:10" x14ac:dyDescent="0.3">
      <c r="A136" s="8" t="s">
        <v>2943</v>
      </c>
      <c r="B136" s="8">
        <v>1503050</v>
      </c>
      <c r="C136" s="8">
        <v>3.1</v>
      </c>
      <c r="D136" s="151" t="s">
        <v>2693</v>
      </c>
      <c r="E136" s="59">
        <v>12</v>
      </c>
      <c r="F136" s="56" t="s">
        <v>34</v>
      </c>
      <c r="G136" s="63">
        <f t="shared" ref="G136:G143" si="22">H136/E136</f>
        <v>0</v>
      </c>
      <c r="H136" s="63">
        <v>0</v>
      </c>
      <c r="J136" s="57"/>
    </row>
    <row r="137" spans="1:10" x14ac:dyDescent="0.3">
      <c r="A137" s="8" t="s">
        <v>2944</v>
      </c>
      <c r="B137" s="8">
        <v>1503050</v>
      </c>
      <c r="C137" s="8">
        <v>3.2</v>
      </c>
      <c r="D137" s="60" t="s">
        <v>2695</v>
      </c>
      <c r="E137" s="59">
        <v>12</v>
      </c>
      <c r="F137" s="56" t="s">
        <v>34</v>
      </c>
      <c r="G137" s="63">
        <f t="shared" si="22"/>
        <v>0</v>
      </c>
      <c r="H137" s="63">
        <v>0</v>
      </c>
      <c r="J137" s="57"/>
    </row>
    <row r="138" spans="1:10" x14ac:dyDescent="0.3">
      <c r="A138" s="8" t="s">
        <v>2945</v>
      </c>
      <c r="B138" s="8">
        <v>1503050</v>
      </c>
      <c r="C138" s="8">
        <v>3.3</v>
      </c>
      <c r="D138" s="9" t="s">
        <v>2697</v>
      </c>
      <c r="E138" s="59">
        <v>12</v>
      </c>
      <c r="F138" s="56" t="s">
        <v>34</v>
      </c>
      <c r="G138" s="63">
        <f t="shared" si="22"/>
        <v>0</v>
      </c>
      <c r="H138" s="63">
        <v>0</v>
      </c>
      <c r="J138" s="57"/>
    </row>
    <row r="139" spans="1:10" x14ac:dyDescent="0.3">
      <c r="A139" s="8" t="s">
        <v>2946</v>
      </c>
      <c r="B139" s="8">
        <v>1503050</v>
      </c>
      <c r="C139" s="8">
        <v>3.5</v>
      </c>
      <c r="D139" s="9" t="s">
        <v>2699</v>
      </c>
      <c r="E139" s="59">
        <v>12</v>
      </c>
      <c r="F139" s="56" t="s">
        <v>34</v>
      </c>
      <c r="G139" s="63">
        <f t="shared" si="22"/>
        <v>0</v>
      </c>
      <c r="H139" s="63">
        <v>0</v>
      </c>
      <c r="J139" s="57"/>
    </row>
    <row r="140" spans="1:10" x14ac:dyDescent="0.3">
      <c r="A140" s="8" t="s">
        <v>2947</v>
      </c>
      <c r="B140" s="8">
        <v>1503050</v>
      </c>
      <c r="C140" s="8">
        <v>3.6</v>
      </c>
      <c r="D140" s="9" t="s">
        <v>2701</v>
      </c>
      <c r="E140" s="59">
        <v>12</v>
      </c>
      <c r="F140" s="56" t="s">
        <v>34</v>
      </c>
      <c r="G140" s="63">
        <f t="shared" si="22"/>
        <v>0</v>
      </c>
      <c r="H140" s="63">
        <v>0</v>
      </c>
      <c r="J140" s="57"/>
    </row>
    <row r="141" spans="1:10" x14ac:dyDescent="0.3">
      <c r="A141" s="157" t="s">
        <v>2948</v>
      </c>
      <c r="B141" s="157">
        <v>1503050</v>
      </c>
      <c r="C141" s="157">
        <v>3.7</v>
      </c>
      <c r="D141" s="158" t="s">
        <v>2703</v>
      </c>
      <c r="E141" s="59">
        <v>12</v>
      </c>
      <c r="F141" s="56" t="s">
        <v>34</v>
      </c>
      <c r="G141" s="63">
        <f t="shared" si="22"/>
        <v>0</v>
      </c>
      <c r="H141" s="63">
        <v>0</v>
      </c>
      <c r="J141" s="57"/>
    </row>
    <row r="142" spans="1:10" x14ac:dyDescent="0.3">
      <c r="A142" s="156"/>
      <c r="B142" s="156"/>
      <c r="C142" s="156"/>
      <c r="D142" s="159" t="s">
        <v>2949</v>
      </c>
      <c r="E142" s="59">
        <v>12</v>
      </c>
      <c r="F142" s="56" t="s">
        <v>34</v>
      </c>
      <c r="G142" s="63">
        <f t="shared" si="22"/>
        <v>0</v>
      </c>
      <c r="H142" s="63">
        <v>0</v>
      </c>
      <c r="J142" s="57"/>
    </row>
    <row r="143" spans="1:10" x14ac:dyDescent="0.3">
      <c r="A143" s="156" t="s">
        <v>832</v>
      </c>
      <c r="B143" s="156">
        <v>1503050</v>
      </c>
      <c r="C143" s="156" t="s">
        <v>14</v>
      </c>
      <c r="D143" s="159" t="s">
        <v>2705</v>
      </c>
      <c r="E143" s="193">
        <v>12</v>
      </c>
      <c r="F143" s="189" t="s">
        <v>34</v>
      </c>
      <c r="G143" s="190">
        <f t="shared" si="22"/>
        <v>0</v>
      </c>
      <c r="H143" s="63">
        <v>0</v>
      </c>
      <c r="J143" s="57"/>
    </row>
    <row r="144" spans="1:10" x14ac:dyDescent="0.3">
      <c r="A144" s="156" t="s">
        <v>148</v>
      </c>
      <c r="B144" s="156">
        <v>1503050</v>
      </c>
      <c r="C144" s="156"/>
      <c r="D144" s="197" t="s">
        <v>2708</v>
      </c>
      <c r="E144" s="59"/>
      <c r="F144" s="56"/>
      <c r="G144" s="63"/>
      <c r="H144" s="63"/>
      <c r="J144" s="57"/>
    </row>
    <row r="145" spans="1:10" ht="12.75" customHeight="1" x14ac:dyDescent="0.3">
      <c r="A145" s="160" t="s">
        <v>2950</v>
      </c>
      <c r="B145" s="160">
        <v>1503050</v>
      </c>
      <c r="C145" s="161"/>
      <c r="D145" s="198" t="s">
        <v>2710</v>
      </c>
      <c r="E145" s="56"/>
      <c r="F145" s="56"/>
      <c r="G145" s="63"/>
      <c r="H145" s="63"/>
      <c r="J145" s="57"/>
    </row>
    <row r="146" spans="1:10" x14ac:dyDescent="0.3">
      <c r="A146" s="8" t="s">
        <v>2951</v>
      </c>
      <c r="B146" s="8">
        <v>1503050</v>
      </c>
      <c r="C146" s="8">
        <v>3.1</v>
      </c>
      <c r="D146" s="150" t="s">
        <v>2712</v>
      </c>
      <c r="E146" s="194">
        <v>12</v>
      </c>
      <c r="F146" s="195" t="s">
        <v>34</v>
      </c>
      <c r="G146" s="196">
        <f t="shared" ref="G146:G153" si="23">H146/E146</f>
        <v>0</v>
      </c>
      <c r="H146" s="63">
        <v>0</v>
      </c>
      <c r="J146" s="57"/>
    </row>
    <row r="147" spans="1:10" x14ac:dyDescent="0.3">
      <c r="A147" s="8" t="s">
        <v>2952</v>
      </c>
      <c r="B147" s="8">
        <v>1503050</v>
      </c>
      <c r="C147" s="8">
        <v>3.1</v>
      </c>
      <c r="D147" s="151" t="s">
        <v>2714</v>
      </c>
      <c r="E147" s="59">
        <v>12</v>
      </c>
      <c r="F147" s="56" t="s">
        <v>34</v>
      </c>
      <c r="G147" s="63">
        <f t="shared" si="23"/>
        <v>0</v>
      </c>
      <c r="H147" s="63">
        <v>0</v>
      </c>
      <c r="J147" s="57"/>
    </row>
    <row r="148" spans="1:10" x14ac:dyDescent="0.3">
      <c r="A148" s="8" t="s">
        <v>2953</v>
      </c>
      <c r="B148" s="8">
        <v>1503050</v>
      </c>
      <c r="C148" s="8">
        <v>3.1</v>
      </c>
      <c r="D148" s="162" t="s">
        <v>2716</v>
      </c>
      <c r="E148" s="59">
        <v>12</v>
      </c>
      <c r="F148" s="56" t="s">
        <v>34</v>
      </c>
      <c r="G148" s="63">
        <f t="shared" si="23"/>
        <v>0</v>
      </c>
      <c r="H148" s="63">
        <v>0</v>
      </c>
      <c r="J148" s="57"/>
    </row>
    <row r="149" spans="1:10" ht="12.75" customHeight="1" x14ac:dyDescent="0.3">
      <c r="A149" s="8" t="s">
        <v>2954</v>
      </c>
      <c r="B149" s="8">
        <v>1503050</v>
      </c>
      <c r="C149" s="8">
        <v>3.2</v>
      </c>
      <c r="D149" s="60" t="s">
        <v>2718</v>
      </c>
      <c r="E149" s="59">
        <v>12</v>
      </c>
      <c r="F149" s="56" t="s">
        <v>34</v>
      </c>
      <c r="G149" s="63">
        <f t="shared" si="23"/>
        <v>0</v>
      </c>
      <c r="H149" s="63">
        <v>0</v>
      </c>
      <c r="J149" s="57"/>
    </row>
    <row r="150" spans="1:10" x14ac:dyDescent="0.3">
      <c r="A150" s="8" t="s">
        <v>2955</v>
      </c>
      <c r="B150" s="8">
        <v>1503050</v>
      </c>
      <c r="C150" s="8">
        <v>3.3</v>
      </c>
      <c r="D150" s="9" t="s">
        <v>2720</v>
      </c>
      <c r="E150" s="59">
        <v>12</v>
      </c>
      <c r="F150" s="56" t="s">
        <v>34</v>
      </c>
      <c r="G150" s="63">
        <f t="shared" si="23"/>
        <v>0</v>
      </c>
      <c r="H150" s="63">
        <v>0</v>
      </c>
      <c r="J150" s="57"/>
    </row>
    <row r="151" spans="1:10" x14ac:dyDescent="0.3">
      <c r="A151" s="8" t="s">
        <v>2956</v>
      </c>
      <c r="B151" s="8">
        <v>1503050</v>
      </c>
      <c r="C151" s="8">
        <v>3.5</v>
      </c>
      <c r="D151" s="9" t="s">
        <v>2722</v>
      </c>
      <c r="E151" s="59">
        <v>12</v>
      </c>
      <c r="F151" s="56" t="s">
        <v>34</v>
      </c>
      <c r="G151" s="63">
        <f t="shared" si="23"/>
        <v>0</v>
      </c>
      <c r="H151" s="63">
        <v>0</v>
      </c>
      <c r="J151" s="57"/>
    </row>
    <row r="152" spans="1:10" x14ac:dyDescent="0.3">
      <c r="A152" s="8" t="s">
        <v>2957</v>
      </c>
      <c r="B152" s="8">
        <v>1503050</v>
      </c>
      <c r="C152" s="8">
        <v>3.6</v>
      </c>
      <c r="D152" s="9" t="s">
        <v>2724</v>
      </c>
      <c r="E152" s="59">
        <v>12</v>
      </c>
      <c r="F152" s="56" t="s">
        <v>34</v>
      </c>
      <c r="G152" s="63">
        <f t="shared" si="23"/>
        <v>0</v>
      </c>
      <c r="H152" s="63">
        <v>0</v>
      </c>
      <c r="J152" s="57"/>
    </row>
    <row r="153" spans="1:10" x14ac:dyDescent="0.3">
      <c r="A153" s="8" t="s">
        <v>2958</v>
      </c>
      <c r="B153" s="8">
        <v>1503050</v>
      </c>
      <c r="C153" s="8">
        <v>3.7</v>
      </c>
      <c r="D153" s="152" t="s">
        <v>2726</v>
      </c>
      <c r="E153" s="59">
        <v>12</v>
      </c>
      <c r="F153" s="56" t="s">
        <v>34</v>
      </c>
      <c r="G153" s="63">
        <f t="shared" si="23"/>
        <v>0</v>
      </c>
      <c r="H153" s="63">
        <v>0</v>
      </c>
      <c r="J153" s="57"/>
    </row>
    <row r="154" spans="1:10" x14ac:dyDescent="0.3">
      <c r="A154" s="13"/>
      <c r="B154" s="13"/>
      <c r="C154" s="13"/>
      <c r="D154" s="153" t="s">
        <v>2959</v>
      </c>
      <c r="E154" s="193">
        <v>12</v>
      </c>
      <c r="F154" s="189" t="s">
        <v>34</v>
      </c>
      <c r="G154" s="190">
        <f t="shared" ref="G154:H154" si="24">SUM(G146:G153)</f>
        <v>0</v>
      </c>
      <c r="H154" s="190">
        <f t="shared" si="24"/>
        <v>0</v>
      </c>
      <c r="J154" s="57"/>
    </row>
    <row r="155" spans="1:10" x14ac:dyDescent="0.3">
      <c r="A155" s="160" t="s">
        <v>2960</v>
      </c>
      <c r="B155" s="160">
        <v>1503050</v>
      </c>
      <c r="C155" s="161"/>
      <c r="D155" s="198" t="s">
        <v>2728</v>
      </c>
      <c r="E155" s="56"/>
      <c r="F155" s="56"/>
      <c r="G155" s="63"/>
      <c r="H155" s="63"/>
      <c r="J155" s="57"/>
    </row>
    <row r="156" spans="1:10" x14ac:dyDescent="0.3">
      <c r="A156" s="8" t="s">
        <v>2960</v>
      </c>
      <c r="B156" s="8">
        <v>1503050</v>
      </c>
      <c r="C156" s="8">
        <v>3.1</v>
      </c>
      <c r="D156" s="150" t="s">
        <v>2730</v>
      </c>
      <c r="E156" s="194">
        <v>12</v>
      </c>
      <c r="F156" s="195" t="s">
        <v>34</v>
      </c>
      <c r="G156" s="196">
        <f t="shared" ref="G156:G163" si="25">H156/E156</f>
        <v>0</v>
      </c>
      <c r="H156" s="196">
        <v>0</v>
      </c>
      <c r="J156" s="57"/>
    </row>
    <row r="157" spans="1:10" x14ac:dyDescent="0.3">
      <c r="A157" s="8" t="s">
        <v>2961</v>
      </c>
      <c r="B157" s="8">
        <v>1503050</v>
      </c>
      <c r="C157" s="8">
        <v>3.1</v>
      </c>
      <c r="D157" s="151" t="s">
        <v>2732</v>
      </c>
      <c r="E157" s="59">
        <v>12</v>
      </c>
      <c r="F157" s="56" t="s">
        <v>34</v>
      </c>
      <c r="G157" s="63">
        <f t="shared" si="25"/>
        <v>0</v>
      </c>
      <c r="H157" s="63">
        <v>0</v>
      </c>
      <c r="J157" s="57"/>
    </row>
    <row r="158" spans="1:10" x14ac:dyDescent="0.3">
      <c r="A158" s="8" t="s">
        <v>2962</v>
      </c>
      <c r="B158" s="8">
        <v>1503050</v>
      </c>
      <c r="C158" s="8">
        <v>3.1</v>
      </c>
      <c r="D158" s="162" t="s">
        <v>2734</v>
      </c>
      <c r="E158" s="59">
        <v>12</v>
      </c>
      <c r="F158" s="56" t="s">
        <v>34</v>
      </c>
      <c r="G158" s="63">
        <f t="shared" si="25"/>
        <v>0</v>
      </c>
      <c r="H158" s="63">
        <v>0</v>
      </c>
      <c r="J158" s="57"/>
    </row>
    <row r="159" spans="1:10" x14ac:dyDescent="0.3">
      <c r="A159" s="8" t="s">
        <v>2963</v>
      </c>
      <c r="B159" s="8">
        <v>1503050</v>
      </c>
      <c r="C159" s="8">
        <v>3.2</v>
      </c>
      <c r="D159" s="60" t="s">
        <v>2736</v>
      </c>
      <c r="E159" s="59">
        <v>12</v>
      </c>
      <c r="F159" s="56" t="s">
        <v>34</v>
      </c>
      <c r="G159" s="63">
        <f t="shared" si="25"/>
        <v>0</v>
      </c>
      <c r="H159" s="63">
        <v>0</v>
      </c>
      <c r="J159" s="57"/>
    </row>
    <row r="160" spans="1:10" x14ac:dyDescent="0.3">
      <c r="A160" s="8" t="s">
        <v>2964</v>
      </c>
      <c r="B160" s="8">
        <v>1503050</v>
      </c>
      <c r="C160" s="8">
        <v>3.3</v>
      </c>
      <c r="D160" s="9" t="s">
        <v>2738</v>
      </c>
      <c r="E160" s="59">
        <v>12</v>
      </c>
      <c r="F160" s="56" t="s">
        <v>34</v>
      </c>
      <c r="G160" s="63">
        <f t="shared" si="25"/>
        <v>0</v>
      </c>
      <c r="H160" s="63">
        <v>0</v>
      </c>
      <c r="J160" s="57"/>
    </row>
    <row r="161" spans="1:10" x14ac:dyDescent="0.3">
      <c r="A161" s="8" t="s">
        <v>2965</v>
      </c>
      <c r="B161" s="8">
        <v>1503050</v>
      </c>
      <c r="C161" s="8">
        <v>3.5</v>
      </c>
      <c r="D161" s="9" t="s">
        <v>2740</v>
      </c>
      <c r="E161" s="59">
        <v>12</v>
      </c>
      <c r="F161" s="56" t="s">
        <v>34</v>
      </c>
      <c r="G161" s="63">
        <f t="shared" si="25"/>
        <v>0</v>
      </c>
      <c r="H161" s="63">
        <v>0</v>
      </c>
      <c r="J161" s="57"/>
    </row>
    <row r="162" spans="1:10" x14ac:dyDescent="0.3">
      <c r="A162" s="8" t="s">
        <v>2966</v>
      </c>
      <c r="B162" s="8">
        <v>1503050</v>
      </c>
      <c r="C162" s="8">
        <v>3.6</v>
      </c>
      <c r="D162" s="9" t="s">
        <v>2742</v>
      </c>
      <c r="E162" s="59">
        <v>12</v>
      </c>
      <c r="F162" s="56" t="s">
        <v>34</v>
      </c>
      <c r="G162" s="63">
        <f t="shared" si="25"/>
        <v>0</v>
      </c>
      <c r="H162" s="63">
        <v>0</v>
      </c>
      <c r="J162" s="57"/>
    </row>
    <row r="163" spans="1:10" x14ac:dyDescent="0.3">
      <c r="A163" s="8" t="s">
        <v>2967</v>
      </c>
      <c r="B163" s="8">
        <v>1503050</v>
      </c>
      <c r="C163" s="8">
        <v>3.7</v>
      </c>
      <c r="D163" s="152" t="s">
        <v>2744</v>
      </c>
      <c r="E163" s="59">
        <v>12</v>
      </c>
      <c r="F163" s="56" t="s">
        <v>34</v>
      </c>
      <c r="G163" s="63">
        <f t="shared" si="25"/>
        <v>0</v>
      </c>
      <c r="H163" s="63">
        <v>0</v>
      </c>
      <c r="J163" s="57"/>
    </row>
    <row r="164" spans="1:10" x14ac:dyDescent="0.3">
      <c r="A164" s="13"/>
      <c r="B164" s="13"/>
      <c r="C164" s="13"/>
      <c r="D164" s="153" t="s">
        <v>2968</v>
      </c>
      <c r="E164" s="193">
        <v>12</v>
      </c>
      <c r="F164" s="189" t="s">
        <v>34</v>
      </c>
      <c r="G164" s="190">
        <f t="shared" ref="G164:H164" si="26">SUM(G156:G163)</f>
        <v>0</v>
      </c>
      <c r="H164" s="63">
        <f t="shared" si="26"/>
        <v>0</v>
      </c>
      <c r="J164" s="57"/>
    </row>
    <row r="165" spans="1:10" ht="12.75" customHeight="1" x14ac:dyDescent="0.3">
      <c r="A165" s="160" t="s">
        <v>2969</v>
      </c>
      <c r="B165" s="160">
        <v>1503050</v>
      </c>
      <c r="C165" s="161"/>
      <c r="D165" s="198" t="s">
        <v>2868</v>
      </c>
      <c r="E165" s="56"/>
      <c r="F165" s="56"/>
      <c r="G165" s="63"/>
      <c r="H165" s="63"/>
      <c r="J165" s="57"/>
    </row>
    <row r="166" spans="1:10" x14ac:dyDescent="0.3">
      <c r="A166" s="8" t="s">
        <v>2970</v>
      </c>
      <c r="B166" s="8">
        <v>1503050</v>
      </c>
      <c r="C166" s="8">
        <v>3.1</v>
      </c>
      <c r="D166" s="150" t="s">
        <v>2748</v>
      </c>
      <c r="E166" s="194">
        <v>12</v>
      </c>
      <c r="F166" s="195" t="s">
        <v>34</v>
      </c>
      <c r="G166" s="196">
        <f t="shared" ref="G166:G173" si="27">H166/E166</f>
        <v>0</v>
      </c>
      <c r="H166" s="63">
        <v>0</v>
      </c>
      <c r="J166" s="57"/>
    </row>
    <row r="167" spans="1:10" x14ac:dyDescent="0.3">
      <c r="A167" s="8" t="s">
        <v>2971</v>
      </c>
      <c r="B167" s="8">
        <v>1503050</v>
      </c>
      <c r="C167" s="8">
        <v>3.1</v>
      </c>
      <c r="D167" s="151" t="s">
        <v>2750</v>
      </c>
      <c r="E167" s="59">
        <v>12</v>
      </c>
      <c r="F167" s="56" t="s">
        <v>34</v>
      </c>
      <c r="G167" s="63">
        <f t="shared" si="27"/>
        <v>0</v>
      </c>
      <c r="H167" s="63">
        <v>0</v>
      </c>
      <c r="J167" s="57"/>
    </row>
    <row r="168" spans="1:10" x14ac:dyDescent="0.3">
      <c r="A168" s="8" t="s">
        <v>2972</v>
      </c>
      <c r="B168" s="8">
        <v>1503050</v>
      </c>
      <c r="C168" s="8">
        <v>3.1</v>
      </c>
      <c r="D168" s="162" t="s">
        <v>2752</v>
      </c>
      <c r="E168" s="59">
        <v>12</v>
      </c>
      <c r="F168" s="56" t="s">
        <v>34</v>
      </c>
      <c r="G168" s="63">
        <f t="shared" si="27"/>
        <v>0</v>
      </c>
      <c r="H168" s="63">
        <v>0</v>
      </c>
      <c r="J168" s="57"/>
    </row>
    <row r="169" spans="1:10" ht="12.75" customHeight="1" x14ac:dyDescent="0.3">
      <c r="A169" s="8" t="s">
        <v>2973</v>
      </c>
      <c r="B169" s="8">
        <v>1503050</v>
      </c>
      <c r="C169" s="8">
        <v>3.2</v>
      </c>
      <c r="D169" s="60" t="s">
        <v>2754</v>
      </c>
      <c r="E169" s="59">
        <v>12</v>
      </c>
      <c r="F169" s="56" t="s">
        <v>34</v>
      </c>
      <c r="G169" s="63">
        <f t="shared" si="27"/>
        <v>0</v>
      </c>
      <c r="H169" s="63">
        <v>0</v>
      </c>
      <c r="J169" s="57"/>
    </row>
    <row r="170" spans="1:10" x14ac:dyDescent="0.3">
      <c r="A170" s="8" t="s">
        <v>2974</v>
      </c>
      <c r="B170" s="8">
        <v>1503050</v>
      </c>
      <c r="C170" s="8">
        <v>3.3</v>
      </c>
      <c r="D170" s="9" t="s">
        <v>2756</v>
      </c>
      <c r="E170" s="59">
        <v>12</v>
      </c>
      <c r="F170" s="56" t="s">
        <v>34</v>
      </c>
      <c r="G170" s="63">
        <f t="shared" si="27"/>
        <v>0</v>
      </c>
      <c r="H170" s="63">
        <v>0</v>
      </c>
      <c r="J170" s="57"/>
    </row>
    <row r="171" spans="1:10" x14ac:dyDescent="0.3">
      <c r="A171" s="8" t="s">
        <v>2975</v>
      </c>
      <c r="B171" s="8">
        <v>1503050</v>
      </c>
      <c r="C171" s="8">
        <v>3.5</v>
      </c>
      <c r="D171" s="9" t="s">
        <v>2758</v>
      </c>
      <c r="E171" s="59">
        <v>12</v>
      </c>
      <c r="F171" s="56" t="s">
        <v>34</v>
      </c>
      <c r="G171" s="63">
        <f t="shared" si="27"/>
        <v>0</v>
      </c>
      <c r="H171" s="63">
        <v>0</v>
      </c>
      <c r="J171" s="57"/>
    </row>
    <row r="172" spans="1:10" x14ac:dyDescent="0.3">
      <c r="A172" s="8" t="s">
        <v>2976</v>
      </c>
      <c r="B172" s="8">
        <v>1503050</v>
      </c>
      <c r="C172" s="8">
        <v>3.6</v>
      </c>
      <c r="D172" s="9" t="s">
        <v>2760</v>
      </c>
      <c r="E172" s="59">
        <v>12</v>
      </c>
      <c r="F172" s="56" t="s">
        <v>34</v>
      </c>
      <c r="G172" s="63">
        <f t="shared" si="27"/>
        <v>0</v>
      </c>
      <c r="H172" s="63">
        <v>0</v>
      </c>
      <c r="J172" s="57"/>
    </row>
    <row r="173" spans="1:10" x14ac:dyDescent="0.3">
      <c r="A173" s="8" t="s">
        <v>2977</v>
      </c>
      <c r="B173" s="8">
        <v>1503050</v>
      </c>
      <c r="C173" s="8">
        <v>3.7</v>
      </c>
      <c r="D173" s="152" t="s">
        <v>2762</v>
      </c>
      <c r="E173" s="59">
        <v>12</v>
      </c>
      <c r="F173" s="56" t="s">
        <v>34</v>
      </c>
      <c r="G173" s="63">
        <f t="shared" si="27"/>
        <v>0</v>
      </c>
      <c r="H173" s="63">
        <v>0</v>
      </c>
      <c r="J173" s="57"/>
    </row>
    <row r="174" spans="1:10" x14ac:dyDescent="0.3">
      <c r="A174" s="13"/>
      <c r="B174" s="13"/>
      <c r="C174" s="13"/>
      <c r="D174" s="153" t="s">
        <v>2978</v>
      </c>
      <c r="E174" s="193">
        <v>12</v>
      </c>
      <c r="F174" s="189" t="s">
        <v>34</v>
      </c>
      <c r="G174" s="190">
        <f t="shared" ref="G174:H174" si="28">SUM(G166:G173)</f>
        <v>0</v>
      </c>
      <c r="H174" s="63">
        <f t="shared" si="28"/>
        <v>0</v>
      </c>
      <c r="J174" s="57"/>
    </row>
    <row r="175" spans="1:10" x14ac:dyDescent="0.3">
      <c r="A175" s="160" t="s">
        <v>2979</v>
      </c>
      <c r="B175" s="160">
        <v>1503050</v>
      </c>
      <c r="C175" s="161"/>
      <c r="D175" s="198" t="s">
        <v>2765</v>
      </c>
      <c r="E175" s="59"/>
      <c r="F175" s="56"/>
      <c r="G175" s="63"/>
      <c r="H175" s="63"/>
      <c r="J175" s="57"/>
    </row>
    <row r="176" spans="1:10" x14ac:dyDescent="0.3">
      <c r="A176" s="8" t="s">
        <v>2980</v>
      </c>
      <c r="B176" s="8">
        <v>1503050</v>
      </c>
      <c r="C176" s="8">
        <v>3.1</v>
      </c>
      <c r="D176" s="150" t="s">
        <v>2767</v>
      </c>
      <c r="E176" s="194">
        <v>12</v>
      </c>
      <c r="F176" s="195" t="s">
        <v>34</v>
      </c>
      <c r="G176" s="196">
        <f t="shared" ref="G176:G183" si="29">H176/E176</f>
        <v>0</v>
      </c>
      <c r="H176" s="63">
        <v>0</v>
      </c>
      <c r="J176" s="57"/>
    </row>
    <row r="177" spans="1:10" x14ac:dyDescent="0.3">
      <c r="A177" s="8" t="s">
        <v>2981</v>
      </c>
      <c r="B177" s="8">
        <v>1503050</v>
      </c>
      <c r="C177" s="8">
        <v>3.1</v>
      </c>
      <c r="D177" s="151" t="s">
        <v>2769</v>
      </c>
      <c r="E177" s="59">
        <v>12</v>
      </c>
      <c r="F177" s="56" t="s">
        <v>34</v>
      </c>
      <c r="G177" s="63">
        <f t="shared" si="29"/>
        <v>0</v>
      </c>
      <c r="H177" s="63">
        <v>0</v>
      </c>
      <c r="J177" s="57"/>
    </row>
    <row r="178" spans="1:10" x14ac:dyDescent="0.3">
      <c r="A178" s="8" t="s">
        <v>2982</v>
      </c>
      <c r="B178" s="8">
        <v>1503050</v>
      </c>
      <c r="C178" s="8">
        <v>3.1</v>
      </c>
      <c r="D178" s="162" t="s">
        <v>2771</v>
      </c>
      <c r="E178" s="59">
        <v>12</v>
      </c>
      <c r="F178" s="56" t="s">
        <v>34</v>
      </c>
      <c r="G178" s="63">
        <f t="shared" si="29"/>
        <v>0</v>
      </c>
      <c r="H178" s="63">
        <v>0</v>
      </c>
      <c r="J178" s="57"/>
    </row>
    <row r="179" spans="1:10" x14ac:dyDescent="0.3">
      <c r="A179" s="8" t="s">
        <v>2983</v>
      </c>
      <c r="B179" s="8">
        <v>1503050</v>
      </c>
      <c r="C179" s="8">
        <v>3.2</v>
      </c>
      <c r="D179" s="60" t="s">
        <v>2773</v>
      </c>
      <c r="E179" s="59">
        <v>12</v>
      </c>
      <c r="F179" s="56" t="s">
        <v>34</v>
      </c>
      <c r="G179" s="63">
        <f t="shared" si="29"/>
        <v>0</v>
      </c>
      <c r="H179" s="63">
        <v>0</v>
      </c>
      <c r="J179" s="57"/>
    </row>
    <row r="180" spans="1:10" x14ac:dyDescent="0.3">
      <c r="A180" s="8" t="s">
        <v>2984</v>
      </c>
      <c r="B180" s="8">
        <v>1503050</v>
      </c>
      <c r="C180" s="8">
        <v>3.3</v>
      </c>
      <c r="D180" s="9" t="s">
        <v>2775</v>
      </c>
      <c r="E180" s="59">
        <v>12</v>
      </c>
      <c r="F180" s="56" t="s">
        <v>34</v>
      </c>
      <c r="G180" s="63">
        <f t="shared" si="29"/>
        <v>0</v>
      </c>
      <c r="H180" s="63">
        <v>0</v>
      </c>
      <c r="J180" s="57"/>
    </row>
    <row r="181" spans="1:10" x14ac:dyDescent="0.3">
      <c r="A181" s="8" t="s">
        <v>2985</v>
      </c>
      <c r="B181" s="8">
        <v>1503050</v>
      </c>
      <c r="C181" s="8">
        <v>3.5</v>
      </c>
      <c r="D181" s="9" t="s">
        <v>2777</v>
      </c>
      <c r="E181" s="59">
        <v>12</v>
      </c>
      <c r="F181" s="56" t="s">
        <v>34</v>
      </c>
      <c r="G181" s="63">
        <f t="shared" si="29"/>
        <v>0</v>
      </c>
      <c r="H181" s="63">
        <v>0</v>
      </c>
      <c r="J181" s="57"/>
    </row>
    <row r="182" spans="1:10" x14ac:dyDescent="0.3">
      <c r="A182" s="8" t="s">
        <v>2986</v>
      </c>
      <c r="B182" s="8">
        <v>1503050</v>
      </c>
      <c r="C182" s="8">
        <v>3.6</v>
      </c>
      <c r="D182" s="9" t="s">
        <v>2779</v>
      </c>
      <c r="E182" s="59">
        <v>12</v>
      </c>
      <c r="F182" s="56" t="s">
        <v>34</v>
      </c>
      <c r="G182" s="63">
        <f t="shared" si="29"/>
        <v>0</v>
      </c>
      <c r="H182" s="63">
        <v>0</v>
      </c>
      <c r="J182" s="57"/>
    </row>
    <row r="183" spans="1:10" x14ac:dyDescent="0.3">
      <c r="A183" s="8" t="s">
        <v>2987</v>
      </c>
      <c r="B183" s="8">
        <v>1503050</v>
      </c>
      <c r="C183" s="8">
        <v>3.7</v>
      </c>
      <c r="D183" s="152" t="s">
        <v>2781</v>
      </c>
      <c r="E183" s="59">
        <v>12</v>
      </c>
      <c r="F183" s="56" t="s">
        <v>34</v>
      </c>
      <c r="G183" s="63">
        <f t="shared" si="29"/>
        <v>0</v>
      </c>
      <c r="H183" s="63">
        <v>0</v>
      </c>
      <c r="J183" s="57"/>
    </row>
    <row r="184" spans="1:10" x14ac:dyDescent="0.3">
      <c r="A184" s="13"/>
      <c r="B184" s="13"/>
      <c r="C184" s="13"/>
      <c r="D184" s="153" t="s">
        <v>2988</v>
      </c>
      <c r="E184" s="59">
        <v>12</v>
      </c>
      <c r="F184" s="56" t="s">
        <v>34</v>
      </c>
      <c r="G184" s="63">
        <f t="shared" ref="G184:H184" si="30">SUM(G176:G183)</f>
        <v>0</v>
      </c>
      <c r="H184" s="63">
        <f t="shared" si="30"/>
        <v>0</v>
      </c>
      <c r="J184" s="57"/>
    </row>
    <row r="185" spans="1:10" x14ac:dyDescent="0.3">
      <c r="A185" s="13" t="s">
        <v>148</v>
      </c>
      <c r="B185" s="13">
        <v>1503050</v>
      </c>
      <c r="C185" s="13" t="s">
        <v>14</v>
      </c>
      <c r="D185" s="153" t="s">
        <v>2783</v>
      </c>
      <c r="E185" s="193">
        <v>12</v>
      </c>
      <c r="F185" s="189" t="s">
        <v>34</v>
      </c>
      <c r="G185" s="190">
        <f>G184+G174+G164+G154+G144+G134+G124+G114</f>
        <v>0</v>
      </c>
      <c r="H185" s="63">
        <f>H184+H174+H164+H154+H144+H134+H124+H114</f>
        <v>0</v>
      </c>
      <c r="J185" s="57" t="s">
        <v>14</v>
      </c>
    </row>
    <row r="186" spans="1:10" x14ac:dyDescent="0.3">
      <c r="A186" s="13" t="s">
        <v>833</v>
      </c>
      <c r="B186" s="13">
        <v>1503050</v>
      </c>
      <c r="C186" s="13" t="s">
        <v>14</v>
      </c>
      <c r="D186" s="199" t="s">
        <v>2784</v>
      </c>
      <c r="E186" s="56"/>
      <c r="F186" s="56"/>
      <c r="G186" s="63"/>
      <c r="H186" s="63"/>
      <c r="J186" s="57" t="s">
        <v>14</v>
      </c>
    </row>
    <row r="187" spans="1:10" ht="12.75" customHeight="1" x14ac:dyDescent="0.3">
      <c r="A187" s="13" t="s">
        <v>834</v>
      </c>
      <c r="B187" s="13">
        <v>1503050</v>
      </c>
      <c r="C187" s="13"/>
      <c r="D187" s="200" t="s">
        <v>2785</v>
      </c>
      <c r="E187" s="56"/>
      <c r="F187" s="56"/>
      <c r="G187" s="63"/>
      <c r="H187" s="63"/>
      <c r="J187" s="57"/>
    </row>
    <row r="188" spans="1:10" x14ac:dyDescent="0.3">
      <c r="A188" s="13" t="s">
        <v>835</v>
      </c>
      <c r="B188" s="13"/>
      <c r="C188" s="147" t="s">
        <v>14</v>
      </c>
      <c r="D188" s="185" t="s">
        <v>152</v>
      </c>
      <c r="E188" s="59"/>
      <c r="F188" s="56"/>
      <c r="G188" s="63"/>
      <c r="H188" s="63"/>
      <c r="J188" s="57"/>
    </row>
    <row r="189" spans="1:10" x14ac:dyDescent="0.3">
      <c r="A189" s="13" t="s">
        <v>836</v>
      </c>
      <c r="B189" s="13">
        <v>1503050</v>
      </c>
      <c r="C189" s="147"/>
      <c r="D189" s="179" t="s">
        <v>2786</v>
      </c>
      <c r="E189" s="59"/>
      <c r="F189" s="56"/>
      <c r="G189" s="63"/>
      <c r="H189" s="63"/>
      <c r="J189" s="57"/>
    </row>
    <row r="190" spans="1:10" x14ac:dyDescent="0.3">
      <c r="A190" s="8" t="s">
        <v>837</v>
      </c>
      <c r="B190" s="8">
        <v>1503050</v>
      </c>
      <c r="C190" s="146">
        <v>3.1</v>
      </c>
      <c r="D190" s="164" t="s">
        <v>155</v>
      </c>
      <c r="E190" s="194">
        <v>12</v>
      </c>
      <c r="F190" s="195" t="s">
        <v>34</v>
      </c>
      <c r="G190" s="196">
        <f t="shared" ref="G190:G195" si="31">H190/E190</f>
        <v>0</v>
      </c>
      <c r="H190" s="63">
        <v>0</v>
      </c>
      <c r="J190" s="57"/>
    </row>
    <row r="191" spans="1:10" ht="12.75" customHeight="1" x14ac:dyDescent="0.3">
      <c r="A191" s="8" t="s">
        <v>838</v>
      </c>
      <c r="B191" s="8">
        <v>1503050</v>
      </c>
      <c r="C191" s="146">
        <v>3.1</v>
      </c>
      <c r="D191" s="165" t="s">
        <v>2787</v>
      </c>
      <c r="E191" s="59">
        <v>12</v>
      </c>
      <c r="F191" s="56" t="s">
        <v>34</v>
      </c>
      <c r="G191" s="63">
        <f t="shared" si="31"/>
        <v>0</v>
      </c>
      <c r="H191" s="63">
        <v>0</v>
      </c>
      <c r="J191" s="57"/>
    </row>
    <row r="192" spans="1:10" x14ac:dyDescent="0.3">
      <c r="A192" s="8" t="s">
        <v>839</v>
      </c>
      <c r="B192" s="8">
        <v>1503050</v>
      </c>
      <c r="C192" s="8">
        <v>3.1</v>
      </c>
      <c r="D192" s="166" t="s">
        <v>158</v>
      </c>
      <c r="E192" s="59">
        <v>12</v>
      </c>
      <c r="F192" s="56" t="s">
        <v>34</v>
      </c>
      <c r="G192" s="63">
        <f t="shared" si="31"/>
        <v>0</v>
      </c>
      <c r="H192" s="63">
        <v>0</v>
      </c>
      <c r="J192" s="57"/>
    </row>
    <row r="193" spans="1:10" x14ac:dyDescent="0.3">
      <c r="A193" s="8" t="s">
        <v>840</v>
      </c>
      <c r="B193" s="8">
        <v>1503050</v>
      </c>
      <c r="C193" s="8">
        <v>3.2</v>
      </c>
      <c r="D193" s="60" t="s">
        <v>160</v>
      </c>
      <c r="E193" s="59">
        <v>12</v>
      </c>
      <c r="F193" s="56" t="s">
        <v>34</v>
      </c>
      <c r="G193" s="63">
        <f t="shared" si="31"/>
        <v>0</v>
      </c>
      <c r="H193" s="63">
        <v>0</v>
      </c>
      <c r="J193" s="57"/>
    </row>
    <row r="194" spans="1:10" x14ac:dyDescent="0.3">
      <c r="A194" s="8" t="s">
        <v>841</v>
      </c>
      <c r="B194" s="8">
        <v>1503050</v>
      </c>
      <c r="C194" s="8">
        <v>3.3</v>
      </c>
      <c r="D194" s="9" t="s">
        <v>162</v>
      </c>
      <c r="E194" s="59">
        <v>12</v>
      </c>
      <c r="F194" s="56" t="s">
        <v>34</v>
      </c>
      <c r="G194" s="63">
        <f t="shared" si="31"/>
        <v>0</v>
      </c>
      <c r="H194" s="63">
        <v>0</v>
      </c>
      <c r="J194" s="57"/>
    </row>
    <row r="195" spans="1:10" x14ac:dyDescent="0.3">
      <c r="A195" s="8" t="s">
        <v>842</v>
      </c>
      <c r="B195" s="8">
        <v>1503050</v>
      </c>
      <c r="C195" s="8">
        <v>3.5</v>
      </c>
      <c r="D195" s="9" t="s">
        <v>2788</v>
      </c>
      <c r="E195" s="59">
        <v>12</v>
      </c>
      <c r="F195" s="56" t="s">
        <v>34</v>
      </c>
      <c r="G195" s="63">
        <f t="shared" si="31"/>
        <v>0</v>
      </c>
      <c r="H195" s="63">
        <v>0</v>
      </c>
      <c r="J195" s="57"/>
    </row>
    <row r="196" spans="1:10" x14ac:dyDescent="0.3">
      <c r="A196" s="8" t="s">
        <v>843</v>
      </c>
      <c r="B196" s="8">
        <v>1503050</v>
      </c>
      <c r="C196" s="8">
        <v>3.6</v>
      </c>
      <c r="D196" s="9" t="s">
        <v>165</v>
      </c>
      <c r="E196" s="59">
        <v>12</v>
      </c>
      <c r="F196" s="56" t="s">
        <v>34</v>
      </c>
      <c r="G196" s="63">
        <f t="shared" ref="G196:H196" si="32">SUM(G188:G195)</f>
        <v>0</v>
      </c>
      <c r="H196" s="63">
        <f t="shared" si="32"/>
        <v>0</v>
      </c>
      <c r="J196" s="57"/>
    </row>
    <row r="197" spans="1:10" x14ac:dyDescent="0.3">
      <c r="A197" s="8" t="s">
        <v>844</v>
      </c>
      <c r="B197" s="8">
        <v>1503050</v>
      </c>
      <c r="C197" s="8">
        <v>3.7</v>
      </c>
      <c r="D197" s="152" t="s">
        <v>167</v>
      </c>
      <c r="E197" s="59">
        <v>12</v>
      </c>
      <c r="F197" s="59" t="s">
        <v>34</v>
      </c>
      <c r="G197" s="63">
        <v>0</v>
      </c>
      <c r="H197" s="63">
        <v>0</v>
      </c>
      <c r="J197" s="57"/>
    </row>
    <row r="198" spans="1:10" x14ac:dyDescent="0.3">
      <c r="A198" s="13"/>
      <c r="B198" s="13"/>
      <c r="C198" s="13"/>
      <c r="D198" s="155" t="s">
        <v>845</v>
      </c>
      <c r="E198" s="193">
        <v>12</v>
      </c>
      <c r="F198" s="189" t="s">
        <v>34</v>
      </c>
      <c r="G198" s="190">
        <f t="shared" ref="G198:G205" si="33">H198/E198</f>
        <v>0</v>
      </c>
      <c r="H198" s="63">
        <v>0</v>
      </c>
      <c r="J198" s="57"/>
    </row>
    <row r="199" spans="1:10" x14ac:dyDescent="0.3">
      <c r="A199" s="13" t="s">
        <v>846</v>
      </c>
      <c r="B199" s="13">
        <v>1503050</v>
      </c>
      <c r="C199" s="146"/>
      <c r="D199" s="179" t="s">
        <v>2789</v>
      </c>
      <c r="E199" s="59"/>
      <c r="F199" s="56"/>
      <c r="G199" s="63"/>
      <c r="H199" s="63"/>
      <c r="J199" s="57"/>
    </row>
    <row r="200" spans="1:10" x14ac:dyDescent="0.3">
      <c r="A200" s="8" t="s">
        <v>847</v>
      </c>
      <c r="B200" s="8">
        <v>1503050</v>
      </c>
      <c r="C200" s="146">
        <v>3.1</v>
      </c>
      <c r="D200" s="167" t="s">
        <v>171</v>
      </c>
      <c r="E200" s="194">
        <v>12</v>
      </c>
      <c r="F200" s="195" t="s">
        <v>34</v>
      </c>
      <c r="G200" s="196">
        <f t="shared" si="33"/>
        <v>0</v>
      </c>
      <c r="H200" s="63">
        <v>0</v>
      </c>
      <c r="J200" s="57"/>
    </row>
    <row r="201" spans="1:10" x14ac:dyDescent="0.3">
      <c r="A201" s="8" t="s">
        <v>848</v>
      </c>
      <c r="B201" s="8">
        <v>1503050</v>
      </c>
      <c r="C201" s="146">
        <v>3.1</v>
      </c>
      <c r="D201" s="168" t="s">
        <v>2790</v>
      </c>
      <c r="E201" s="59">
        <v>12</v>
      </c>
      <c r="F201" s="56" t="s">
        <v>34</v>
      </c>
      <c r="G201" s="63">
        <f t="shared" si="33"/>
        <v>0</v>
      </c>
      <c r="H201" s="63">
        <v>0</v>
      </c>
      <c r="J201" s="57"/>
    </row>
    <row r="202" spans="1:10" x14ac:dyDescent="0.3">
      <c r="A202" s="8" t="s">
        <v>849</v>
      </c>
      <c r="B202" s="8">
        <v>1503050</v>
      </c>
      <c r="C202" s="8">
        <v>3.1</v>
      </c>
      <c r="D202" s="169" t="s">
        <v>174</v>
      </c>
      <c r="E202" s="59">
        <v>12</v>
      </c>
      <c r="F202" s="56" t="s">
        <v>34</v>
      </c>
      <c r="G202" s="63">
        <f t="shared" si="33"/>
        <v>0</v>
      </c>
      <c r="H202" s="63">
        <v>0</v>
      </c>
      <c r="J202" s="57"/>
    </row>
    <row r="203" spans="1:10" x14ac:dyDescent="0.3">
      <c r="A203" s="8" t="s">
        <v>850</v>
      </c>
      <c r="B203" s="8">
        <v>1503050</v>
      </c>
      <c r="C203" s="8">
        <v>3.2</v>
      </c>
      <c r="D203" s="9" t="s">
        <v>176</v>
      </c>
      <c r="E203" s="59">
        <v>12</v>
      </c>
      <c r="F203" s="56" t="s">
        <v>34</v>
      </c>
      <c r="G203" s="63">
        <f t="shared" si="33"/>
        <v>0</v>
      </c>
      <c r="H203" s="63">
        <v>0</v>
      </c>
      <c r="J203" s="57"/>
    </row>
    <row r="204" spans="1:10" x14ac:dyDescent="0.3">
      <c r="A204" s="8" t="s">
        <v>851</v>
      </c>
      <c r="B204" s="8">
        <v>1503050</v>
      </c>
      <c r="C204" s="8">
        <v>3.3</v>
      </c>
      <c r="D204" s="9" t="s">
        <v>178</v>
      </c>
      <c r="E204" s="59">
        <v>12</v>
      </c>
      <c r="F204" s="56" t="s">
        <v>34</v>
      </c>
      <c r="G204" s="63">
        <f t="shared" si="33"/>
        <v>0</v>
      </c>
      <c r="H204" s="63">
        <v>0</v>
      </c>
      <c r="J204" s="57"/>
    </row>
    <row r="205" spans="1:10" x14ac:dyDescent="0.3">
      <c r="A205" s="8" t="s">
        <v>852</v>
      </c>
      <c r="B205" s="8">
        <v>1503050</v>
      </c>
      <c r="C205" s="8">
        <v>3.5</v>
      </c>
      <c r="D205" s="9" t="s">
        <v>2791</v>
      </c>
      <c r="E205" s="59">
        <v>12</v>
      </c>
      <c r="F205" s="56" t="s">
        <v>34</v>
      </c>
      <c r="G205" s="63">
        <f t="shared" si="33"/>
        <v>0</v>
      </c>
      <c r="H205" s="63">
        <v>0</v>
      </c>
      <c r="J205" s="57"/>
    </row>
    <row r="206" spans="1:10" x14ac:dyDescent="0.3">
      <c r="A206" s="8" t="s">
        <v>853</v>
      </c>
      <c r="B206" s="8">
        <v>1503050</v>
      </c>
      <c r="C206" s="8">
        <v>3.6</v>
      </c>
      <c r="D206" s="9" t="s">
        <v>181</v>
      </c>
      <c r="E206" s="59">
        <v>12</v>
      </c>
      <c r="F206" s="56" t="s">
        <v>34</v>
      </c>
      <c r="G206" s="63">
        <f t="shared" ref="G206" si="34">SUM(G198:G205)</f>
        <v>0</v>
      </c>
      <c r="H206" s="63">
        <f>SUM(H197:H205)</f>
        <v>0</v>
      </c>
      <c r="J206" s="57"/>
    </row>
    <row r="207" spans="1:10" ht="12.75" customHeight="1" x14ac:dyDescent="0.3">
      <c r="A207" s="8" t="s">
        <v>854</v>
      </c>
      <c r="B207" s="8">
        <v>1503050</v>
      </c>
      <c r="C207" s="8">
        <v>3.7</v>
      </c>
      <c r="D207" s="152" t="s">
        <v>183</v>
      </c>
      <c r="E207" s="59">
        <v>12</v>
      </c>
      <c r="F207" s="59" t="s">
        <v>34</v>
      </c>
      <c r="G207" s="63">
        <v>0</v>
      </c>
      <c r="H207" s="63">
        <v>0</v>
      </c>
      <c r="J207" s="57"/>
    </row>
    <row r="208" spans="1:10" x14ac:dyDescent="0.3">
      <c r="A208" s="13"/>
      <c r="B208" s="13"/>
      <c r="C208" s="13"/>
      <c r="D208" s="155" t="s">
        <v>855</v>
      </c>
      <c r="E208" s="193">
        <v>12</v>
      </c>
      <c r="F208" s="189" t="s">
        <v>34</v>
      </c>
      <c r="G208" s="190">
        <f t="shared" ref="G208:G215" si="35">H208/E208</f>
        <v>0</v>
      </c>
      <c r="H208" s="63">
        <v>0</v>
      </c>
      <c r="J208" s="57"/>
    </row>
    <row r="209" spans="1:10" x14ac:dyDescent="0.3">
      <c r="A209" s="13" t="s">
        <v>856</v>
      </c>
      <c r="B209" s="13">
        <v>1503050</v>
      </c>
      <c r="C209" s="147"/>
      <c r="D209" s="179" t="s">
        <v>2792</v>
      </c>
      <c r="E209" s="59"/>
      <c r="F209" s="56"/>
      <c r="G209" s="63"/>
      <c r="H209" s="63"/>
      <c r="J209" s="57"/>
    </row>
    <row r="210" spans="1:10" x14ac:dyDescent="0.3">
      <c r="A210" s="8" t="s">
        <v>857</v>
      </c>
      <c r="B210" s="8">
        <v>1503050</v>
      </c>
      <c r="C210" s="146">
        <v>3.1</v>
      </c>
      <c r="D210" s="170" t="s">
        <v>2793</v>
      </c>
      <c r="E210" s="194">
        <v>12</v>
      </c>
      <c r="F210" s="195" t="s">
        <v>34</v>
      </c>
      <c r="G210" s="196">
        <f t="shared" si="35"/>
        <v>0</v>
      </c>
      <c r="H210" s="63">
        <v>0</v>
      </c>
      <c r="J210" s="57"/>
    </row>
    <row r="211" spans="1:10" ht="12.75" customHeight="1" x14ac:dyDescent="0.3">
      <c r="A211" s="8" t="s">
        <v>858</v>
      </c>
      <c r="B211" s="8">
        <v>1503050</v>
      </c>
      <c r="C211" s="146">
        <v>3.1</v>
      </c>
      <c r="D211" s="171" t="s">
        <v>188</v>
      </c>
      <c r="E211" s="59">
        <v>12</v>
      </c>
      <c r="F211" s="56" t="s">
        <v>34</v>
      </c>
      <c r="G211" s="63">
        <f t="shared" si="35"/>
        <v>0</v>
      </c>
      <c r="H211" s="63">
        <v>0</v>
      </c>
      <c r="J211" s="57"/>
    </row>
    <row r="212" spans="1:10" x14ac:dyDescent="0.3">
      <c r="A212" s="8" t="s">
        <v>859</v>
      </c>
      <c r="B212" s="8">
        <v>1503050</v>
      </c>
      <c r="C212" s="8">
        <v>3.1</v>
      </c>
      <c r="D212" s="166" t="s">
        <v>190</v>
      </c>
      <c r="E212" s="59">
        <v>12</v>
      </c>
      <c r="F212" s="56" t="s">
        <v>34</v>
      </c>
      <c r="G212" s="63">
        <f t="shared" si="35"/>
        <v>0</v>
      </c>
      <c r="H212" s="63">
        <v>0</v>
      </c>
      <c r="J212" s="57"/>
    </row>
    <row r="213" spans="1:10" x14ac:dyDescent="0.3">
      <c r="A213" s="8" t="s">
        <v>860</v>
      </c>
      <c r="B213" s="8">
        <v>1503050</v>
      </c>
      <c r="C213" s="8">
        <v>3.2</v>
      </c>
      <c r="D213" s="60" t="s">
        <v>192</v>
      </c>
      <c r="E213" s="59">
        <v>12</v>
      </c>
      <c r="F213" s="56" t="s">
        <v>34</v>
      </c>
      <c r="G213" s="63">
        <f t="shared" si="35"/>
        <v>0</v>
      </c>
      <c r="H213" s="63">
        <v>0</v>
      </c>
      <c r="J213" s="57"/>
    </row>
    <row r="214" spans="1:10" x14ac:dyDescent="0.3">
      <c r="A214" s="8" t="s">
        <v>861</v>
      </c>
      <c r="B214" s="8">
        <v>1503050</v>
      </c>
      <c r="C214" s="8">
        <v>3.3</v>
      </c>
      <c r="D214" s="9" t="s">
        <v>194</v>
      </c>
      <c r="E214" s="59">
        <v>12</v>
      </c>
      <c r="F214" s="56" t="s">
        <v>34</v>
      </c>
      <c r="G214" s="63">
        <f t="shared" si="35"/>
        <v>0</v>
      </c>
      <c r="H214" s="63">
        <v>0</v>
      </c>
      <c r="J214" s="57"/>
    </row>
    <row r="215" spans="1:10" x14ac:dyDescent="0.3">
      <c r="A215" s="8" t="s">
        <v>862</v>
      </c>
      <c r="B215" s="8">
        <v>1503050</v>
      </c>
      <c r="C215" s="8">
        <v>3.5</v>
      </c>
      <c r="D215" s="9" t="s">
        <v>2794</v>
      </c>
      <c r="E215" s="59">
        <v>12</v>
      </c>
      <c r="F215" s="56" t="s">
        <v>34</v>
      </c>
      <c r="G215" s="63">
        <f t="shared" si="35"/>
        <v>0</v>
      </c>
      <c r="H215" s="63">
        <v>0</v>
      </c>
      <c r="J215" s="57"/>
    </row>
    <row r="216" spans="1:10" x14ac:dyDescent="0.3">
      <c r="A216" s="8" t="s">
        <v>863</v>
      </c>
      <c r="B216" s="8">
        <v>1503050</v>
      </c>
      <c r="C216" s="8">
        <v>3.6</v>
      </c>
      <c r="D216" s="9" t="s">
        <v>197</v>
      </c>
      <c r="E216" s="59">
        <v>12</v>
      </c>
      <c r="F216" s="56" t="s">
        <v>34</v>
      </c>
      <c r="G216" s="63">
        <f t="shared" ref="G216" si="36">SUM(G208:G215)</f>
        <v>0</v>
      </c>
      <c r="H216" s="63">
        <f>SUM(H207:H215)</f>
        <v>0</v>
      </c>
      <c r="J216" s="57"/>
    </row>
    <row r="217" spans="1:10" x14ac:dyDescent="0.3">
      <c r="A217" s="8" t="s">
        <v>864</v>
      </c>
      <c r="B217" s="8">
        <v>1503050</v>
      </c>
      <c r="C217" s="8">
        <v>3.7</v>
      </c>
      <c r="D217" s="152" t="s">
        <v>199</v>
      </c>
      <c r="E217" s="59">
        <v>12</v>
      </c>
      <c r="F217" s="59" t="s">
        <v>34</v>
      </c>
      <c r="G217" s="63">
        <v>0</v>
      </c>
      <c r="H217" s="63">
        <v>0</v>
      </c>
      <c r="J217" s="57"/>
    </row>
    <row r="218" spans="1:10" x14ac:dyDescent="0.3">
      <c r="A218" s="13"/>
      <c r="B218" s="13"/>
      <c r="C218" s="13"/>
      <c r="D218" s="155" t="s">
        <v>865</v>
      </c>
      <c r="E218" s="193">
        <v>12</v>
      </c>
      <c r="F218" s="189" t="s">
        <v>34</v>
      </c>
      <c r="G218" s="190">
        <f t="shared" ref="G218:G225" si="37">H218/E218</f>
        <v>0</v>
      </c>
      <c r="H218" s="63">
        <v>0</v>
      </c>
      <c r="J218" s="57"/>
    </row>
    <row r="219" spans="1:10" x14ac:dyDescent="0.3">
      <c r="A219" s="13" t="s">
        <v>866</v>
      </c>
      <c r="B219" s="13">
        <v>1503050</v>
      </c>
      <c r="C219" s="146"/>
      <c r="D219" s="179" t="s">
        <v>2795</v>
      </c>
      <c r="E219" s="59"/>
      <c r="F219" s="56"/>
      <c r="G219" s="63"/>
      <c r="H219" s="63"/>
      <c r="J219" s="57"/>
    </row>
    <row r="220" spans="1:10" x14ac:dyDescent="0.3">
      <c r="A220" s="8" t="s">
        <v>867</v>
      </c>
      <c r="B220" s="8">
        <v>1503050</v>
      </c>
      <c r="C220" s="146">
        <v>3.1</v>
      </c>
      <c r="D220" s="167" t="s">
        <v>2796</v>
      </c>
      <c r="E220" s="194">
        <v>12</v>
      </c>
      <c r="F220" s="195" t="s">
        <v>34</v>
      </c>
      <c r="G220" s="196">
        <f t="shared" si="37"/>
        <v>0</v>
      </c>
      <c r="H220" s="63">
        <v>0</v>
      </c>
      <c r="J220" s="57"/>
    </row>
    <row r="221" spans="1:10" x14ac:dyDescent="0.3">
      <c r="A221" s="8" t="s">
        <v>868</v>
      </c>
      <c r="B221" s="8">
        <v>1503050</v>
      </c>
      <c r="C221" s="146">
        <v>3.1</v>
      </c>
      <c r="D221" s="168" t="s">
        <v>204</v>
      </c>
      <c r="E221" s="59">
        <v>12</v>
      </c>
      <c r="F221" s="56" t="s">
        <v>34</v>
      </c>
      <c r="G221" s="63">
        <f t="shared" si="37"/>
        <v>0</v>
      </c>
      <c r="H221" s="63">
        <v>0</v>
      </c>
      <c r="J221" s="57"/>
    </row>
    <row r="222" spans="1:10" x14ac:dyDescent="0.3">
      <c r="A222" s="8" t="s">
        <v>869</v>
      </c>
      <c r="B222" s="8">
        <v>1503050</v>
      </c>
      <c r="C222" s="8">
        <v>3.1</v>
      </c>
      <c r="D222" s="169" t="s">
        <v>206</v>
      </c>
      <c r="E222" s="59">
        <v>12</v>
      </c>
      <c r="F222" s="56" t="s">
        <v>34</v>
      </c>
      <c r="G222" s="63">
        <f t="shared" si="37"/>
        <v>0</v>
      </c>
      <c r="H222" s="63">
        <v>0</v>
      </c>
      <c r="J222" s="57"/>
    </row>
    <row r="223" spans="1:10" x14ac:dyDescent="0.3">
      <c r="A223" s="8" t="s">
        <v>870</v>
      </c>
      <c r="B223" s="8">
        <v>1503050</v>
      </c>
      <c r="C223" s="8">
        <v>3.2</v>
      </c>
      <c r="D223" s="9" t="s">
        <v>208</v>
      </c>
      <c r="E223" s="59">
        <v>12</v>
      </c>
      <c r="F223" s="56" t="s">
        <v>34</v>
      </c>
      <c r="G223" s="63">
        <f t="shared" si="37"/>
        <v>0</v>
      </c>
      <c r="H223" s="63">
        <v>0</v>
      </c>
      <c r="J223" s="57"/>
    </row>
    <row r="224" spans="1:10" x14ac:dyDescent="0.3">
      <c r="A224" s="8" t="s">
        <v>871</v>
      </c>
      <c r="B224" s="8">
        <v>1503050</v>
      </c>
      <c r="C224" s="8">
        <v>3.3</v>
      </c>
      <c r="D224" s="9" t="s">
        <v>210</v>
      </c>
      <c r="E224" s="59">
        <v>12</v>
      </c>
      <c r="F224" s="56" t="s">
        <v>34</v>
      </c>
      <c r="G224" s="63">
        <f>H224/E224</f>
        <v>0</v>
      </c>
      <c r="H224" s="63">
        <v>0</v>
      </c>
      <c r="J224" s="57"/>
    </row>
    <row r="225" spans="1:10" x14ac:dyDescent="0.3">
      <c r="A225" s="8" t="s">
        <v>872</v>
      </c>
      <c r="B225" s="8">
        <v>1503050</v>
      </c>
      <c r="C225" s="8">
        <v>3.5</v>
      </c>
      <c r="D225" s="9" t="s">
        <v>2797</v>
      </c>
      <c r="E225" s="59">
        <v>12</v>
      </c>
      <c r="F225" s="56" t="s">
        <v>34</v>
      </c>
      <c r="G225" s="63">
        <f t="shared" si="37"/>
        <v>0</v>
      </c>
      <c r="H225" s="63">
        <v>0</v>
      </c>
      <c r="J225" s="57"/>
    </row>
    <row r="226" spans="1:10" x14ac:dyDescent="0.3">
      <c r="A226" s="8" t="s">
        <v>873</v>
      </c>
      <c r="B226" s="8">
        <v>1503050</v>
      </c>
      <c r="C226" s="8">
        <v>3.6</v>
      </c>
      <c r="D226" s="9" t="s">
        <v>213</v>
      </c>
      <c r="E226" s="59">
        <v>12</v>
      </c>
      <c r="F226" s="56" t="s">
        <v>34</v>
      </c>
      <c r="G226" s="63">
        <f t="shared" ref="G226" si="38">SUM(G218:G225)</f>
        <v>0</v>
      </c>
      <c r="H226" s="63">
        <f>SUM(H217:H225)</f>
        <v>0</v>
      </c>
      <c r="J226" s="57"/>
    </row>
    <row r="227" spans="1:10" x14ac:dyDescent="0.3">
      <c r="A227" s="8" t="s">
        <v>874</v>
      </c>
      <c r="B227" s="8">
        <v>1503050</v>
      </c>
      <c r="C227" s="8">
        <v>3.7</v>
      </c>
      <c r="D227" s="152" t="s">
        <v>215</v>
      </c>
      <c r="E227" s="59">
        <v>12</v>
      </c>
      <c r="F227" s="56" t="s">
        <v>34</v>
      </c>
      <c r="G227" s="63">
        <f>G226+G216+G206+G196</f>
        <v>0</v>
      </c>
      <c r="H227" s="63">
        <f>H226+H216+H206+H196</f>
        <v>0</v>
      </c>
      <c r="J227" s="57" t="s">
        <v>14</v>
      </c>
    </row>
    <row r="228" spans="1:10" ht="15" customHeight="1" x14ac:dyDescent="0.3">
      <c r="A228" s="13"/>
      <c r="B228" s="13"/>
      <c r="C228" s="13"/>
      <c r="D228" s="155" t="s">
        <v>875</v>
      </c>
      <c r="E228" s="157">
        <v>12</v>
      </c>
      <c r="F228" s="157" t="s">
        <v>34</v>
      </c>
      <c r="G228" s="201">
        <f>G227+G185+G101+G91+G81</f>
        <v>0</v>
      </c>
      <c r="H228" s="20">
        <f>H227+H185+H101+H91+H81</f>
        <v>0</v>
      </c>
    </row>
    <row r="229" spans="1:10" x14ac:dyDescent="0.3">
      <c r="A229" s="13" t="s">
        <v>876</v>
      </c>
      <c r="B229" s="13">
        <v>1503050</v>
      </c>
      <c r="C229" s="147"/>
      <c r="D229" s="179" t="s">
        <v>2798</v>
      </c>
      <c r="E229" s="8"/>
      <c r="F229" s="8"/>
      <c r="G229" s="8"/>
      <c r="H229" s="8"/>
    </row>
    <row r="230" spans="1:10" ht="12.75" customHeight="1" x14ac:dyDescent="0.3">
      <c r="A230" s="8" t="s">
        <v>877</v>
      </c>
      <c r="B230" s="8">
        <v>1503050</v>
      </c>
      <c r="C230" s="146">
        <v>3.1</v>
      </c>
      <c r="D230" s="170" t="s">
        <v>219</v>
      </c>
      <c r="E230" s="202">
        <v>12</v>
      </c>
      <c r="F230" s="202" t="s">
        <v>34</v>
      </c>
      <c r="G230" s="203">
        <v>0</v>
      </c>
      <c r="H230" s="204">
        <v>0</v>
      </c>
    </row>
    <row r="231" spans="1:10" x14ac:dyDescent="0.3">
      <c r="A231" s="8" t="s">
        <v>878</v>
      </c>
      <c r="B231" s="8">
        <v>1503050</v>
      </c>
      <c r="C231" s="146">
        <v>3.1</v>
      </c>
      <c r="D231" s="171" t="s">
        <v>2799</v>
      </c>
      <c r="E231" s="59">
        <v>12</v>
      </c>
      <c r="F231" s="59" t="s">
        <v>34</v>
      </c>
      <c r="G231" s="63">
        <v>0</v>
      </c>
      <c r="H231" s="63">
        <v>0</v>
      </c>
      <c r="J231" s="57" t="s">
        <v>14</v>
      </c>
    </row>
    <row r="232" spans="1:10" x14ac:dyDescent="0.3">
      <c r="A232" s="8" t="s">
        <v>879</v>
      </c>
      <c r="B232" s="8">
        <v>1503050</v>
      </c>
      <c r="C232" s="8">
        <v>3.1</v>
      </c>
      <c r="D232" s="166" t="s">
        <v>222</v>
      </c>
      <c r="E232" s="59">
        <v>12</v>
      </c>
      <c r="F232" s="59" t="s">
        <v>34</v>
      </c>
      <c r="G232" s="63">
        <v>0</v>
      </c>
      <c r="H232" s="63">
        <v>0</v>
      </c>
      <c r="J232" s="57" t="s">
        <v>14</v>
      </c>
    </row>
    <row r="233" spans="1:10" x14ac:dyDescent="0.3">
      <c r="A233" s="8" t="s">
        <v>880</v>
      </c>
      <c r="B233" s="8">
        <v>1503050</v>
      </c>
      <c r="C233" s="8">
        <v>3.2</v>
      </c>
      <c r="D233" s="60" t="s">
        <v>224</v>
      </c>
      <c r="E233" s="59">
        <v>12</v>
      </c>
      <c r="F233" s="56" t="s">
        <v>34</v>
      </c>
      <c r="G233" s="63">
        <f t="shared" ref="G233:G234" si="39">H233/E233</f>
        <v>0</v>
      </c>
      <c r="H233" s="63">
        <v>0</v>
      </c>
      <c r="J233" s="57" t="s">
        <v>14</v>
      </c>
    </row>
    <row r="234" spans="1:10" x14ac:dyDescent="0.3">
      <c r="A234" s="8" t="s">
        <v>881</v>
      </c>
      <c r="B234" s="8">
        <v>1503050</v>
      </c>
      <c r="C234" s="8">
        <v>3.3</v>
      </c>
      <c r="D234" s="9" t="s">
        <v>226</v>
      </c>
      <c r="E234" s="59">
        <v>12</v>
      </c>
      <c r="F234" s="56" t="s">
        <v>34</v>
      </c>
      <c r="G234" s="63">
        <f t="shared" si="39"/>
        <v>0</v>
      </c>
      <c r="H234" s="63">
        <v>0</v>
      </c>
      <c r="J234" s="57" t="s">
        <v>14</v>
      </c>
    </row>
    <row r="235" spans="1:10" x14ac:dyDescent="0.3">
      <c r="A235" s="8" t="s">
        <v>882</v>
      </c>
      <c r="B235" s="8">
        <v>1503050</v>
      </c>
      <c r="C235" s="8">
        <v>3.5</v>
      </c>
      <c r="D235" s="9" t="s">
        <v>2800</v>
      </c>
      <c r="E235" s="59">
        <v>12</v>
      </c>
      <c r="F235" s="56" t="s">
        <v>34</v>
      </c>
      <c r="G235" s="63">
        <f t="shared" ref="G235" si="40">SUM(G233:G234)</f>
        <v>0</v>
      </c>
      <c r="H235" s="63">
        <f>SUM(H230:H234)</f>
        <v>0</v>
      </c>
      <c r="J235" s="57"/>
    </row>
    <row r="236" spans="1:10" x14ac:dyDescent="0.3">
      <c r="A236" s="8" t="s">
        <v>883</v>
      </c>
      <c r="B236" s="8">
        <v>1503050</v>
      </c>
      <c r="C236" s="8">
        <v>3.6</v>
      </c>
      <c r="D236" s="9" t="s">
        <v>229</v>
      </c>
      <c r="E236" s="59">
        <v>12</v>
      </c>
      <c r="F236" s="59" t="s">
        <v>34</v>
      </c>
      <c r="G236" s="63">
        <v>0</v>
      </c>
      <c r="H236" s="63">
        <v>0</v>
      </c>
      <c r="J236" s="57"/>
    </row>
    <row r="237" spans="1:10" x14ac:dyDescent="0.3">
      <c r="A237" s="8" t="s">
        <v>884</v>
      </c>
      <c r="B237" s="8">
        <v>1503050</v>
      </c>
      <c r="C237" s="8">
        <v>3.7</v>
      </c>
      <c r="D237" s="152" t="s">
        <v>231</v>
      </c>
      <c r="E237" s="59">
        <v>12</v>
      </c>
      <c r="F237" s="56" t="s">
        <v>34</v>
      </c>
      <c r="G237" s="63">
        <f t="shared" ref="G237:G238" si="41">H237/E237</f>
        <v>0</v>
      </c>
      <c r="H237" s="63">
        <v>0</v>
      </c>
      <c r="J237" s="57"/>
    </row>
    <row r="238" spans="1:10" x14ac:dyDescent="0.3">
      <c r="A238" s="13"/>
      <c r="B238" s="13"/>
      <c r="C238" s="13"/>
      <c r="D238" s="155" t="s">
        <v>885</v>
      </c>
      <c r="E238" s="193">
        <v>12</v>
      </c>
      <c r="F238" s="189" t="s">
        <v>34</v>
      </c>
      <c r="G238" s="190">
        <f t="shared" si="41"/>
        <v>0</v>
      </c>
      <c r="H238" s="63">
        <v>0</v>
      </c>
      <c r="J238" s="57"/>
    </row>
    <row r="239" spans="1:10" x14ac:dyDescent="0.3">
      <c r="A239" s="13" t="s">
        <v>886</v>
      </c>
      <c r="B239" s="13">
        <v>1503050</v>
      </c>
      <c r="C239" s="146"/>
      <c r="D239" s="179" t="s">
        <v>2801</v>
      </c>
      <c r="E239" s="59"/>
      <c r="F239" s="56"/>
      <c r="G239" s="63"/>
      <c r="H239" s="188"/>
      <c r="J239" s="57"/>
    </row>
    <row r="240" spans="1:10" x14ac:dyDescent="0.3">
      <c r="A240" s="8" t="s">
        <v>887</v>
      </c>
      <c r="B240" s="8">
        <v>1503050</v>
      </c>
      <c r="C240" s="146">
        <v>3.1</v>
      </c>
      <c r="D240" s="167" t="s">
        <v>2802</v>
      </c>
      <c r="E240" s="194">
        <v>12</v>
      </c>
      <c r="F240" s="194" t="s">
        <v>34</v>
      </c>
      <c r="G240" s="196">
        <v>0</v>
      </c>
      <c r="H240" s="63">
        <v>0</v>
      </c>
      <c r="J240" s="57"/>
    </row>
    <row r="241" spans="1:10" x14ac:dyDescent="0.3">
      <c r="A241" s="8" t="s">
        <v>888</v>
      </c>
      <c r="B241" s="8">
        <v>1503050</v>
      </c>
      <c r="C241" s="146">
        <v>3.1</v>
      </c>
      <c r="D241" s="168" t="s">
        <v>236</v>
      </c>
      <c r="E241" s="59">
        <v>12</v>
      </c>
      <c r="F241" s="56" t="s">
        <v>34</v>
      </c>
      <c r="G241" s="63">
        <f t="shared" ref="G241:G242" si="42">H241/E241</f>
        <v>0</v>
      </c>
      <c r="H241" s="63">
        <v>0</v>
      </c>
      <c r="J241" s="57"/>
    </row>
    <row r="242" spans="1:10" ht="12.75" customHeight="1" x14ac:dyDescent="0.3">
      <c r="A242" s="8" t="s">
        <v>889</v>
      </c>
      <c r="B242" s="8">
        <v>1503050</v>
      </c>
      <c r="C242" s="8">
        <v>3.1</v>
      </c>
      <c r="D242" s="169" t="s">
        <v>238</v>
      </c>
      <c r="E242" s="59">
        <v>12</v>
      </c>
      <c r="F242" s="56" t="s">
        <v>34</v>
      </c>
      <c r="G242" s="63">
        <f t="shared" si="42"/>
        <v>0</v>
      </c>
      <c r="H242" s="63">
        <v>0</v>
      </c>
      <c r="J242" s="57"/>
    </row>
    <row r="243" spans="1:10" ht="12.75" customHeight="1" x14ac:dyDescent="0.3">
      <c r="A243" s="8" t="s">
        <v>890</v>
      </c>
      <c r="B243" s="8">
        <v>1503050</v>
      </c>
      <c r="C243" s="8">
        <v>3.2</v>
      </c>
      <c r="D243" s="9" t="s">
        <v>240</v>
      </c>
      <c r="E243" s="59">
        <v>12</v>
      </c>
      <c r="F243" s="56" t="s">
        <v>34</v>
      </c>
      <c r="G243" s="63">
        <f t="shared" ref="G243" si="43">SUM(G241:G242)</f>
        <v>0</v>
      </c>
      <c r="H243" s="63">
        <f>SUM(H240:H242)</f>
        <v>0</v>
      </c>
      <c r="J243" s="57"/>
    </row>
    <row r="244" spans="1:10" x14ac:dyDescent="0.3">
      <c r="A244" s="8" t="s">
        <v>891</v>
      </c>
      <c r="B244" s="8">
        <v>1503050</v>
      </c>
      <c r="C244" s="8">
        <v>3.3</v>
      </c>
      <c r="D244" s="9" t="s">
        <v>242</v>
      </c>
      <c r="E244" s="59">
        <v>12</v>
      </c>
      <c r="F244" s="59" t="s">
        <v>34</v>
      </c>
      <c r="G244" s="63">
        <v>0</v>
      </c>
      <c r="H244" s="63">
        <v>0</v>
      </c>
      <c r="J244" s="57"/>
    </row>
    <row r="245" spans="1:10" x14ac:dyDescent="0.3">
      <c r="A245" s="8" t="s">
        <v>892</v>
      </c>
      <c r="B245" s="8">
        <v>1503050</v>
      </c>
      <c r="C245" s="8">
        <v>3.5</v>
      </c>
      <c r="D245" s="9" t="s">
        <v>2803</v>
      </c>
      <c r="E245" s="59">
        <v>12</v>
      </c>
      <c r="F245" s="56" t="s">
        <v>34</v>
      </c>
      <c r="G245" s="63">
        <f t="shared" ref="G245:G246" si="44">H245/E245</f>
        <v>0</v>
      </c>
      <c r="H245" s="63">
        <v>0</v>
      </c>
      <c r="J245" s="57"/>
    </row>
    <row r="246" spans="1:10" x14ac:dyDescent="0.3">
      <c r="A246" s="8" t="s">
        <v>893</v>
      </c>
      <c r="B246" s="8">
        <v>1503050</v>
      </c>
      <c r="C246" s="8">
        <v>3.6</v>
      </c>
      <c r="D246" s="172" t="s">
        <v>245</v>
      </c>
      <c r="E246" s="59">
        <v>12</v>
      </c>
      <c r="F246" s="56" t="s">
        <v>34</v>
      </c>
      <c r="G246" s="63">
        <f t="shared" si="44"/>
        <v>0</v>
      </c>
      <c r="H246" s="63">
        <v>0</v>
      </c>
      <c r="J246" s="57"/>
    </row>
    <row r="247" spans="1:10" x14ac:dyDescent="0.3">
      <c r="A247" s="8" t="s">
        <v>894</v>
      </c>
      <c r="B247" s="8">
        <v>1503050</v>
      </c>
      <c r="C247" s="146">
        <v>3.7</v>
      </c>
      <c r="D247" s="168" t="s">
        <v>247</v>
      </c>
      <c r="E247" s="59">
        <v>12</v>
      </c>
      <c r="F247" s="56" t="s">
        <v>34</v>
      </c>
      <c r="G247" s="63">
        <f t="shared" ref="G247" si="45">SUM(G245:G246)</f>
        <v>0</v>
      </c>
      <c r="H247" s="63">
        <f>SUM(H244:H246)</f>
        <v>0</v>
      </c>
      <c r="J247" s="57"/>
    </row>
    <row r="248" spans="1:10" ht="12.75" customHeight="1" x14ac:dyDescent="0.3">
      <c r="A248" s="13"/>
      <c r="B248" s="13"/>
      <c r="C248" s="147"/>
      <c r="D248" s="173" t="s">
        <v>895</v>
      </c>
      <c r="E248" s="193">
        <v>12</v>
      </c>
      <c r="F248" s="193" t="s">
        <v>34</v>
      </c>
      <c r="G248" s="190">
        <v>0</v>
      </c>
      <c r="H248" s="63">
        <v>0</v>
      </c>
      <c r="J248" s="57"/>
    </row>
    <row r="249" spans="1:10" x14ac:dyDescent="0.3">
      <c r="A249" s="13" t="s">
        <v>896</v>
      </c>
      <c r="B249" s="13">
        <v>1503050</v>
      </c>
      <c r="C249" s="147"/>
      <c r="D249" s="179" t="s">
        <v>2804</v>
      </c>
      <c r="E249" s="56"/>
      <c r="F249" s="56"/>
      <c r="G249" s="63"/>
      <c r="H249" s="63"/>
      <c r="J249" s="57"/>
    </row>
    <row r="250" spans="1:10" x14ac:dyDescent="0.3">
      <c r="A250" s="8" t="s">
        <v>897</v>
      </c>
      <c r="B250" s="8">
        <v>1503050</v>
      </c>
      <c r="C250" s="146">
        <v>3.1</v>
      </c>
      <c r="D250" s="170" t="s">
        <v>2805</v>
      </c>
      <c r="E250" s="194">
        <v>12</v>
      </c>
      <c r="F250" s="195" t="s">
        <v>34</v>
      </c>
      <c r="G250" s="196">
        <f t="shared" ref="G250:G251" si="46">H250/E250</f>
        <v>0</v>
      </c>
      <c r="H250" s="63">
        <v>0</v>
      </c>
      <c r="J250" s="57"/>
    </row>
    <row r="251" spans="1:10" x14ac:dyDescent="0.3">
      <c r="A251" s="8" t="s">
        <v>898</v>
      </c>
      <c r="B251" s="8">
        <v>1503050</v>
      </c>
      <c r="C251" s="146">
        <v>3.1</v>
      </c>
      <c r="D251" s="171" t="s">
        <v>252</v>
      </c>
      <c r="E251" s="59">
        <v>12</v>
      </c>
      <c r="F251" s="56" t="s">
        <v>34</v>
      </c>
      <c r="G251" s="63">
        <f t="shared" si="46"/>
        <v>0</v>
      </c>
      <c r="H251" s="63">
        <v>0</v>
      </c>
      <c r="J251" s="57"/>
    </row>
    <row r="252" spans="1:10" x14ac:dyDescent="0.3">
      <c r="A252" s="8" t="s">
        <v>899</v>
      </c>
      <c r="B252" s="8">
        <v>1503050</v>
      </c>
      <c r="C252" s="8">
        <v>3.1</v>
      </c>
      <c r="D252" s="166" t="s">
        <v>254</v>
      </c>
      <c r="E252" s="59">
        <v>12</v>
      </c>
      <c r="F252" s="56" t="s">
        <v>34</v>
      </c>
      <c r="G252" s="63">
        <f t="shared" ref="G252:H252" si="47">SUM(G250:G251)</f>
        <v>0</v>
      </c>
      <c r="H252" s="63">
        <f t="shared" si="47"/>
        <v>0</v>
      </c>
      <c r="J252" s="57"/>
    </row>
    <row r="253" spans="1:10" x14ac:dyDescent="0.3">
      <c r="A253" s="8" t="s">
        <v>900</v>
      </c>
      <c r="B253" s="8">
        <v>1503050</v>
      </c>
      <c r="C253" s="8">
        <v>3.2</v>
      </c>
      <c r="D253" s="60" t="s">
        <v>256</v>
      </c>
      <c r="E253" s="59">
        <v>12</v>
      </c>
      <c r="F253" s="59" t="s">
        <v>34</v>
      </c>
      <c r="G253" s="63">
        <v>0</v>
      </c>
      <c r="H253" s="63">
        <v>0</v>
      </c>
      <c r="J253" s="57"/>
    </row>
    <row r="254" spans="1:10" x14ac:dyDescent="0.3">
      <c r="A254" s="8" t="s">
        <v>901</v>
      </c>
      <c r="B254" s="8">
        <v>1503050</v>
      </c>
      <c r="C254" s="8">
        <v>3.3</v>
      </c>
      <c r="D254" s="9" t="s">
        <v>258</v>
      </c>
      <c r="E254" s="59">
        <v>12</v>
      </c>
      <c r="F254" s="56" t="s">
        <v>34</v>
      </c>
      <c r="G254" s="63">
        <f t="shared" ref="G254:G255" si="48">H254/E254</f>
        <v>0</v>
      </c>
      <c r="H254" s="63">
        <v>0</v>
      </c>
      <c r="J254" s="57"/>
    </row>
    <row r="255" spans="1:10" x14ac:dyDescent="0.3">
      <c r="A255" s="8" t="s">
        <v>902</v>
      </c>
      <c r="B255" s="8">
        <v>1503050</v>
      </c>
      <c r="C255" s="8">
        <v>3.5</v>
      </c>
      <c r="D255" s="9" t="s">
        <v>2806</v>
      </c>
      <c r="E255" s="59">
        <v>12</v>
      </c>
      <c r="F255" s="56" t="s">
        <v>34</v>
      </c>
      <c r="G255" s="63">
        <f t="shared" si="48"/>
        <v>0</v>
      </c>
      <c r="H255" s="63">
        <v>0</v>
      </c>
      <c r="J255" s="57"/>
    </row>
    <row r="256" spans="1:10" x14ac:dyDescent="0.3">
      <c r="A256" s="8" t="s">
        <v>903</v>
      </c>
      <c r="B256" s="8">
        <v>1503050</v>
      </c>
      <c r="C256" s="8">
        <v>3.6</v>
      </c>
      <c r="D256" s="172" t="s">
        <v>261</v>
      </c>
      <c r="E256" s="59">
        <v>12</v>
      </c>
      <c r="F256" s="56" t="s">
        <v>34</v>
      </c>
      <c r="G256" s="63">
        <f t="shared" ref="G256" si="49">SUM(G254:G255)</f>
        <v>0</v>
      </c>
      <c r="H256" s="63">
        <f>SUM(H253:H255)</f>
        <v>0</v>
      </c>
      <c r="J256" s="57"/>
    </row>
    <row r="257" spans="1:10" ht="12.75" customHeight="1" x14ac:dyDescent="0.3">
      <c r="A257" s="8" t="s">
        <v>904</v>
      </c>
      <c r="B257" s="8">
        <v>1503050</v>
      </c>
      <c r="C257" s="146">
        <v>3.7</v>
      </c>
      <c r="D257" s="168" t="s">
        <v>263</v>
      </c>
      <c r="E257" s="59">
        <v>12</v>
      </c>
      <c r="F257" s="56" t="s">
        <v>34</v>
      </c>
      <c r="G257" s="63">
        <v>0</v>
      </c>
      <c r="H257" s="63">
        <v>0</v>
      </c>
      <c r="J257" s="57"/>
    </row>
    <row r="258" spans="1:10" x14ac:dyDescent="0.3">
      <c r="A258" s="13"/>
      <c r="B258" s="13"/>
      <c r="C258" s="147"/>
      <c r="D258" s="173" t="s">
        <v>905</v>
      </c>
      <c r="E258" s="193">
        <v>12</v>
      </c>
      <c r="F258" s="189" t="s">
        <v>34</v>
      </c>
      <c r="G258" s="190">
        <f>G256+G247+G243+G239+G235</f>
        <v>0</v>
      </c>
      <c r="H258" s="63">
        <f>H256+H247+H243+H239+H235</f>
        <v>0</v>
      </c>
      <c r="J258" s="57" t="s">
        <v>14</v>
      </c>
    </row>
    <row r="259" spans="1:10" x14ac:dyDescent="0.3">
      <c r="A259" s="13" t="s">
        <v>906</v>
      </c>
      <c r="B259" s="13">
        <v>1503050</v>
      </c>
      <c r="C259" s="147"/>
      <c r="D259" s="179" t="s">
        <v>266</v>
      </c>
      <c r="E259" s="56"/>
      <c r="F259" s="56"/>
      <c r="G259" s="63"/>
      <c r="H259" s="63"/>
      <c r="J259" s="57" t="s">
        <v>14</v>
      </c>
    </row>
    <row r="260" spans="1:10" x14ac:dyDescent="0.3">
      <c r="A260" s="8" t="s">
        <v>907</v>
      </c>
      <c r="B260" s="8">
        <v>1503050</v>
      </c>
      <c r="C260" s="146">
        <v>3.1</v>
      </c>
      <c r="D260" s="170" t="s">
        <v>2807</v>
      </c>
      <c r="E260" s="194">
        <v>12</v>
      </c>
      <c r="F260" s="194" t="s">
        <v>34</v>
      </c>
      <c r="G260" s="196">
        <v>0</v>
      </c>
      <c r="H260" s="63">
        <v>0</v>
      </c>
      <c r="J260" s="57" t="s">
        <v>14</v>
      </c>
    </row>
    <row r="261" spans="1:10" x14ac:dyDescent="0.3">
      <c r="A261" s="8" t="s">
        <v>908</v>
      </c>
      <c r="B261" s="8">
        <v>1503050</v>
      </c>
      <c r="C261" s="146">
        <v>3.1</v>
      </c>
      <c r="D261" s="171" t="s">
        <v>269</v>
      </c>
      <c r="E261" s="59">
        <v>12</v>
      </c>
      <c r="F261" s="59" t="s">
        <v>34</v>
      </c>
      <c r="G261" s="63">
        <v>0</v>
      </c>
      <c r="H261" s="63">
        <v>0</v>
      </c>
      <c r="J261" s="57" t="s">
        <v>14</v>
      </c>
    </row>
    <row r="262" spans="1:10" x14ac:dyDescent="0.3">
      <c r="A262" s="8" t="s">
        <v>909</v>
      </c>
      <c r="B262" s="8">
        <v>1503050</v>
      </c>
      <c r="C262" s="146">
        <v>3.1</v>
      </c>
      <c r="D262" s="171" t="s">
        <v>271</v>
      </c>
      <c r="E262" s="59">
        <v>12</v>
      </c>
      <c r="F262" s="59" t="s">
        <v>34</v>
      </c>
      <c r="G262" s="63">
        <v>0</v>
      </c>
      <c r="H262" s="63">
        <v>0</v>
      </c>
      <c r="J262" s="57"/>
    </row>
    <row r="263" spans="1:10" x14ac:dyDescent="0.3">
      <c r="A263" s="8" t="s">
        <v>910</v>
      </c>
      <c r="B263" s="8">
        <v>1503050</v>
      </c>
      <c r="C263" s="8">
        <v>3.2</v>
      </c>
      <c r="D263" s="174" t="s">
        <v>273</v>
      </c>
      <c r="E263" s="59">
        <v>12</v>
      </c>
      <c r="F263" s="59" t="s">
        <v>34</v>
      </c>
      <c r="G263" s="63">
        <v>0</v>
      </c>
      <c r="H263" s="63">
        <v>0</v>
      </c>
      <c r="J263" s="57" t="s">
        <v>14</v>
      </c>
    </row>
    <row r="264" spans="1:10" x14ac:dyDescent="0.3">
      <c r="A264" s="8" t="s">
        <v>911</v>
      </c>
      <c r="B264" s="8">
        <v>1503050</v>
      </c>
      <c r="C264" s="8">
        <v>3.3</v>
      </c>
      <c r="D264" s="9" t="s">
        <v>275</v>
      </c>
      <c r="E264" s="59">
        <v>12</v>
      </c>
      <c r="F264" s="59" t="s">
        <v>34</v>
      </c>
      <c r="G264" s="63">
        <v>0</v>
      </c>
      <c r="H264" s="63">
        <v>0</v>
      </c>
      <c r="J264" s="57" t="s">
        <v>14</v>
      </c>
    </row>
    <row r="265" spans="1:10" ht="12.75" customHeight="1" x14ac:dyDescent="0.3">
      <c r="A265" s="8" t="s">
        <v>912</v>
      </c>
      <c r="B265" s="8">
        <v>1503050</v>
      </c>
      <c r="C265" s="8">
        <v>3.5</v>
      </c>
      <c r="D265" s="9" t="s">
        <v>2808</v>
      </c>
      <c r="E265" s="59">
        <v>12</v>
      </c>
      <c r="F265" s="59" t="s">
        <v>34</v>
      </c>
      <c r="G265" s="63">
        <v>0</v>
      </c>
      <c r="H265" s="63">
        <v>0</v>
      </c>
      <c r="J265" s="57"/>
    </row>
    <row r="266" spans="1:10" x14ac:dyDescent="0.3">
      <c r="A266" s="8" t="s">
        <v>913</v>
      </c>
      <c r="B266" s="8">
        <v>1503050</v>
      </c>
      <c r="C266" s="8">
        <v>3.6</v>
      </c>
      <c r="D266" s="172" t="s">
        <v>278</v>
      </c>
      <c r="E266" s="59">
        <v>12</v>
      </c>
      <c r="F266" s="56" t="s">
        <v>34</v>
      </c>
      <c r="G266" s="63">
        <f t="shared" ref="G266:G267" si="50">H266/E266</f>
        <v>0</v>
      </c>
      <c r="H266" s="63">
        <v>0</v>
      </c>
      <c r="J266" s="57"/>
    </row>
    <row r="267" spans="1:10" ht="12.75" customHeight="1" x14ac:dyDescent="0.3">
      <c r="A267" s="8" t="s">
        <v>914</v>
      </c>
      <c r="B267" s="8">
        <v>1503050</v>
      </c>
      <c r="C267" s="146">
        <v>3.7</v>
      </c>
      <c r="D267" s="168" t="s">
        <v>280</v>
      </c>
      <c r="E267" s="59">
        <v>12</v>
      </c>
      <c r="F267" s="56" t="s">
        <v>34</v>
      </c>
      <c r="G267" s="63">
        <f t="shared" si="50"/>
        <v>0</v>
      </c>
      <c r="H267" s="63">
        <v>0</v>
      </c>
      <c r="J267" s="57"/>
    </row>
    <row r="268" spans="1:10" x14ac:dyDescent="0.3">
      <c r="A268" s="13"/>
      <c r="B268" s="13"/>
      <c r="C268" s="147"/>
      <c r="D268" s="175" t="s">
        <v>915</v>
      </c>
      <c r="E268" s="59">
        <v>12</v>
      </c>
      <c r="F268" s="56" t="s">
        <v>34</v>
      </c>
      <c r="G268" s="63">
        <f t="shared" ref="G268" si="51">SUM(G266:G267)</f>
        <v>0</v>
      </c>
      <c r="H268" s="63">
        <f>SUM(H260:H267)</f>
        <v>0</v>
      </c>
      <c r="J268" s="57"/>
    </row>
    <row r="269" spans="1:10" x14ac:dyDescent="0.3">
      <c r="A269" s="13" t="s">
        <v>835</v>
      </c>
      <c r="B269" s="13">
        <v>1503050</v>
      </c>
      <c r="C269" s="147" t="s">
        <v>14</v>
      </c>
      <c r="D269" s="173" t="s">
        <v>282</v>
      </c>
      <c r="E269" s="193">
        <v>12</v>
      </c>
      <c r="F269" s="193" t="s">
        <v>34</v>
      </c>
      <c r="G269" s="190">
        <v>0</v>
      </c>
      <c r="H269" s="63">
        <v>0</v>
      </c>
      <c r="J269" s="57"/>
    </row>
    <row r="270" spans="1:10" x14ac:dyDescent="0.3">
      <c r="A270" s="13" t="s">
        <v>916</v>
      </c>
      <c r="B270" s="13"/>
      <c r="C270" s="147" t="s">
        <v>14</v>
      </c>
      <c r="D270" s="185" t="s">
        <v>284</v>
      </c>
      <c r="E270" s="56"/>
      <c r="F270" s="56"/>
      <c r="G270" s="63"/>
      <c r="H270" s="63"/>
      <c r="J270" s="57"/>
    </row>
    <row r="271" spans="1:10" x14ac:dyDescent="0.3">
      <c r="A271" s="13" t="s">
        <v>917</v>
      </c>
      <c r="B271" s="13">
        <v>1503050</v>
      </c>
      <c r="C271" s="147"/>
      <c r="D271" s="163" t="s">
        <v>2809</v>
      </c>
      <c r="E271" s="194">
        <v>12</v>
      </c>
      <c r="F271" s="195" t="s">
        <v>34</v>
      </c>
      <c r="G271" s="196">
        <f t="shared" ref="G271:G272" si="52">H271/E271</f>
        <v>0</v>
      </c>
      <c r="H271" s="63">
        <v>0</v>
      </c>
      <c r="J271" s="57"/>
    </row>
    <row r="272" spans="1:10" x14ac:dyDescent="0.3">
      <c r="A272" s="8" t="s">
        <v>918</v>
      </c>
      <c r="B272" s="8">
        <v>1503050</v>
      </c>
      <c r="C272" s="146">
        <v>3.1</v>
      </c>
      <c r="D272" s="170" t="s">
        <v>2810</v>
      </c>
      <c r="E272" s="59">
        <v>12</v>
      </c>
      <c r="F272" s="56" t="s">
        <v>34</v>
      </c>
      <c r="G272" s="63">
        <f t="shared" si="52"/>
        <v>0</v>
      </c>
      <c r="H272" s="63">
        <v>0</v>
      </c>
      <c r="J272" s="57"/>
    </row>
    <row r="273" spans="1:10" x14ac:dyDescent="0.3">
      <c r="A273" s="8" t="s">
        <v>919</v>
      </c>
      <c r="B273" s="8">
        <v>1503050</v>
      </c>
      <c r="C273" s="146">
        <v>3.1</v>
      </c>
      <c r="D273" s="171" t="s">
        <v>2811</v>
      </c>
      <c r="E273" s="59">
        <v>12</v>
      </c>
      <c r="F273" s="56" t="s">
        <v>34</v>
      </c>
      <c r="G273" s="63">
        <f t="shared" ref="G273:H273" si="53">SUM(G271:G272)</f>
        <v>0</v>
      </c>
      <c r="H273" s="63">
        <f t="shared" si="53"/>
        <v>0</v>
      </c>
      <c r="J273" s="57"/>
    </row>
    <row r="274" spans="1:10" ht="12.75" customHeight="1" x14ac:dyDescent="0.3">
      <c r="A274" s="8" t="s">
        <v>920</v>
      </c>
      <c r="B274" s="8">
        <v>1503050</v>
      </c>
      <c r="C274" s="8">
        <v>3.1</v>
      </c>
      <c r="D274" s="166" t="s">
        <v>289</v>
      </c>
      <c r="E274" s="59">
        <v>12</v>
      </c>
      <c r="F274" s="59" t="s">
        <v>34</v>
      </c>
      <c r="G274" s="63">
        <v>0</v>
      </c>
      <c r="H274" s="63">
        <v>0</v>
      </c>
      <c r="J274" s="57"/>
    </row>
    <row r="275" spans="1:10" x14ac:dyDescent="0.3">
      <c r="A275" s="8" t="s">
        <v>921</v>
      </c>
      <c r="B275" s="8">
        <v>1503050</v>
      </c>
      <c r="C275" s="8">
        <v>3.2</v>
      </c>
      <c r="D275" s="60" t="s">
        <v>291</v>
      </c>
      <c r="E275" s="59">
        <v>12</v>
      </c>
      <c r="F275" s="56" t="s">
        <v>34</v>
      </c>
      <c r="G275" s="63">
        <f t="shared" ref="G275:G276" si="54">H275/E275</f>
        <v>0</v>
      </c>
      <c r="H275" s="63">
        <v>0</v>
      </c>
      <c r="J275" s="57"/>
    </row>
    <row r="276" spans="1:10" ht="12.75" customHeight="1" x14ac:dyDescent="0.3">
      <c r="A276" s="8" t="s">
        <v>922</v>
      </c>
      <c r="B276" s="8">
        <v>1503050</v>
      </c>
      <c r="C276" s="8">
        <v>3.3</v>
      </c>
      <c r="D276" s="9" t="s">
        <v>2812</v>
      </c>
      <c r="E276" s="59">
        <v>12</v>
      </c>
      <c r="F276" s="56" t="s">
        <v>34</v>
      </c>
      <c r="G276" s="63">
        <f t="shared" si="54"/>
        <v>0</v>
      </c>
      <c r="H276" s="63">
        <v>0</v>
      </c>
      <c r="J276" s="57"/>
    </row>
    <row r="277" spans="1:10" x14ac:dyDescent="0.3">
      <c r="A277" s="8" t="s">
        <v>923</v>
      </c>
      <c r="B277" s="8">
        <v>1503050</v>
      </c>
      <c r="C277" s="8">
        <v>3.5</v>
      </c>
      <c r="D277" s="172" t="s">
        <v>2813</v>
      </c>
      <c r="E277" s="59">
        <v>12</v>
      </c>
      <c r="F277" s="56" t="s">
        <v>34</v>
      </c>
      <c r="G277" s="63">
        <f t="shared" ref="G277" si="55">SUM(G275:G276)</f>
        <v>0</v>
      </c>
      <c r="H277" s="63">
        <f>SUM(H274:H276)</f>
        <v>0</v>
      </c>
      <c r="J277" s="57"/>
    </row>
    <row r="278" spans="1:10" x14ac:dyDescent="0.3">
      <c r="A278" s="8" t="s">
        <v>924</v>
      </c>
      <c r="B278" s="8">
        <v>1503050</v>
      </c>
      <c r="C278" s="146">
        <v>3.6</v>
      </c>
      <c r="D278" s="168" t="s">
        <v>295</v>
      </c>
      <c r="E278" s="59">
        <v>12</v>
      </c>
      <c r="F278" s="59" t="s">
        <v>34</v>
      </c>
      <c r="G278" s="63">
        <v>0</v>
      </c>
      <c r="H278" s="63">
        <v>0</v>
      </c>
      <c r="J278" s="57"/>
    </row>
    <row r="279" spans="1:10" x14ac:dyDescent="0.3">
      <c r="A279" s="8" t="s">
        <v>925</v>
      </c>
      <c r="B279" s="8">
        <v>1503050</v>
      </c>
      <c r="C279" s="146">
        <v>3.7</v>
      </c>
      <c r="D279" s="168" t="s">
        <v>297</v>
      </c>
      <c r="E279" s="59">
        <v>12</v>
      </c>
      <c r="F279" s="56" t="s">
        <v>34</v>
      </c>
      <c r="G279" s="63">
        <f t="shared" ref="G279:G280" si="56">H279/E279</f>
        <v>0</v>
      </c>
      <c r="H279" s="63">
        <v>0</v>
      </c>
      <c r="J279" s="57"/>
    </row>
    <row r="280" spans="1:10" x14ac:dyDescent="0.3">
      <c r="A280" s="13"/>
      <c r="B280" s="13"/>
      <c r="C280" s="147"/>
      <c r="D280" s="173" t="s">
        <v>2989</v>
      </c>
      <c r="E280" s="193">
        <v>12</v>
      </c>
      <c r="F280" s="189" t="s">
        <v>34</v>
      </c>
      <c r="G280" s="190">
        <f t="shared" si="56"/>
        <v>0</v>
      </c>
      <c r="H280" s="63">
        <v>0</v>
      </c>
      <c r="J280" s="57"/>
    </row>
    <row r="281" spans="1:10" x14ac:dyDescent="0.3">
      <c r="A281" s="13" t="s">
        <v>926</v>
      </c>
      <c r="B281" s="13">
        <v>1503050</v>
      </c>
      <c r="C281" s="146"/>
      <c r="D281" s="179" t="s">
        <v>2815</v>
      </c>
      <c r="E281" s="59"/>
      <c r="F281" s="56"/>
      <c r="G281" s="63"/>
      <c r="H281" s="63"/>
      <c r="J281" s="57"/>
    </row>
    <row r="282" spans="1:10" ht="12.75" customHeight="1" x14ac:dyDescent="0.3">
      <c r="A282" s="8" t="s">
        <v>927</v>
      </c>
      <c r="B282" s="8">
        <v>1503050</v>
      </c>
      <c r="C282" s="8">
        <v>3.1</v>
      </c>
      <c r="D282" s="53" t="s">
        <v>2816</v>
      </c>
      <c r="E282" s="194">
        <v>12</v>
      </c>
      <c r="F282" s="195" t="s">
        <v>34</v>
      </c>
      <c r="G282" s="196">
        <f>G281+G277+G273+G268</f>
        <v>0</v>
      </c>
      <c r="H282" s="63">
        <f>H281+H277+H273+H268</f>
        <v>0</v>
      </c>
      <c r="J282" s="57" t="s">
        <v>14</v>
      </c>
    </row>
    <row r="283" spans="1:10" ht="12.75" customHeight="1" x14ac:dyDescent="0.3">
      <c r="A283" s="8" t="s">
        <v>928</v>
      </c>
      <c r="B283" s="8">
        <v>1503050</v>
      </c>
      <c r="C283" s="8">
        <v>3.1</v>
      </c>
      <c r="D283" s="152" t="s">
        <v>301</v>
      </c>
      <c r="E283" s="8">
        <v>12</v>
      </c>
      <c r="F283" s="8" t="s">
        <v>34</v>
      </c>
      <c r="G283" s="20">
        <f>G282+G258</f>
        <v>0</v>
      </c>
      <c r="H283" s="20">
        <f>H282+H258</f>
        <v>0</v>
      </c>
    </row>
    <row r="284" spans="1:10" ht="12.75" customHeight="1" x14ac:dyDescent="0.3">
      <c r="A284" s="8" t="s">
        <v>929</v>
      </c>
      <c r="B284" s="8">
        <v>1503050</v>
      </c>
      <c r="C284" s="8">
        <v>3.1</v>
      </c>
      <c r="D284" s="9" t="s">
        <v>303</v>
      </c>
      <c r="E284" s="8">
        <v>12</v>
      </c>
      <c r="F284" s="8" t="s">
        <v>34</v>
      </c>
      <c r="G284" s="20">
        <f>G283+G228</f>
        <v>0</v>
      </c>
      <c r="H284" s="20">
        <f>H283+H228</f>
        <v>0</v>
      </c>
    </row>
    <row r="285" spans="1:10" x14ac:dyDescent="0.3">
      <c r="A285" s="8" t="s">
        <v>930</v>
      </c>
      <c r="B285" s="8">
        <v>1503050</v>
      </c>
      <c r="C285" s="8">
        <v>3.2</v>
      </c>
      <c r="D285" s="152" t="s">
        <v>305</v>
      </c>
      <c r="E285" s="8">
        <v>12</v>
      </c>
      <c r="F285" s="8" t="s">
        <v>34</v>
      </c>
      <c r="G285" s="20">
        <v>0</v>
      </c>
      <c r="H285" s="20">
        <v>0</v>
      </c>
    </row>
    <row r="286" spans="1:10" x14ac:dyDescent="0.3">
      <c r="A286" s="8" t="s">
        <v>931</v>
      </c>
      <c r="B286" s="8">
        <v>1503050</v>
      </c>
      <c r="C286" s="8">
        <v>3.3</v>
      </c>
      <c r="D286" s="152" t="s">
        <v>2817</v>
      </c>
      <c r="E286" s="8">
        <v>12</v>
      </c>
      <c r="F286" s="8" t="s">
        <v>34</v>
      </c>
      <c r="G286" s="20">
        <v>0</v>
      </c>
      <c r="H286" s="20">
        <v>0</v>
      </c>
    </row>
    <row r="287" spans="1:10" x14ac:dyDescent="0.3">
      <c r="A287" s="8" t="s">
        <v>932</v>
      </c>
      <c r="B287" s="8">
        <v>1503050</v>
      </c>
      <c r="C287" s="8">
        <v>3.5</v>
      </c>
      <c r="D287" s="152" t="s">
        <v>2818</v>
      </c>
      <c r="E287" s="8">
        <v>12</v>
      </c>
      <c r="F287" s="8" t="s">
        <v>34</v>
      </c>
      <c r="G287" s="20">
        <v>0</v>
      </c>
      <c r="H287" s="20">
        <v>0</v>
      </c>
    </row>
    <row r="288" spans="1:10" x14ac:dyDescent="0.3">
      <c r="A288" s="8" t="s">
        <v>933</v>
      </c>
      <c r="B288" s="8">
        <v>1503050</v>
      </c>
      <c r="C288" s="8">
        <v>3.6</v>
      </c>
      <c r="D288" s="152" t="s">
        <v>309</v>
      </c>
      <c r="E288" s="8">
        <v>12</v>
      </c>
      <c r="F288" s="8" t="s">
        <v>34</v>
      </c>
      <c r="G288" s="20">
        <v>0</v>
      </c>
      <c r="H288" s="20">
        <v>0</v>
      </c>
    </row>
    <row r="289" spans="1:8" x14ac:dyDescent="0.3">
      <c r="A289" s="8" t="s">
        <v>934</v>
      </c>
      <c r="B289" s="8">
        <v>1503050</v>
      </c>
      <c r="C289" s="8">
        <v>3.7</v>
      </c>
      <c r="D289" s="152" t="s">
        <v>2819</v>
      </c>
      <c r="E289" s="8">
        <v>12</v>
      </c>
      <c r="F289" s="8" t="s">
        <v>34</v>
      </c>
      <c r="G289" s="20">
        <v>0</v>
      </c>
      <c r="H289" s="20">
        <v>0</v>
      </c>
    </row>
    <row r="290" spans="1:8" x14ac:dyDescent="0.3">
      <c r="A290" s="13"/>
      <c r="B290" s="13"/>
      <c r="C290" s="13"/>
      <c r="D290" s="155" t="s">
        <v>935</v>
      </c>
      <c r="E290" s="157">
        <v>12</v>
      </c>
      <c r="F290" s="157" t="s">
        <v>34</v>
      </c>
      <c r="G290" s="201">
        <v>0</v>
      </c>
      <c r="H290" s="20">
        <v>0</v>
      </c>
    </row>
    <row r="291" spans="1:8" x14ac:dyDescent="0.3">
      <c r="A291" s="13" t="s">
        <v>936</v>
      </c>
      <c r="B291" s="13">
        <v>1503050</v>
      </c>
      <c r="C291" s="147"/>
      <c r="D291" s="177" t="s">
        <v>2820</v>
      </c>
      <c r="E291" s="8"/>
      <c r="F291" s="8"/>
      <c r="G291" s="20"/>
      <c r="H291" s="20"/>
    </row>
    <row r="292" spans="1:8" x14ac:dyDescent="0.3">
      <c r="A292" s="8" t="s">
        <v>937</v>
      </c>
      <c r="B292" s="8">
        <v>1503050</v>
      </c>
      <c r="C292" s="146">
        <v>3.1</v>
      </c>
      <c r="D292" s="165" t="s">
        <v>2821</v>
      </c>
      <c r="E292" s="149">
        <v>12</v>
      </c>
      <c r="F292" s="149" t="s">
        <v>34</v>
      </c>
      <c r="G292" s="191">
        <v>0</v>
      </c>
      <c r="H292" s="20">
        <v>0</v>
      </c>
    </row>
    <row r="293" spans="1:8" x14ac:dyDescent="0.3">
      <c r="A293" s="8" t="s">
        <v>938</v>
      </c>
      <c r="B293" s="8">
        <v>1503050</v>
      </c>
      <c r="C293" s="146">
        <v>3.1</v>
      </c>
      <c r="D293" s="165" t="s">
        <v>315</v>
      </c>
      <c r="E293" s="8">
        <v>12</v>
      </c>
      <c r="F293" s="8" t="s">
        <v>34</v>
      </c>
      <c r="G293" s="20">
        <v>0</v>
      </c>
      <c r="H293" s="20">
        <v>0</v>
      </c>
    </row>
    <row r="294" spans="1:8" x14ac:dyDescent="0.3">
      <c r="A294" s="8" t="s">
        <v>939</v>
      </c>
      <c r="B294" s="8">
        <v>1503050</v>
      </c>
      <c r="C294" s="8">
        <v>3.1</v>
      </c>
      <c r="D294" s="150" t="s">
        <v>317</v>
      </c>
      <c r="E294" s="8">
        <v>12</v>
      </c>
      <c r="F294" s="8" t="s">
        <v>34</v>
      </c>
      <c r="G294" s="20">
        <v>0</v>
      </c>
      <c r="H294" s="20">
        <v>0</v>
      </c>
    </row>
    <row r="295" spans="1:8" x14ac:dyDescent="0.3">
      <c r="A295" s="8" t="s">
        <v>940</v>
      </c>
      <c r="B295" s="8">
        <v>1503050</v>
      </c>
      <c r="C295" s="8">
        <v>3.2</v>
      </c>
      <c r="D295" s="178" t="s">
        <v>319</v>
      </c>
      <c r="E295" s="8">
        <v>12</v>
      </c>
      <c r="F295" s="8" t="s">
        <v>34</v>
      </c>
      <c r="G295" s="20">
        <v>0</v>
      </c>
      <c r="H295" s="20">
        <v>0</v>
      </c>
    </row>
    <row r="296" spans="1:8" x14ac:dyDescent="0.3">
      <c r="A296" s="8" t="s">
        <v>941</v>
      </c>
      <c r="B296" s="8">
        <v>1503050</v>
      </c>
      <c r="C296" s="8">
        <v>3.3</v>
      </c>
      <c r="D296" s="152" t="s">
        <v>321</v>
      </c>
      <c r="E296" s="8">
        <v>12</v>
      </c>
      <c r="F296" s="8" t="s">
        <v>34</v>
      </c>
      <c r="G296" s="20">
        <v>0</v>
      </c>
      <c r="H296" s="20">
        <v>0</v>
      </c>
    </row>
    <row r="297" spans="1:8" x14ac:dyDescent="0.3">
      <c r="A297" s="8" t="s">
        <v>942</v>
      </c>
      <c r="B297" s="8">
        <v>1503050</v>
      </c>
      <c r="C297" s="8">
        <v>3.5</v>
      </c>
      <c r="D297" s="152" t="s">
        <v>2822</v>
      </c>
      <c r="E297" s="8">
        <v>12</v>
      </c>
      <c r="F297" s="8" t="s">
        <v>34</v>
      </c>
      <c r="G297" s="20">
        <v>0</v>
      </c>
      <c r="H297" s="20">
        <v>0</v>
      </c>
    </row>
    <row r="298" spans="1:8" x14ac:dyDescent="0.3">
      <c r="A298" s="8" t="s">
        <v>943</v>
      </c>
      <c r="B298" s="8">
        <v>1503050</v>
      </c>
      <c r="C298" s="8">
        <v>3.6</v>
      </c>
      <c r="D298" s="152" t="s">
        <v>324</v>
      </c>
      <c r="E298" s="8">
        <v>12</v>
      </c>
      <c r="F298" s="8" t="s">
        <v>34</v>
      </c>
      <c r="G298" s="20">
        <v>0</v>
      </c>
      <c r="H298" s="20">
        <v>0</v>
      </c>
    </row>
    <row r="299" spans="1:8" x14ac:dyDescent="0.3">
      <c r="A299" s="8" t="s">
        <v>944</v>
      </c>
      <c r="B299" s="8">
        <v>1503050</v>
      </c>
      <c r="C299" s="8">
        <v>3.7</v>
      </c>
      <c r="D299" s="152" t="s">
        <v>2823</v>
      </c>
      <c r="E299" s="8">
        <v>12</v>
      </c>
      <c r="F299" s="8" t="s">
        <v>34</v>
      </c>
      <c r="G299" s="20">
        <v>0</v>
      </c>
      <c r="H299" s="20">
        <v>0</v>
      </c>
    </row>
    <row r="300" spans="1:8" x14ac:dyDescent="0.3">
      <c r="A300" s="13"/>
      <c r="B300" s="13"/>
      <c r="C300" s="13"/>
      <c r="D300" s="155" t="s">
        <v>945</v>
      </c>
      <c r="E300" s="157">
        <v>12</v>
      </c>
      <c r="F300" s="157" t="s">
        <v>34</v>
      </c>
      <c r="G300" s="201">
        <v>0</v>
      </c>
      <c r="H300" s="20">
        <v>0</v>
      </c>
    </row>
    <row r="301" spans="1:8" x14ac:dyDescent="0.3">
      <c r="A301" s="13" t="s">
        <v>946</v>
      </c>
      <c r="B301" s="13">
        <v>1503050</v>
      </c>
      <c r="C301" s="146"/>
      <c r="D301" s="179" t="s">
        <v>2824</v>
      </c>
      <c r="E301" s="8"/>
      <c r="F301" s="8"/>
      <c r="G301" s="20"/>
      <c r="H301" s="20"/>
    </row>
    <row r="302" spans="1:8" x14ac:dyDescent="0.3">
      <c r="A302" s="8" t="s">
        <v>947</v>
      </c>
      <c r="B302" s="8">
        <v>1503050</v>
      </c>
      <c r="C302" s="146">
        <v>3.1</v>
      </c>
      <c r="D302" s="180" t="s">
        <v>2825</v>
      </c>
      <c r="E302" s="149">
        <v>12</v>
      </c>
      <c r="F302" s="149" t="s">
        <v>34</v>
      </c>
      <c r="G302" s="191">
        <v>0</v>
      </c>
      <c r="H302" s="20">
        <v>0</v>
      </c>
    </row>
    <row r="303" spans="1:8" x14ac:dyDescent="0.3">
      <c r="A303" s="8" t="s">
        <v>948</v>
      </c>
      <c r="B303" s="8">
        <v>1503050</v>
      </c>
      <c r="C303" s="146">
        <v>3.1</v>
      </c>
      <c r="D303" s="181" t="s">
        <v>330</v>
      </c>
      <c r="E303" s="8">
        <v>12</v>
      </c>
      <c r="F303" s="8" t="s">
        <v>34</v>
      </c>
      <c r="G303" s="20">
        <v>0</v>
      </c>
      <c r="H303" s="20">
        <v>0</v>
      </c>
    </row>
    <row r="304" spans="1:8" x14ac:dyDescent="0.3">
      <c r="A304" s="8" t="s">
        <v>949</v>
      </c>
      <c r="B304" s="8">
        <v>1503050</v>
      </c>
      <c r="C304" s="8">
        <v>3.1</v>
      </c>
      <c r="D304" s="53" t="s">
        <v>332</v>
      </c>
      <c r="E304" s="8">
        <v>12</v>
      </c>
      <c r="F304" s="8" t="s">
        <v>34</v>
      </c>
      <c r="G304" s="20">
        <v>0</v>
      </c>
      <c r="H304" s="20">
        <v>0</v>
      </c>
    </row>
    <row r="305" spans="1:8" x14ac:dyDescent="0.3">
      <c r="A305" s="8" t="s">
        <v>950</v>
      </c>
      <c r="B305" s="8">
        <v>1503050</v>
      </c>
      <c r="C305" s="8">
        <v>3.2</v>
      </c>
      <c r="D305" s="152" t="s">
        <v>334</v>
      </c>
      <c r="E305" s="8">
        <v>12</v>
      </c>
      <c r="F305" s="8" t="s">
        <v>34</v>
      </c>
      <c r="G305" s="20">
        <v>0</v>
      </c>
      <c r="H305" s="20">
        <v>0</v>
      </c>
    </row>
    <row r="306" spans="1:8" x14ac:dyDescent="0.3">
      <c r="A306" s="8" t="s">
        <v>951</v>
      </c>
      <c r="B306" s="8">
        <v>1503050</v>
      </c>
      <c r="C306" s="8">
        <v>3.3</v>
      </c>
      <c r="D306" s="152" t="s">
        <v>336</v>
      </c>
      <c r="E306" s="8">
        <v>12</v>
      </c>
      <c r="F306" s="8" t="s">
        <v>34</v>
      </c>
      <c r="G306" s="20">
        <v>0</v>
      </c>
      <c r="H306" s="20">
        <v>0</v>
      </c>
    </row>
    <row r="307" spans="1:8" x14ac:dyDescent="0.3">
      <c r="A307" s="8" t="s">
        <v>952</v>
      </c>
      <c r="B307" s="8">
        <v>1503050</v>
      </c>
      <c r="C307" s="8">
        <v>3.5</v>
      </c>
      <c r="D307" s="152" t="s">
        <v>2826</v>
      </c>
      <c r="E307" s="8">
        <v>12</v>
      </c>
      <c r="F307" s="8" t="s">
        <v>34</v>
      </c>
      <c r="G307" s="20">
        <v>0</v>
      </c>
      <c r="H307" s="20">
        <v>0</v>
      </c>
    </row>
    <row r="308" spans="1:8" x14ac:dyDescent="0.3">
      <c r="A308" s="8" t="s">
        <v>953</v>
      </c>
      <c r="B308" s="8">
        <v>1503050</v>
      </c>
      <c r="C308" s="8">
        <v>3.6</v>
      </c>
      <c r="D308" s="152" t="s">
        <v>339</v>
      </c>
      <c r="E308" s="8">
        <v>12</v>
      </c>
      <c r="F308" s="8" t="s">
        <v>34</v>
      </c>
      <c r="G308" s="20">
        <v>0</v>
      </c>
      <c r="H308" s="20">
        <v>0</v>
      </c>
    </row>
    <row r="309" spans="1:8" x14ac:dyDescent="0.3">
      <c r="A309" s="8" t="s">
        <v>954</v>
      </c>
      <c r="B309" s="8">
        <v>1503050</v>
      </c>
      <c r="C309" s="8">
        <v>3.7</v>
      </c>
      <c r="D309" s="152" t="s">
        <v>341</v>
      </c>
      <c r="E309" s="8">
        <v>12</v>
      </c>
      <c r="F309" s="8" t="s">
        <v>34</v>
      </c>
      <c r="G309" s="20">
        <v>0</v>
      </c>
      <c r="H309" s="20">
        <v>0</v>
      </c>
    </row>
    <row r="310" spans="1:8" x14ac:dyDescent="0.3">
      <c r="A310" s="13"/>
      <c r="B310" s="13"/>
      <c r="C310" s="13"/>
      <c r="D310" s="153" t="s">
        <v>955</v>
      </c>
      <c r="E310" s="8">
        <v>12</v>
      </c>
      <c r="F310" s="8" t="s">
        <v>34</v>
      </c>
      <c r="G310" s="20">
        <v>0</v>
      </c>
      <c r="H310" s="20">
        <v>0</v>
      </c>
    </row>
    <row r="311" spans="1:8" x14ac:dyDescent="0.3">
      <c r="A311" s="13" t="s">
        <v>916</v>
      </c>
      <c r="B311" s="13">
        <v>1503050</v>
      </c>
      <c r="C311" s="13" t="s">
        <v>14</v>
      </c>
      <c r="D311" s="153" t="s">
        <v>343</v>
      </c>
      <c r="E311" s="8">
        <v>12</v>
      </c>
      <c r="F311" s="8" t="s">
        <v>34</v>
      </c>
      <c r="G311" s="20">
        <v>0</v>
      </c>
      <c r="H311" s="20">
        <v>0</v>
      </c>
    </row>
    <row r="312" spans="1:8" x14ac:dyDescent="0.3">
      <c r="A312" s="214" t="s">
        <v>2827</v>
      </c>
      <c r="B312" s="214"/>
      <c r="C312" s="214"/>
      <c r="D312" s="215"/>
      <c r="E312" s="157">
        <v>12</v>
      </c>
      <c r="F312" s="157" t="s">
        <v>34</v>
      </c>
      <c r="G312" s="201">
        <v>0</v>
      </c>
      <c r="H312" s="20">
        <v>0</v>
      </c>
    </row>
    <row r="313" spans="1:8" x14ac:dyDescent="0.3">
      <c r="A313" s="212" t="s">
        <v>2828</v>
      </c>
      <c r="B313" s="212"/>
      <c r="C313" s="212"/>
      <c r="D313" s="213"/>
      <c r="E313" s="8"/>
      <c r="F313" s="8"/>
      <c r="G313" s="20"/>
      <c r="H313" s="205"/>
    </row>
    <row r="314" spans="1:8" x14ac:dyDescent="0.3">
      <c r="A314" s="160" t="s">
        <v>761</v>
      </c>
      <c r="B314" s="160"/>
      <c r="C314" s="161" t="s">
        <v>14</v>
      </c>
      <c r="D314" s="182" t="s">
        <v>2829</v>
      </c>
      <c r="E314" s="8"/>
      <c r="F314" s="8"/>
      <c r="G314" s="20"/>
      <c r="H314" s="20"/>
    </row>
    <row r="315" spans="1:8" x14ac:dyDescent="0.3">
      <c r="A315" s="13" t="s">
        <v>2990</v>
      </c>
      <c r="B315" s="13">
        <v>1503060</v>
      </c>
      <c r="C315" s="147"/>
      <c r="D315" s="177" t="s">
        <v>2830</v>
      </c>
      <c r="E315" s="8"/>
      <c r="F315" s="8"/>
      <c r="G315" s="20"/>
      <c r="H315" s="20"/>
    </row>
    <row r="316" spans="1:8" x14ac:dyDescent="0.3">
      <c r="A316" s="8" t="s">
        <v>2991</v>
      </c>
      <c r="B316" s="8">
        <v>1503060</v>
      </c>
      <c r="C316" s="146">
        <v>3.1</v>
      </c>
      <c r="D316" s="181" t="s">
        <v>346</v>
      </c>
      <c r="E316" s="149">
        <v>12</v>
      </c>
      <c r="F316" s="149" t="s">
        <v>34</v>
      </c>
      <c r="G316" s="191">
        <v>0</v>
      </c>
      <c r="H316" s="20">
        <v>0</v>
      </c>
    </row>
    <row r="317" spans="1:8" x14ac:dyDescent="0.3">
      <c r="A317" s="8" t="s">
        <v>2992</v>
      </c>
      <c r="B317" s="8">
        <v>1503060</v>
      </c>
      <c r="C317" s="146">
        <v>3.2</v>
      </c>
      <c r="D317" s="181" t="s">
        <v>348</v>
      </c>
      <c r="E317" s="8">
        <v>12</v>
      </c>
      <c r="F317" s="8" t="s">
        <v>34</v>
      </c>
      <c r="G317" s="20">
        <v>0</v>
      </c>
      <c r="H317" s="20">
        <v>0</v>
      </c>
    </row>
    <row r="318" spans="1:8" x14ac:dyDescent="0.3">
      <c r="A318" s="13"/>
      <c r="B318" s="13"/>
      <c r="C318" s="147"/>
      <c r="D318" s="183" t="s">
        <v>2993</v>
      </c>
      <c r="E318" s="8"/>
      <c r="F318" s="8"/>
      <c r="G318" s="20"/>
      <c r="H318" s="20"/>
    </row>
    <row r="319" spans="1:8" x14ac:dyDescent="0.3">
      <c r="A319" s="13" t="s">
        <v>2994</v>
      </c>
      <c r="B319" s="13">
        <v>1503060</v>
      </c>
      <c r="C319" s="146"/>
      <c r="D319" s="177" t="s">
        <v>2831</v>
      </c>
      <c r="E319" s="8"/>
      <c r="F319" s="8"/>
      <c r="G319" s="20"/>
      <c r="H319" s="20"/>
    </row>
    <row r="320" spans="1:8" x14ac:dyDescent="0.3">
      <c r="A320" s="8" t="s">
        <v>2995</v>
      </c>
      <c r="B320" s="8">
        <v>1503060</v>
      </c>
      <c r="C320" s="146">
        <v>3.1</v>
      </c>
      <c r="D320" s="181" t="s">
        <v>352</v>
      </c>
      <c r="E320" s="8">
        <v>12</v>
      </c>
      <c r="F320" s="8" t="s">
        <v>34</v>
      </c>
      <c r="G320" s="20">
        <v>0</v>
      </c>
      <c r="H320" s="20">
        <v>0</v>
      </c>
    </row>
    <row r="321" spans="1:8" x14ac:dyDescent="0.3">
      <c r="A321" s="8" t="s">
        <v>2996</v>
      </c>
      <c r="B321" s="8">
        <v>1503060</v>
      </c>
      <c r="C321" s="146">
        <v>3.2</v>
      </c>
      <c r="D321" s="181" t="s">
        <v>354</v>
      </c>
      <c r="E321" s="8">
        <v>12</v>
      </c>
      <c r="F321" s="8" t="s">
        <v>34</v>
      </c>
      <c r="G321" s="20">
        <v>0</v>
      </c>
      <c r="H321" s="20">
        <v>0</v>
      </c>
    </row>
    <row r="322" spans="1:8" x14ac:dyDescent="0.3">
      <c r="A322" s="13"/>
      <c r="B322" s="13"/>
      <c r="C322" s="147"/>
      <c r="D322" s="183" t="s">
        <v>3000</v>
      </c>
      <c r="E322" s="8"/>
      <c r="F322" s="8"/>
      <c r="G322" s="20"/>
      <c r="H322" s="20"/>
    </row>
    <row r="323" spans="1:8" x14ac:dyDescent="0.3">
      <c r="A323" s="13" t="s">
        <v>2997</v>
      </c>
      <c r="B323" s="13">
        <v>1503060</v>
      </c>
      <c r="C323" s="147"/>
      <c r="D323" s="177" t="s">
        <v>2832</v>
      </c>
      <c r="E323" s="8"/>
      <c r="F323" s="8"/>
      <c r="G323" s="20"/>
      <c r="H323" s="20"/>
    </row>
    <row r="324" spans="1:8" x14ac:dyDescent="0.3">
      <c r="A324" s="8" t="s">
        <v>2998</v>
      </c>
      <c r="B324" s="8">
        <v>1503060</v>
      </c>
      <c r="C324" s="146">
        <v>3.1</v>
      </c>
      <c r="D324" s="184" t="s">
        <v>2833</v>
      </c>
      <c r="E324" s="8">
        <v>12</v>
      </c>
      <c r="F324" s="8" t="s">
        <v>34</v>
      </c>
      <c r="G324" s="20">
        <v>0</v>
      </c>
      <c r="H324" s="20">
        <v>0</v>
      </c>
    </row>
    <row r="325" spans="1:8" x14ac:dyDescent="0.3">
      <c r="A325" s="8" t="s">
        <v>2999</v>
      </c>
      <c r="B325" s="8">
        <v>1503060</v>
      </c>
      <c r="C325" s="146">
        <v>3.2</v>
      </c>
      <c r="D325" s="184" t="s">
        <v>2834</v>
      </c>
      <c r="E325" s="8">
        <v>12</v>
      </c>
      <c r="F325" s="8" t="s">
        <v>34</v>
      </c>
      <c r="G325" s="20">
        <v>0</v>
      </c>
      <c r="H325" s="20">
        <v>0</v>
      </c>
    </row>
    <row r="326" spans="1:8" x14ac:dyDescent="0.3">
      <c r="A326" s="13"/>
      <c r="B326" s="13"/>
      <c r="C326" s="147"/>
      <c r="D326" s="183" t="s">
        <v>3001</v>
      </c>
      <c r="E326" s="8"/>
      <c r="F326" s="8"/>
      <c r="G326" s="20"/>
      <c r="H326" s="20"/>
    </row>
    <row r="327" spans="1:8" x14ac:dyDescent="0.3">
      <c r="A327" s="13" t="s">
        <v>3002</v>
      </c>
      <c r="B327" s="13">
        <v>1503060</v>
      </c>
      <c r="C327" s="146"/>
      <c r="D327" s="177" t="s">
        <v>2835</v>
      </c>
      <c r="E327" s="8"/>
      <c r="F327" s="8"/>
      <c r="G327" s="20"/>
      <c r="H327" s="20"/>
    </row>
    <row r="328" spans="1:8" x14ac:dyDescent="0.3">
      <c r="A328" s="8" t="s">
        <v>3003</v>
      </c>
      <c r="B328" s="8">
        <v>1503060</v>
      </c>
      <c r="C328" s="146">
        <v>3.1</v>
      </c>
      <c r="D328" s="181" t="s">
        <v>2836</v>
      </c>
      <c r="E328" s="8">
        <v>12</v>
      </c>
      <c r="F328" s="8" t="s">
        <v>34</v>
      </c>
      <c r="G328" s="20">
        <v>0</v>
      </c>
      <c r="H328" s="20">
        <v>0</v>
      </c>
    </row>
    <row r="329" spans="1:8" x14ac:dyDescent="0.3">
      <c r="A329" s="8" t="s">
        <v>3004</v>
      </c>
      <c r="B329" s="8">
        <v>1503060</v>
      </c>
      <c r="C329" s="146">
        <v>3.2</v>
      </c>
      <c r="D329" s="181" t="s">
        <v>363</v>
      </c>
      <c r="E329" s="8">
        <v>12</v>
      </c>
      <c r="F329" s="8" t="s">
        <v>34</v>
      </c>
      <c r="G329" s="20">
        <v>0</v>
      </c>
      <c r="H329" s="20">
        <v>0</v>
      </c>
    </row>
    <row r="330" spans="1:8" x14ac:dyDescent="0.3">
      <c r="A330" s="13"/>
      <c r="B330" s="13"/>
      <c r="C330" s="147"/>
      <c r="D330" s="176" t="s">
        <v>3009</v>
      </c>
      <c r="E330" s="8"/>
      <c r="F330" s="8"/>
      <c r="G330" s="20"/>
      <c r="H330" s="20"/>
    </row>
    <row r="331" spans="1:8" x14ac:dyDescent="0.3">
      <c r="A331" s="13" t="s">
        <v>3005</v>
      </c>
      <c r="B331" s="13">
        <v>1503060</v>
      </c>
      <c r="C331" s="147"/>
      <c r="D331" s="177" t="s">
        <v>2837</v>
      </c>
      <c r="E331" s="8"/>
      <c r="F331" s="8"/>
      <c r="G331" s="20"/>
      <c r="H331" s="20"/>
    </row>
    <row r="332" spans="1:8" x14ac:dyDescent="0.3">
      <c r="A332" s="13" t="s">
        <v>3006</v>
      </c>
      <c r="B332" s="13">
        <v>1503060</v>
      </c>
      <c r="C332" s="146"/>
      <c r="D332" s="177" t="s">
        <v>2838</v>
      </c>
      <c r="E332" s="8"/>
      <c r="F332" s="8"/>
      <c r="G332" s="20"/>
      <c r="H332" s="20"/>
    </row>
    <row r="333" spans="1:8" x14ac:dyDescent="0.3">
      <c r="A333" s="8" t="s">
        <v>3007</v>
      </c>
      <c r="B333" s="8">
        <v>1503060</v>
      </c>
      <c r="C333" s="146">
        <v>3.1</v>
      </c>
      <c r="D333" s="181" t="s">
        <v>368</v>
      </c>
      <c r="E333" s="8">
        <v>12</v>
      </c>
      <c r="F333" s="8" t="s">
        <v>34</v>
      </c>
      <c r="G333" s="20">
        <v>0</v>
      </c>
      <c r="H333" s="20">
        <v>0</v>
      </c>
    </row>
    <row r="334" spans="1:8" x14ac:dyDescent="0.3">
      <c r="A334" s="8" t="s">
        <v>3008</v>
      </c>
      <c r="B334" s="8">
        <v>1503060</v>
      </c>
      <c r="C334" s="146">
        <v>3.2</v>
      </c>
      <c r="D334" s="181" t="s">
        <v>370</v>
      </c>
      <c r="E334" s="8">
        <v>12</v>
      </c>
      <c r="F334" s="8" t="s">
        <v>34</v>
      </c>
      <c r="G334" s="20">
        <v>0</v>
      </c>
      <c r="H334" s="20">
        <v>0</v>
      </c>
    </row>
    <row r="335" spans="1:8" x14ac:dyDescent="0.3">
      <c r="A335" s="13"/>
      <c r="B335" s="13"/>
      <c r="C335" s="147"/>
      <c r="D335" s="183" t="s">
        <v>3010</v>
      </c>
      <c r="E335" s="8"/>
      <c r="F335" s="8"/>
      <c r="G335" s="20"/>
      <c r="H335" s="20"/>
    </row>
    <row r="336" spans="1:8" x14ac:dyDescent="0.3">
      <c r="A336" s="13" t="s">
        <v>3011</v>
      </c>
      <c r="B336" s="13">
        <v>1503060</v>
      </c>
      <c r="C336" s="146"/>
      <c r="D336" s="177" t="s">
        <v>2839</v>
      </c>
      <c r="E336" s="8"/>
      <c r="F336" s="8"/>
      <c r="G336" s="20"/>
      <c r="H336" s="20"/>
    </row>
    <row r="337" spans="1:8" x14ac:dyDescent="0.3">
      <c r="A337" s="8" t="s">
        <v>3012</v>
      </c>
      <c r="B337" s="8">
        <v>1503060</v>
      </c>
      <c r="C337" s="146">
        <v>3.1</v>
      </c>
      <c r="D337" s="181" t="s">
        <v>374</v>
      </c>
      <c r="E337" s="8">
        <v>12</v>
      </c>
      <c r="F337" s="8" t="s">
        <v>34</v>
      </c>
      <c r="G337" s="20">
        <v>0</v>
      </c>
      <c r="H337" s="20">
        <v>0</v>
      </c>
    </row>
    <row r="338" spans="1:8" x14ac:dyDescent="0.3">
      <c r="A338" s="8" t="s">
        <v>3013</v>
      </c>
      <c r="B338" s="8">
        <v>1503060</v>
      </c>
      <c r="C338" s="146">
        <v>3.2</v>
      </c>
      <c r="D338" s="181" t="s">
        <v>2840</v>
      </c>
      <c r="E338" s="8">
        <v>12</v>
      </c>
      <c r="F338" s="8" t="s">
        <v>34</v>
      </c>
      <c r="G338" s="20">
        <v>0</v>
      </c>
      <c r="H338" s="20">
        <v>0</v>
      </c>
    </row>
    <row r="339" spans="1:8" x14ac:dyDescent="0.3">
      <c r="A339" s="13"/>
      <c r="B339" s="13"/>
      <c r="C339" s="147"/>
      <c r="D339" s="176" t="s">
        <v>3014</v>
      </c>
      <c r="E339" s="8">
        <v>12</v>
      </c>
      <c r="F339" s="8" t="s">
        <v>34</v>
      </c>
      <c r="G339" s="20">
        <v>0</v>
      </c>
      <c r="H339" s="20">
        <v>0</v>
      </c>
    </row>
    <row r="340" spans="1:8" x14ac:dyDescent="0.3">
      <c r="A340" s="13" t="s">
        <v>956</v>
      </c>
      <c r="B340" s="13">
        <v>1503060</v>
      </c>
      <c r="C340" s="13"/>
      <c r="D340" s="154" t="s">
        <v>2841</v>
      </c>
      <c r="E340" s="8"/>
      <c r="F340" s="8"/>
      <c r="G340" s="20"/>
      <c r="H340" s="20"/>
    </row>
    <row r="341" spans="1:8" x14ac:dyDescent="0.3">
      <c r="A341" s="13" t="s">
        <v>761</v>
      </c>
      <c r="B341" s="13">
        <v>1503060</v>
      </c>
      <c r="C341" s="13" t="s">
        <v>14</v>
      </c>
      <c r="D341" s="155" t="s">
        <v>2842</v>
      </c>
      <c r="E341" s="8">
        <v>12</v>
      </c>
      <c r="F341" s="8" t="s">
        <v>34</v>
      </c>
      <c r="G341" s="20">
        <v>0</v>
      </c>
      <c r="H341" s="20">
        <v>0</v>
      </c>
    </row>
    <row r="342" spans="1:8" x14ac:dyDescent="0.3">
      <c r="A342" s="13" t="s">
        <v>832</v>
      </c>
      <c r="B342" s="13">
        <v>1503060</v>
      </c>
      <c r="C342" s="147" t="s">
        <v>14</v>
      </c>
      <c r="D342" s="185" t="s">
        <v>2843</v>
      </c>
      <c r="E342" s="8"/>
      <c r="F342" s="8"/>
      <c r="G342" s="20"/>
      <c r="H342" s="20"/>
    </row>
    <row r="343" spans="1:8" x14ac:dyDescent="0.3">
      <c r="A343" s="13" t="s">
        <v>148</v>
      </c>
      <c r="B343" s="13">
        <v>1503060</v>
      </c>
      <c r="C343" s="147" t="s">
        <v>14</v>
      </c>
      <c r="D343" s="185" t="s">
        <v>2844</v>
      </c>
      <c r="E343" s="8"/>
      <c r="F343" s="8"/>
      <c r="G343" s="20"/>
      <c r="H343" s="20"/>
    </row>
    <row r="344" spans="1:8" x14ac:dyDescent="0.3">
      <c r="A344" s="13" t="s">
        <v>833</v>
      </c>
      <c r="B344" s="13">
        <v>1503060</v>
      </c>
      <c r="C344" s="147" t="s">
        <v>14</v>
      </c>
      <c r="D344" s="185" t="s">
        <v>2784</v>
      </c>
      <c r="E344" s="8"/>
      <c r="F344" s="8"/>
      <c r="G344" s="20"/>
      <c r="H344" s="20"/>
    </row>
    <row r="345" spans="1:8" x14ac:dyDescent="0.3">
      <c r="A345" s="13" t="s">
        <v>834</v>
      </c>
      <c r="B345" s="13">
        <v>1503060</v>
      </c>
      <c r="C345" s="147"/>
      <c r="D345" s="185" t="s">
        <v>2785</v>
      </c>
      <c r="E345" s="8"/>
      <c r="F345" s="8"/>
      <c r="G345" s="20"/>
      <c r="H345" s="20"/>
    </row>
    <row r="346" spans="1:8" x14ac:dyDescent="0.3">
      <c r="A346" s="13" t="s">
        <v>835</v>
      </c>
      <c r="B346" s="13">
        <v>1503060</v>
      </c>
      <c r="C346" s="147" t="s">
        <v>14</v>
      </c>
      <c r="D346" s="186" t="s">
        <v>2845</v>
      </c>
      <c r="E346" s="8"/>
      <c r="F346" s="8"/>
      <c r="G346" s="20"/>
      <c r="H346" s="20"/>
    </row>
    <row r="347" spans="1:8" x14ac:dyDescent="0.3">
      <c r="A347" s="13" t="s">
        <v>916</v>
      </c>
      <c r="B347" s="13">
        <v>1503060</v>
      </c>
      <c r="C347" s="147" t="s">
        <v>14</v>
      </c>
      <c r="D347" s="182" t="s">
        <v>284</v>
      </c>
      <c r="E347" s="8"/>
      <c r="F347" s="8"/>
      <c r="G347" s="20"/>
      <c r="H347" s="20"/>
    </row>
    <row r="348" spans="1:8" x14ac:dyDescent="0.3">
      <c r="A348" s="13" t="s">
        <v>957</v>
      </c>
      <c r="B348" s="13">
        <v>1503060</v>
      </c>
      <c r="C348" s="147"/>
      <c r="D348" s="177" t="s">
        <v>2846</v>
      </c>
      <c r="E348" s="8"/>
      <c r="F348" s="8"/>
      <c r="G348" s="20"/>
      <c r="H348" s="20"/>
    </row>
    <row r="349" spans="1:8" x14ac:dyDescent="0.3">
      <c r="A349" s="8" t="s">
        <v>958</v>
      </c>
      <c r="B349" s="8">
        <v>1503060</v>
      </c>
      <c r="C349" s="146">
        <v>3.1</v>
      </c>
      <c r="D349" s="165" t="s">
        <v>2847</v>
      </c>
      <c r="E349" s="8">
        <v>12</v>
      </c>
      <c r="F349" s="8" t="s">
        <v>34</v>
      </c>
      <c r="G349" s="20">
        <v>0</v>
      </c>
      <c r="H349" s="20">
        <v>0</v>
      </c>
    </row>
    <row r="350" spans="1:8" x14ac:dyDescent="0.3">
      <c r="A350" s="8" t="s">
        <v>959</v>
      </c>
      <c r="B350" s="8">
        <v>1503060</v>
      </c>
      <c r="C350" s="146">
        <v>3.2</v>
      </c>
      <c r="D350" s="184" t="s">
        <v>382</v>
      </c>
      <c r="E350" s="8">
        <v>12</v>
      </c>
      <c r="F350" s="8" t="s">
        <v>34</v>
      </c>
      <c r="G350" s="20">
        <v>0</v>
      </c>
      <c r="H350" s="20">
        <v>0</v>
      </c>
    </row>
    <row r="351" spans="1:8" x14ac:dyDescent="0.3">
      <c r="A351" s="13"/>
      <c r="B351" s="13"/>
      <c r="C351" s="147"/>
      <c r="D351" s="183" t="s">
        <v>3015</v>
      </c>
      <c r="E351" s="8"/>
      <c r="F351" s="8"/>
      <c r="G351" s="20"/>
      <c r="H351" s="20"/>
    </row>
    <row r="352" spans="1:8" x14ac:dyDescent="0.3">
      <c r="A352" s="13" t="s">
        <v>960</v>
      </c>
      <c r="B352" s="13">
        <v>1503060</v>
      </c>
      <c r="C352" s="146"/>
      <c r="D352" s="177" t="s">
        <v>2849</v>
      </c>
      <c r="E352" s="8"/>
      <c r="F352" s="8"/>
      <c r="G352" s="20"/>
      <c r="H352" s="20"/>
    </row>
    <row r="353" spans="1:8" x14ac:dyDescent="0.3">
      <c r="A353" s="8" t="s">
        <v>961</v>
      </c>
      <c r="B353" s="8">
        <v>1503060</v>
      </c>
      <c r="C353" s="146">
        <v>3.1</v>
      </c>
      <c r="D353" s="181" t="s">
        <v>385</v>
      </c>
      <c r="E353" s="8">
        <v>12</v>
      </c>
      <c r="F353" s="8" t="s">
        <v>34</v>
      </c>
      <c r="G353" s="20">
        <v>0</v>
      </c>
      <c r="H353" s="20">
        <v>0</v>
      </c>
    </row>
    <row r="354" spans="1:8" x14ac:dyDescent="0.3">
      <c r="A354" s="8" t="s">
        <v>962</v>
      </c>
      <c r="B354" s="8">
        <v>1503060</v>
      </c>
      <c r="C354" s="146">
        <v>3.2</v>
      </c>
      <c r="D354" s="181" t="s">
        <v>2850</v>
      </c>
      <c r="E354" s="8">
        <v>12</v>
      </c>
      <c r="F354" s="8" t="s">
        <v>34</v>
      </c>
      <c r="G354" s="20">
        <v>0</v>
      </c>
      <c r="H354" s="20">
        <v>0</v>
      </c>
    </row>
    <row r="355" spans="1:8" x14ac:dyDescent="0.3">
      <c r="A355" s="13"/>
      <c r="B355" s="13"/>
      <c r="C355" s="147"/>
      <c r="D355" s="183" t="s">
        <v>963</v>
      </c>
      <c r="E355" s="8"/>
      <c r="F355" s="8"/>
      <c r="G355" s="20"/>
      <c r="H355" s="20"/>
    </row>
    <row r="356" spans="1:8" x14ac:dyDescent="0.3">
      <c r="A356" s="13" t="s">
        <v>964</v>
      </c>
      <c r="B356" s="13">
        <v>1503060</v>
      </c>
      <c r="C356" s="147"/>
      <c r="D356" s="177" t="s">
        <v>2851</v>
      </c>
      <c r="E356" s="8"/>
      <c r="F356" s="8"/>
      <c r="G356" s="20"/>
      <c r="H356" s="20"/>
    </row>
    <row r="357" spans="1:8" x14ac:dyDescent="0.3">
      <c r="A357" s="8" t="s">
        <v>965</v>
      </c>
      <c r="B357" s="8">
        <v>1503060</v>
      </c>
      <c r="C357" s="146">
        <v>3.1</v>
      </c>
      <c r="D357" s="165" t="s">
        <v>390</v>
      </c>
      <c r="E357" s="8">
        <v>12</v>
      </c>
      <c r="F357" s="8" t="s">
        <v>34</v>
      </c>
      <c r="G357" s="20">
        <v>0</v>
      </c>
      <c r="H357" s="20">
        <v>0</v>
      </c>
    </row>
    <row r="358" spans="1:8" x14ac:dyDescent="0.3">
      <c r="A358" s="8" t="s">
        <v>966</v>
      </c>
      <c r="B358" s="8">
        <v>1503060</v>
      </c>
      <c r="C358" s="146">
        <v>3.2</v>
      </c>
      <c r="D358" s="184" t="s">
        <v>2852</v>
      </c>
      <c r="E358" s="8">
        <v>12</v>
      </c>
      <c r="F358" s="8" t="s">
        <v>34</v>
      </c>
      <c r="G358" s="20">
        <v>0</v>
      </c>
      <c r="H358" s="20">
        <v>0</v>
      </c>
    </row>
    <row r="359" spans="1:8" x14ac:dyDescent="0.3">
      <c r="A359" s="13"/>
      <c r="B359" s="13"/>
      <c r="C359" s="147"/>
      <c r="D359" s="183" t="s">
        <v>967</v>
      </c>
      <c r="E359" s="8">
        <v>12</v>
      </c>
      <c r="F359" s="8" t="s">
        <v>34</v>
      </c>
      <c r="G359" s="20">
        <v>0</v>
      </c>
      <c r="H359" s="20">
        <v>0</v>
      </c>
    </row>
    <row r="360" spans="1:8" x14ac:dyDescent="0.3">
      <c r="A360" s="13" t="s">
        <v>968</v>
      </c>
      <c r="B360" s="13">
        <v>1503060</v>
      </c>
      <c r="C360" s="146"/>
      <c r="D360" s="177" t="s">
        <v>2853</v>
      </c>
      <c r="E360" s="8"/>
      <c r="F360" s="8"/>
      <c r="G360" s="20"/>
      <c r="H360" s="20"/>
    </row>
    <row r="361" spans="1:8" x14ac:dyDescent="0.3">
      <c r="A361" s="8" t="s">
        <v>969</v>
      </c>
      <c r="B361" s="8">
        <v>1503060</v>
      </c>
      <c r="C361" s="146">
        <v>3.1</v>
      </c>
      <c r="D361" s="181" t="s">
        <v>395</v>
      </c>
      <c r="E361" s="8">
        <v>12</v>
      </c>
      <c r="F361" s="8" t="s">
        <v>34</v>
      </c>
      <c r="G361" s="20">
        <v>0</v>
      </c>
      <c r="H361" s="20">
        <v>0</v>
      </c>
    </row>
    <row r="362" spans="1:8" x14ac:dyDescent="0.3">
      <c r="A362" s="8" t="s">
        <v>970</v>
      </c>
      <c r="B362" s="8">
        <v>1503060</v>
      </c>
      <c r="C362" s="146">
        <v>3.2</v>
      </c>
      <c r="D362" s="181" t="s">
        <v>2854</v>
      </c>
      <c r="E362" s="8">
        <v>12</v>
      </c>
      <c r="F362" s="8" t="s">
        <v>34</v>
      </c>
      <c r="G362" s="20">
        <v>0</v>
      </c>
      <c r="H362" s="20">
        <v>0</v>
      </c>
    </row>
    <row r="363" spans="1:8" x14ac:dyDescent="0.3">
      <c r="A363" s="13"/>
      <c r="B363" s="13"/>
      <c r="C363" s="13"/>
      <c r="D363" s="187" t="s">
        <v>971</v>
      </c>
      <c r="E363" s="8">
        <v>12</v>
      </c>
      <c r="F363" s="8" t="s">
        <v>34</v>
      </c>
      <c r="G363" s="20">
        <v>0</v>
      </c>
      <c r="H363" s="20">
        <v>0</v>
      </c>
    </row>
    <row r="364" spans="1:8" x14ac:dyDescent="0.3">
      <c r="A364" s="13" t="s">
        <v>916</v>
      </c>
      <c r="B364" s="13">
        <v>1503060</v>
      </c>
      <c r="C364" s="13" t="s">
        <v>14</v>
      </c>
      <c r="D364" s="153" t="s">
        <v>2855</v>
      </c>
      <c r="E364" s="8">
        <v>12</v>
      </c>
      <c r="F364" s="8" t="s">
        <v>34</v>
      </c>
      <c r="G364" s="20">
        <v>0</v>
      </c>
      <c r="H364" s="20">
        <v>0</v>
      </c>
    </row>
    <row r="365" spans="1:8" x14ac:dyDescent="0.3">
      <c r="A365" s="214" t="s">
        <v>2856</v>
      </c>
      <c r="B365" s="214"/>
      <c r="C365" s="214"/>
      <c r="D365" s="215"/>
      <c r="E365" s="8">
        <v>12</v>
      </c>
      <c r="F365" s="8" t="s">
        <v>34</v>
      </c>
      <c r="G365" s="20">
        <v>0</v>
      </c>
      <c r="H365" s="20">
        <v>0</v>
      </c>
    </row>
    <row r="366" spans="1:8" x14ac:dyDescent="0.3">
      <c r="A366" s="214" t="s">
        <v>2857</v>
      </c>
      <c r="B366" s="214"/>
      <c r="C366" s="214"/>
      <c r="D366" s="215"/>
      <c r="E366" s="8">
        <v>12</v>
      </c>
      <c r="F366" s="8" t="s">
        <v>34</v>
      </c>
      <c r="G366" s="20">
        <v>0</v>
      </c>
      <c r="H366" s="20">
        <v>0</v>
      </c>
    </row>
  </sheetData>
  <mergeCells count="5">
    <mergeCell ref="A313:D313"/>
    <mergeCell ref="A365:D365"/>
    <mergeCell ref="A366:D366"/>
    <mergeCell ref="A9:D9"/>
    <mergeCell ref="A312:D31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59999389629810485"/>
  </sheetPr>
  <dimension ref="A1:G160"/>
  <sheetViews>
    <sheetView workbookViewId="0">
      <selection activeCell="D3" sqref="D3"/>
    </sheetView>
  </sheetViews>
  <sheetFormatPr defaultColWidth="9.1796875" defaultRowHeight="13" x14ac:dyDescent="0.3"/>
  <cols>
    <col min="1" max="1" width="6.26953125" style="49" customWidth="1"/>
    <col min="2" max="2" width="15.7265625" style="49" customWidth="1"/>
    <col min="3" max="3" width="50.7265625" style="18" customWidth="1"/>
    <col min="4" max="4" width="11.7265625" style="50" customWidth="1"/>
    <col min="5" max="5" width="6.7265625" style="49" customWidth="1"/>
    <col min="6" max="6" width="11.7265625" style="18" customWidth="1"/>
    <col min="7" max="7" width="13.7265625" style="18" customWidth="1"/>
    <col min="8" max="16384" width="9.1796875" style="18"/>
  </cols>
  <sheetData>
    <row r="1" spans="1:7" x14ac:dyDescent="0.3">
      <c r="A1" s="21"/>
      <c r="B1" s="22"/>
      <c r="C1" s="79" t="s">
        <v>0</v>
      </c>
      <c r="D1" s="23"/>
      <c r="E1" s="22"/>
      <c r="F1" s="24"/>
      <c r="G1" s="25"/>
    </row>
    <row r="2" spans="1:7" x14ac:dyDescent="0.3">
      <c r="A2" s="26"/>
      <c r="B2" s="17"/>
      <c r="C2" s="81" t="s">
        <v>1</v>
      </c>
      <c r="D2" s="27"/>
      <c r="E2" s="17"/>
      <c r="F2" s="16"/>
      <c r="G2" s="28"/>
    </row>
    <row r="3" spans="1:7" x14ac:dyDescent="0.3">
      <c r="A3" s="26"/>
      <c r="B3" s="17"/>
      <c r="C3" s="81" t="s">
        <v>398</v>
      </c>
      <c r="D3" s="27"/>
      <c r="E3" s="17"/>
      <c r="F3" s="16"/>
      <c r="G3" s="28"/>
    </row>
    <row r="4" spans="1:7" x14ac:dyDescent="0.3">
      <c r="A4" s="26"/>
      <c r="B4" s="17"/>
      <c r="C4" s="81" t="s">
        <v>3</v>
      </c>
      <c r="D4" s="27"/>
      <c r="E4" s="17"/>
      <c r="F4" s="16"/>
      <c r="G4" s="28"/>
    </row>
    <row r="5" spans="1:7" x14ac:dyDescent="0.3">
      <c r="A5" s="219" t="s">
        <v>972</v>
      </c>
      <c r="B5" s="220"/>
      <c r="C5" s="220"/>
      <c r="D5" s="27"/>
      <c r="E5" s="17"/>
      <c r="F5" s="16"/>
      <c r="G5" s="28"/>
    </row>
    <row r="6" spans="1:7" x14ac:dyDescent="0.3">
      <c r="A6" s="219" t="s">
        <v>400</v>
      </c>
      <c r="B6" s="220"/>
      <c r="C6" s="220"/>
      <c r="D6" s="27"/>
      <c r="E6" s="17"/>
      <c r="F6" s="16"/>
      <c r="G6" s="28"/>
    </row>
    <row r="7" spans="1:7" x14ac:dyDescent="0.3">
      <c r="A7" s="221" t="s">
        <v>973</v>
      </c>
      <c r="B7" s="222"/>
      <c r="C7" s="222"/>
      <c r="D7" s="29"/>
      <c r="E7" s="30"/>
      <c r="F7" s="31"/>
      <c r="G7" s="32"/>
    </row>
    <row r="8" spans="1:7" x14ac:dyDescent="0.3">
      <c r="A8" s="223"/>
      <c r="B8" s="224"/>
      <c r="C8" s="224"/>
      <c r="D8" s="18"/>
      <c r="E8" s="18"/>
    </row>
    <row r="9" spans="1:7" x14ac:dyDescent="0.3">
      <c r="A9" s="33"/>
      <c r="B9" s="33"/>
      <c r="C9" s="33"/>
      <c r="D9" s="34"/>
      <c r="E9" s="8"/>
      <c r="F9" s="19"/>
      <c r="G9" s="19"/>
    </row>
    <row r="10" spans="1:7" ht="26" x14ac:dyDescent="0.3">
      <c r="A10" s="35" t="s">
        <v>402</v>
      </c>
      <c r="B10" s="84" t="s">
        <v>403</v>
      </c>
      <c r="C10" s="36" t="s">
        <v>404</v>
      </c>
      <c r="D10" s="37" t="s">
        <v>405</v>
      </c>
      <c r="E10" s="38" t="s">
        <v>406</v>
      </c>
      <c r="F10" s="38" t="s">
        <v>27</v>
      </c>
      <c r="G10" s="84" t="s">
        <v>7</v>
      </c>
    </row>
    <row r="11" spans="1:7" ht="39" x14ac:dyDescent="0.3">
      <c r="A11" s="39" t="s">
        <v>974</v>
      </c>
      <c r="B11" s="40" t="s">
        <v>408</v>
      </c>
      <c r="C11" s="40" t="s">
        <v>409</v>
      </c>
      <c r="D11" s="41">
        <v>10000</v>
      </c>
      <c r="E11" s="42" t="s">
        <v>410</v>
      </c>
      <c r="F11" s="43">
        <v>0</v>
      </c>
      <c r="G11" s="44">
        <f>D11*F11</f>
        <v>0</v>
      </c>
    </row>
    <row r="12" spans="1:7" ht="39" x14ac:dyDescent="0.3">
      <c r="A12" s="39" t="s">
        <v>975</v>
      </c>
      <c r="B12" s="40" t="s">
        <v>412</v>
      </c>
      <c r="C12" s="40" t="s">
        <v>413</v>
      </c>
      <c r="D12" s="45">
        <v>500</v>
      </c>
      <c r="E12" s="46" t="s">
        <v>414</v>
      </c>
      <c r="F12" s="43">
        <v>0</v>
      </c>
      <c r="G12" s="44">
        <f t="shared" ref="G12:G75" si="0">D12*F12</f>
        <v>0</v>
      </c>
    </row>
    <row r="13" spans="1:7" ht="39" x14ac:dyDescent="0.3">
      <c r="A13" s="39" t="s">
        <v>976</v>
      </c>
      <c r="B13" s="40" t="s">
        <v>416</v>
      </c>
      <c r="C13" s="40" t="s">
        <v>417</v>
      </c>
      <c r="D13" s="45">
        <v>1000</v>
      </c>
      <c r="E13" s="46" t="s">
        <v>414</v>
      </c>
      <c r="F13" s="43">
        <v>0</v>
      </c>
      <c r="G13" s="44">
        <f t="shared" si="0"/>
        <v>0</v>
      </c>
    </row>
    <row r="14" spans="1:7" ht="26" x14ac:dyDescent="0.3">
      <c r="A14" s="39" t="s">
        <v>977</v>
      </c>
      <c r="B14" s="40" t="s">
        <v>419</v>
      </c>
      <c r="C14" s="40" t="s">
        <v>420</v>
      </c>
      <c r="D14" s="45">
        <v>50000</v>
      </c>
      <c r="E14" s="46" t="s">
        <v>421</v>
      </c>
      <c r="F14" s="43">
        <v>0</v>
      </c>
      <c r="G14" s="44">
        <f t="shared" si="0"/>
        <v>0</v>
      </c>
    </row>
    <row r="15" spans="1:7" ht="52" x14ac:dyDescent="0.3">
      <c r="A15" s="39" t="s">
        <v>978</v>
      </c>
      <c r="B15" s="40" t="s">
        <v>423</v>
      </c>
      <c r="C15" s="40" t="s">
        <v>424</v>
      </c>
      <c r="D15" s="45">
        <v>200000</v>
      </c>
      <c r="E15" s="46" t="s">
        <v>410</v>
      </c>
      <c r="F15" s="43">
        <v>0</v>
      </c>
      <c r="G15" s="44">
        <f t="shared" si="0"/>
        <v>0</v>
      </c>
    </row>
    <row r="16" spans="1:7" ht="91" x14ac:dyDescent="0.3">
      <c r="A16" s="39" t="s">
        <v>979</v>
      </c>
      <c r="B16" s="40" t="s">
        <v>426</v>
      </c>
      <c r="C16" s="40" t="s">
        <v>427</v>
      </c>
      <c r="D16" s="45">
        <v>100</v>
      </c>
      <c r="E16" s="46" t="s">
        <v>428</v>
      </c>
      <c r="F16" s="43">
        <v>0</v>
      </c>
      <c r="G16" s="44">
        <f t="shared" si="0"/>
        <v>0</v>
      </c>
    </row>
    <row r="17" spans="1:7" ht="91" x14ac:dyDescent="0.3">
      <c r="A17" s="39" t="s">
        <v>980</v>
      </c>
      <c r="B17" s="40" t="s">
        <v>430</v>
      </c>
      <c r="C17" s="40" t="s">
        <v>431</v>
      </c>
      <c r="D17" s="45">
        <v>100</v>
      </c>
      <c r="E17" s="46" t="s">
        <v>428</v>
      </c>
      <c r="F17" s="43">
        <v>0</v>
      </c>
      <c r="G17" s="44">
        <f t="shared" si="0"/>
        <v>0</v>
      </c>
    </row>
    <row r="18" spans="1:7" ht="91" x14ac:dyDescent="0.3">
      <c r="A18" s="39" t="s">
        <v>981</v>
      </c>
      <c r="B18" s="40" t="s">
        <v>433</v>
      </c>
      <c r="C18" s="40" t="s">
        <v>434</v>
      </c>
      <c r="D18" s="45">
        <v>100</v>
      </c>
      <c r="E18" s="46" t="s">
        <v>428</v>
      </c>
      <c r="F18" s="43">
        <v>0</v>
      </c>
      <c r="G18" s="44">
        <f t="shared" si="0"/>
        <v>0</v>
      </c>
    </row>
    <row r="19" spans="1:7" ht="65" x14ac:dyDescent="0.3">
      <c r="A19" s="39" t="s">
        <v>982</v>
      </c>
      <c r="B19" s="40" t="s">
        <v>436</v>
      </c>
      <c r="C19" s="40" t="s">
        <v>437</v>
      </c>
      <c r="D19" s="45">
        <v>100</v>
      </c>
      <c r="E19" s="46" t="s">
        <v>428</v>
      </c>
      <c r="F19" s="43">
        <v>0</v>
      </c>
      <c r="G19" s="44">
        <f t="shared" si="0"/>
        <v>0</v>
      </c>
    </row>
    <row r="20" spans="1:7" ht="91" x14ac:dyDescent="0.3">
      <c r="A20" s="39" t="s">
        <v>983</v>
      </c>
      <c r="B20" s="40" t="s">
        <v>439</v>
      </c>
      <c r="C20" s="40" t="s">
        <v>440</v>
      </c>
      <c r="D20" s="45">
        <v>200</v>
      </c>
      <c r="E20" s="46" t="s">
        <v>428</v>
      </c>
      <c r="F20" s="43">
        <v>0</v>
      </c>
      <c r="G20" s="44">
        <f t="shared" si="0"/>
        <v>0</v>
      </c>
    </row>
    <row r="21" spans="1:7" ht="91" x14ac:dyDescent="0.3">
      <c r="A21" s="39" t="s">
        <v>984</v>
      </c>
      <c r="B21" s="40" t="s">
        <v>442</v>
      </c>
      <c r="C21" s="40" t="s">
        <v>443</v>
      </c>
      <c r="D21" s="45">
        <v>200</v>
      </c>
      <c r="E21" s="46" t="s">
        <v>428</v>
      </c>
      <c r="F21" s="43">
        <v>0</v>
      </c>
      <c r="G21" s="44">
        <f t="shared" si="0"/>
        <v>0</v>
      </c>
    </row>
    <row r="22" spans="1:7" ht="91" x14ac:dyDescent="0.3">
      <c r="A22" s="39" t="s">
        <v>985</v>
      </c>
      <c r="B22" s="40" t="s">
        <v>445</v>
      </c>
      <c r="C22" s="40" t="s">
        <v>446</v>
      </c>
      <c r="D22" s="45">
        <v>25</v>
      </c>
      <c r="E22" s="46" t="s">
        <v>428</v>
      </c>
      <c r="F22" s="43">
        <v>0</v>
      </c>
      <c r="G22" s="44">
        <f t="shared" si="0"/>
        <v>0</v>
      </c>
    </row>
    <row r="23" spans="1:7" ht="91" x14ac:dyDescent="0.3">
      <c r="A23" s="39" t="s">
        <v>986</v>
      </c>
      <c r="B23" s="40" t="s">
        <v>448</v>
      </c>
      <c r="C23" s="40" t="s">
        <v>449</v>
      </c>
      <c r="D23" s="45">
        <v>25</v>
      </c>
      <c r="E23" s="46" t="s">
        <v>428</v>
      </c>
      <c r="F23" s="43">
        <v>0</v>
      </c>
      <c r="G23" s="44">
        <f t="shared" si="0"/>
        <v>0</v>
      </c>
    </row>
    <row r="24" spans="1:7" ht="65" x14ac:dyDescent="0.3">
      <c r="A24" s="39" t="s">
        <v>987</v>
      </c>
      <c r="B24" s="40" t="s">
        <v>451</v>
      </c>
      <c r="C24" s="40" t="s">
        <v>452</v>
      </c>
      <c r="D24" s="45">
        <v>10</v>
      </c>
      <c r="E24" s="46" t="s">
        <v>428</v>
      </c>
      <c r="F24" s="43">
        <v>0</v>
      </c>
      <c r="G24" s="44">
        <f t="shared" si="0"/>
        <v>0</v>
      </c>
    </row>
    <row r="25" spans="1:7" ht="195" x14ac:dyDescent="0.3">
      <c r="A25" s="39" t="s">
        <v>988</v>
      </c>
      <c r="B25" s="40" t="s">
        <v>454</v>
      </c>
      <c r="C25" s="40" t="s">
        <v>455</v>
      </c>
      <c r="D25" s="45">
        <v>50</v>
      </c>
      <c r="E25" s="46" t="s">
        <v>414</v>
      </c>
      <c r="F25" s="43">
        <v>0</v>
      </c>
      <c r="G25" s="44">
        <f t="shared" si="0"/>
        <v>0</v>
      </c>
    </row>
    <row r="26" spans="1:7" ht="169" x14ac:dyDescent="0.3">
      <c r="A26" s="39" t="s">
        <v>989</v>
      </c>
      <c r="B26" s="40" t="s">
        <v>457</v>
      </c>
      <c r="C26" s="40" t="s">
        <v>458</v>
      </c>
      <c r="D26" s="45">
        <v>50</v>
      </c>
      <c r="E26" s="46" t="s">
        <v>428</v>
      </c>
      <c r="F26" s="43">
        <v>0</v>
      </c>
      <c r="G26" s="44">
        <f t="shared" si="0"/>
        <v>0</v>
      </c>
    </row>
    <row r="27" spans="1:7" ht="169" x14ac:dyDescent="0.3">
      <c r="A27" s="39" t="s">
        <v>990</v>
      </c>
      <c r="B27" s="40" t="s">
        <v>460</v>
      </c>
      <c r="C27" s="40" t="s">
        <v>458</v>
      </c>
      <c r="D27" s="45">
        <v>60</v>
      </c>
      <c r="E27" s="46" t="s">
        <v>428</v>
      </c>
      <c r="F27" s="43">
        <v>0</v>
      </c>
      <c r="G27" s="44">
        <f t="shared" si="0"/>
        <v>0</v>
      </c>
    </row>
    <row r="28" spans="1:7" ht="169" x14ac:dyDescent="0.3">
      <c r="A28" s="39" t="s">
        <v>991</v>
      </c>
      <c r="B28" s="40" t="s">
        <v>462</v>
      </c>
      <c r="C28" s="40" t="s">
        <v>463</v>
      </c>
      <c r="D28" s="45">
        <v>15</v>
      </c>
      <c r="E28" s="46" t="s">
        <v>428</v>
      </c>
      <c r="F28" s="43">
        <v>0</v>
      </c>
      <c r="G28" s="44">
        <f t="shared" si="0"/>
        <v>0</v>
      </c>
    </row>
    <row r="29" spans="1:7" ht="182" x14ac:dyDescent="0.3">
      <c r="A29" s="39" t="s">
        <v>992</v>
      </c>
      <c r="B29" s="40" t="s">
        <v>465</v>
      </c>
      <c r="C29" s="40" t="s">
        <v>466</v>
      </c>
      <c r="D29" s="45">
        <v>5000</v>
      </c>
      <c r="E29" s="46" t="s">
        <v>428</v>
      </c>
      <c r="F29" s="43">
        <v>0</v>
      </c>
      <c r="G29" s="44">
        <f t="shared" si="0"/>
        <v>0</v>
      </c>
    </row>
    <row r="30" spans="1:7" ht="156" x14ac:dyDescent="0.3">
      <c r="A30" s="39" t="s">
        <v>993</v>
      </c>
      <c r="B30" s="40" t="s">
        <v>468</v>
      </c>
      <c r="C30" s="40" t="s">
        <v>469</v>
      </c>
      <c r="D30" s="45">
        <v>1000</v>
      </c>
      <c r="E30" s="46" t="s">
        <v>410</v>
      </c>
      <c r="F30" s="43">
        <v>0</v>
      </c>
      <c r="G30" s="44">
        <f t="shared" si="0"/>
        <v>0</v>
      </c>
    </row>
    <row r="31" spans="1:7" ht="143" x14ac:dyDescent="0.3">
      <c r="A31" s="39" t="s">
        <v>994</v>
      </c>
      <c r="B31" s="40" t="s">
        <v>471</v>
      </c>
      <c r="C31" s="40" t="s">
        <v>472</v>
      </c>
      <c r="D31" s="45">
        <v>850</v>
      </c>
      <c r="E31" s="46" t="s">
        <v>410</v>
      </c>
      <c r="F31" s="43">
        <v>0</v>
      </c>
      <c r="G31" s="44">
        <f t="shared" si="0"/>
        <v>0</v>
      </c>
    </row>
    <row r="32" spans="1:7" ht="78" x14ac:dyDescent="0.3">
      <c r="A32" s="39" t="s">
        <v>995</v>
      </c>
      <c r="B32" s="40" t="s">
        <v>474</v>
      </c>
      <c r="C32" s="40" t="s">
        <v>475</v>
      </c>
      <c r="D32" s="45">
        <v>25</v>
      </c>
      <c r="E32" s="46" t="s">
        <v>414</v>
      </c>
      <c r="F32" s="43">
        <v>0</v>
      </c>
      <c r="G32" s="44">
        <f t="shared" si="0"/>
        <v>0</v>
      </c>
    </row>
    <row r="33" spans="1:7" ht="78" x14ac:dyDescent="0.3">
      <c r="A33" s="39" t="s">
        <v>996</v>
      </c>
      <c r="B33" s="40" t="s">
        <v>477</v>
      </c>
      <c r="C33" s="40" t="s">
        <v>478</v>
      </c>
      <c r="D33" s="45">
        <v>50</v>
      </c>
      <c r="E33" s="46" t="s">
        <v>428</v>
      </c>
      <c r="F33" s="43">
        <v>0</v>
      </c>
      <c r="G33" s="44">
        <f t="shared" si="0"/>
        <v>0</v>
      </c>
    </row>
    <row r="34" spans="1:7" ht="91" x14ac:dyDescent="0.3">
      <c r="A34" s="39" t="s">
        <v>997</v>
      </c>
      <c r="B34" s="40" t="s">
        <v>480</v>
      </c>
      <c r="C34" s="40" t="s">
        <v>481</v>
      </c>
      <c r="D34" s="45">
        <v>5000</v>
      </c>
      <c r="E34" s="46" t="s">
        <v>410</v>
      </c>
      <c r="F34" s="43">
        <v>0</v>
      </c>
      <c r="G34" s="44">
        <f t="shared" si="0"/>
        <v>0</v>
      </c>
    </row>
    <row r="35" spans="1:7" ht="91" x14ac:dyDescent="0.3">
      <c r="A35" s="39" t="s">
        <v>998</v>
      </c>
      <c r="B35" s="40" t="s">
        <v>483</v>
      </c>
      <c r="C35" s="40" t="s">
        <v>481</v>
      </c>
      <c r="D35" s="45">
        <v>100</v>
      </c>
      <c r="E35" s="46" t="s">
        <v>428</v>
      </c>
      <c r="F35" s="43">
        <v>0</v>
      </c>
      <c r="G35" s="44">
        <f t="shared" si="0"/>
        <v>0</v>
      </c>
    </row>
    <row r="36" spans="1:7" ht="52" x14ac:dyDescent="0.3">
      <c r="A36" s="39" t="s">
        <v>999</v>
      </c>
      <c r="B36" s="40" t="s">
        <v>485</v>
      </c>
      <c r="C36" s="40" t="s">
        <v>486</v>
      </c>
      <c r="D36" s="45">
        <v>50</v>
      </c>
      <c r="E36" s="46" t="s">
        <v>414</v>
      </c>
      <c r="F36" s="43">
        <v>0</v>
      </c>
      <c r="G36" s="44">
        <f t="shared" si="0"/>
        <v>0</v>
      </c>
    </row>
    <row r="37" spans="1:7" ht="26" x14ac:dyDescent="0.3">
      <c r="A37" s="39" t="s">
        <v>1000</v>
      </c>
      <c r="B37" s="40" t="s">
        <v>488</v>
      </c>
      <c r="C37" s="40" t="s">
        <v>489</v>
      </c>
      <c r="D37" s="45">
        <v>50</v>
      </c>
      <c r="E37" s="46" t="s">
        <v>414</v>
      </c>
      <c r="F37" s="43">
        <v>0</v>
      </c>
      <c r="G37" s="44">
        <f t="shared" si="0"/>
        <v>0</v>
      </c>
    </row>
    <row r="38" spans="1:7" ht="91" x14ac:dyDescent="0.3">
      <c r="A38" s="39" t="s">
        <v>1001</v>
      </c>
      <c r="B38" s="40" t="s">
        <v>491</v>
      </c>
      <c r="C38" s="40" t="s">
        <v>492</v>
      </c>
      <c r="D38" s="45">
        <v>100</v>
      </c>
      <c r="E38" s="46" t="s">
        <v>428</v>
      </c>
      <c r="F38" s="43">
        <v>0</v>
      </c>
      <c r="G38" s="44">
        <f t="shared" si="0"/>
        <v>0</v>
      </c>
    </row>
    <row r="39" spans="1:7" ht="91" x14ac:dyDescent="0.3">
      <c r="A39" s="39" t="s">
        <v>1002</v>
      </c>
      <c r="B39" s="40" t="s">
        <v>494</v>
      </c>
      <c r="C39" s="40" t="s">
        <v>495</v>
      </c>
      <c r="D39" s="45">
        <v>1000</v>
      </c>
      <c r="E39" s="46" t="s">
        <v>421</v>
      </c>
      <c r="F39" s="43">
        <v>0</v>
      </c>
      <c r="G39" s="44">
        <f t="shared" si="0"/>
        <v>0</v>
      </c>
    </row>
    <row r="40" spans="1:7" ht="91" x14ac:dyDescent="0.3">
      <c r="A40" s="39" t="s">
        <v>1003</v>
      </c>
      <c r="B40" s="40" t="s">
        <v>497</v>
      </c>
      <c r="C40" s="40" t="s">
        <v>498</v>
      </c>
      <c r="D40" s="45">
        <v>100</v>
      </c>
      <c r="E40" s="46" t="s">
        <v>499</v>
      </c>
      <c r="F40" s="43">
        <v>0</v>
      </c>
      <c r="G40" s="44">
        <f t="shared" si="0"/>
        <v>0</v>
      </c>
    </row>
    <row r="41" spans="1:7" ht="26" x14ac:dyDescent="0.3">
      <c r="A41" s="39" t="s">
        <v>1004</v>
      </c>
      <c r="B41" s="40" t="s">
        <v>501</v>
      </c>
      <c r="C41" s="40" t="s">
        <v>502</v>
      </c>
      <c r="D41" s="45">
        <v>3000</v>
      </c>
      <c r="E41" s="46" t="s">
        <v>410</v>
      </c>
      <c r="F41" s="43">
        <v>0</v>
      </c>
      <c r="G41" s="44">
        <f t="shared" si="0"/>
        <v>0</v>
      </c>
    </row>
    <row r="42" spans="1:7" ht="52" x14ac:dyDescent="0.3">
      <c r="A42" s="39" t="s">
        <v>1005</v>
      </c>
      <c r="B42" s="40" t="s">
        <v>504</v>
      </c>
      <c r="C42" s="40" t="s">
        <v>505</v>
      </c>
      <c r="D42" s="45">
        <v>125</v>
      </c>
      <c r="E42" s="46" t="s">
        <v>499</v>
      </c>
      <c r="F42" s="43">
        <v>0</v>
      </c>
      <c r="G42" s="44">
        <f t="shared" si="0"/>
        <v>0</v>
      </c>
    </row>
    <row r="43" spans="1:7" ht="130" x14ac:dyDescent="0.3">
      <c r="A43" s="39" t="s">
        <v>1006</v>
      </c>
      <c r="B43" s="40" t="s">
        <v>507</v>
      </c>
      <c r="C43" s="40" t="s">
        <v>508</v>
      </c>
      <c r="D43" s="45">
        <v>8500</v>
      </c>
      <c r="E43" s="46" t="s">
        <v>410</v>
      </c>
      <c r="F43" s="43">
        <v>0</v>
      </c>
      <c r="G43" s="44">
        <f t="shared" si="0"/>
        <v>0</v>
      </c>
    </row>
    <row r="44" spans="1:7" ht="65" x14ac:dyDescent="0.3">
      <c r="A44" s="39" t="s">
        <v>1007</v>
      </c>
      <c r="B44" s="40" t="s">
        <v>510</v>
      </c>
      <c r="C44" s="40" t="s">
        <v>511</v>
      </c>
      <c r="D44" s="45">
        <v>50</v>
      </c>
      <c r="E44" s="46" t="s">
        <v>414</v>
      </c>
      <c r="F44" s="43">
        <v>0</v>
      </c>
      <c r="G44" s="44">
        <f t="shared" si="0"/>
        <v>0</v>
      </c>
    </row>
    <row r="45" spans="1:7" ht="195" x14ac:dyDescent="0.3">
      <c r="A45" s="39" t="s">
        <v>1008</v>
      </c>
      <c r="B45" s="40" t="s">
        <v>513</v>
      </c>
      <c r="C45" s="40" t="s">
        <v>514</v>
      </c>
      <c r="D45" s="45">
        <v>200</v>
      </c>
      <c r="E45" s="46" t="s">
        <v>515</v>
      </c>
      <c r="F45" s="43">
        <v>0</v>
      </c>
      <c r="G45" s="44">
        <f t="shared" si="0"/>
        <v>0</v>
      </c>
    </row>
    <row r="46" spans="1:7" ht="104" x14ac:dyDescent="0.3">
      <c r="A46" s="39" t="s">
        <v>1009</v>
      </c>
      <c r="B46" s="40" t="s">
        <v>517</v>
      </c>
      <c r="C46" s="40" t="s">
        <v>518</v>
      </c>
      <c r="D46" s="45">
        <v>10000</v>
      </c>
      <c r="E46" s="46" t="s">
        <v>421</v>
      </c>
      <c r="F46" s="43">
        <v>0</v>
      </c>
      <c r="G46" s="44">
        <f t="shared" si="0"/>
        <v>0</v>
      </c>
    </row>
    <row r="47" spans="1:7" ht="104" x14ac:dyDescent="0.3">
      <c r="A47" s="39" t="s">
        <v>1010</v>
      </c>
      <c r="B47" s="40" t="s">
        <v>520</v>
      </c>
      <c r="C47" s="40" t="s">
        <v>521</v>
      </c>
      <c r="D47" s="45">
        <v>10000</v>
      </c>
      <c r="E47" s="46" t="s">
        <v>421</v>
      </c>
      <c r="F47" s="43">
        <v>0</v>
      </c>
      <c r="G47" s="44">
        <f t="shared" si="0"/>
        <v>0</v>
      </c>
    </row>
    <row r="48" spans="1:7" ht="104" x14ac:dyDescent="0.3">
      <c r="A48" s="39" t="s">
        <v>1011</v>
      </c>
      <c r="B48" s="40" t="s">
        <v>523</v>
      </c>
      <c r="C48" s="40" t="s">
        <v>521</v>
      </c>
      <c r="D48" s="45">
        <v>4000</v>
      </c>
      <c r="E48" s="46" t="s">
        <v>421</v>
      </c>
      <c r="F48" s="43">
        <v>0</v>
      </c>
      <c r="G48" s="44">
        <f t="shared" si="0"/>
        <v>0</v>
      </c>
    </row>
    <row r="49" spans="1:7" ht="130" x14ac:dyDescent="0.3">
      <c r="A49" s="39" t="s">
        <v>1012</v>
      </c>
      <c r="B49" s="40" t="s">
        <v>525</v>
      </c>
      <c r="C49" s="40" t="s">
        <v>526</v>
      </c>
      <c r="D49" s="45">
        <v>10000</v>
      </c>
      <c r="E49" s="46" t="s">
        <v>421</v>
      </c>
      <c r="F49" s="43">
        <v>0</v>
      </c>
      <c r="G49" s="44">
        <f t="shared" si="0"/>
        <v>0</v>
      </c>
    </row>
    <row r="50" spans="1:7" ht="78" x14ac:dyDescent="0.3">
      <c r="A50" s="39" t="s">
        <v>1013</v>
      </c>
      <c r="B50" s="40" t="s">
        <v>528</v>
      </c>
      <c r="C50" s="40" t="s">
        <v>529</v>
      </c>
      <c r="D50" s="45">
        <v>5000</v>
      </c>
      <c r="E50" s="46" t="s">
        <v>421</v>
      </c>
      <c r="F50" s="43">
        <v>0</v>
      </c>
      <c r="G50" s="44">
        <f t="shared" si="0"/>
        <v>0</v>
      </c>
    </row>
    <row r="51" spans="1:7" ht="104" x14ac:dyDescent="0.3">
      <c r="A51" s="39" t="s">
        <v>1014</v>
      </c>
      <c r="B51" s="40" t="s">
        <v>531</v>
      </c>
      <c r="C51" s="40" t="s">
        <v>532</v>
      </c>
      <c r="D51" s="45">
        <v>5000</v>
      </c>
      <c r="E51" s="46" t="s">
        <v>421</v>
      </c>
      <c r="F51" s="43">
        <v>0</v>
      </c>
      <c r="G51" s="44">
        <f t="shared" si="0"/>
        <v>0</v>
      </c>
    </row>
    <row r="52" spans="1:7" ht="104" x14ac:dyDescent="0.3">
      <c r="A52" s="39" t="s">
        <v>1015</v>
      </c>
      <c r="B52" s="40" t="s">
        <v>534</v>
      </c>
      <c r="C52" s="40" t="s">
        <v>535</v>
      </c>
      <c r="D52" s="45">
        <v>10</v>
      </c>
      <c r="E52" s="46" t="s">
        <v>428</v>
      </c>
      <c r="F52" s="43">
        <v>0</v>
      </c>
      <c r="G52" s="44">
        <f t="shared" si="0"/>
        <v>0</v>
      </c>
    </row>
    <row r="53" spans="1:7" ht="117" x14ac:dyDescent="0.3">
      <c r="A53" s="39" t="s">
        <v>1016</v>
      </c>
      <c r="B53" s="40" t="s">
        <v>537</v>
      </c>
      <c r="C53" s="40" t="s">
        <v>538</v>
      </c>
      <c r="D53" s="45">
        <v>5000</v>
      </c>
      <c r="E53" s="46" t="s">
        <v>421</v>
      </c>
      <c r="F53" s="43">
        <v>0</v>
      </c>
      <c r="G53" s="44">
        <f t="shared" si="0"/>
        <v>0</v>
      </c>
    </row>
    <row r="54" spans="1:7" ht="39" x14ac:dyDescent="0.3">
      <c r="A54" s="39" t="s">
        <v>1017</v>
      </c>
      <c r="B54" s="40" t="s">
        <v>540</v>
      </c>
      <c r="C54" s="40" t="s">
        <v>541</v>
      </c>
      <c r="D54" s="45">
        <v>50</v>
      </c>
      <c r="E54" s="46" t="s">
        <v>428</v>
      </c>
      <c r="F54" s="43">
        <v>0</v>
      </c>
      <c r="G54" s="44">
        <f t="shared" si="0"/>
        <v>0</v>
      </c>
    </row>
    <row r="55" spans="1:7" ht="65" x14ac:dyDescent="0.3">
      <c r="A55" s="39" t="s">
        <v>1018</v>
      </c>
      <c r="B55" s="40" t="s">
        <v>543</v>
      </c>
      <c r="C55" s="40" t="s">
        <v>544</v>
      </c>
      <c r="D55" s="45">
        <v>100</v>
      </c>
      <c r="E55" s="46" t="s">
        <v>428</v>
      </c>
      <c r="F55" s="43">
        <v>0</v>
      </c>
      <c r="G55" s="44">
        <f t="shared" si="0"/>
        <v>0</v>
      </c>
    </row>
    <row r="56" spans="1:7" ht="130" x14ac:dyDescent="0.3">
      <c r="A56" s="39" t="s">
        <v>1019</v>
      </c>
      <c r="B56" s="40" t="s">
        <v>546</v>
      </c>
      <c r="C56" s="40" t="s">
        <v>547</v>
      </c>
      <c r="D56" s="45">
        <v>10000</v>
      </c>
      <c r="E56" s="46" t="s">
        <v>548</v>
      </c>
      <c r="F56" s="43">
        <v>0</v>
      </c>
      <c r="G56" s="44">
        <f t="shared" si="0"/>
        <v>0</v>
      </c>
    </row>
    <row r="57" spans="1:7" ht="104" x14ac:dyDescent="0.3">
      <c r="A57" s="39" t="s">
        <v>1020</v>
      </c>
      <c r="B57" s="40" t="s">
        <v>550</v>
      </c>
      <c r="C57" s="40" t="s">
        <v>551</v>
      </c>
      <c r="D57" s="45">
        <v>10</v>
      </c>
      <c r="E57" s="46" t="s">
        <v>428</v>
      </c>
      <c r="F57" s="43">
        <v>0</v>
      </c>
      <c r="G57" s="44">
        <f t="shared" si="0"/>
        <v>0</v>
      </c>
    </row>
    <row r="58" spans="1:7" ht="91" x14ac:dyDescent="0.3">
      <c r="A58" s="39" t="s">
        <v>1021</v>
      </c>
      <c r="B58" s="40" t="s">
        <v>553</v>
      </c>
      <c r="C58" s="40" t="s">
        <v>554</v>
      </c>
      <c r="D58" s="45">
        <v>2000</v>
      </c>
      <c r="E58" s="46" t="s">
        <v>548</v>
      </c>
      <c r="F58" s="43">
        <v>0</v>
      </c>
      <c r="G58" s="44">
        <f t="shared" si="0"/>
        <v>0</v>
      </c>
    </row>
    <row r="59" spans="1:7" ht="78" x14ac:dyDescent="0.3">
      <c r="A59" s="39" t="s">
        <v>1022</v>
      </c>
      <c r="B59" s="40" t="s">
        <v>556</v>
      </c>
      <c r="C59" s="40" t="s">
        <v>557</v>
      </c>
      <c r="D59" s="45">
        <v>9</v>
      </c>
      <c r="E59" s="46" t="s">
        <v>558</v>
      </c>
      <c r="F59" s="43">
        <v>0</v>
      </c>
      <c r="G59" s="44">
        <f t="shared" si="0"/>
        <v>0</v>
      </c>
    </row>
    <row r="60" spans="1:7" ht="65" x14ac:dyDescent="0.3">
      <c r="A60" s="39" t="s">
        <v>1023</v>
      </c>
      <c r="B60" s="40" t="s">
        <v>560</v>
      </c>
      <c r="C60" s="40" t="s">
        <v>561</v>
      </c>
      <c r="D60" s="45">
        <v>9</v>
      </c>
      <c r="E60" s="46" t="s">
        <v>558</v>
      </c>
      <c r="F60" s="43">
        <v>0</v>
      </c>
      <c r="G60" s="44">
        <f t="shared" si="0"/>
        <v>0</v>
      </c>
    </row>
    <row r="61" spans="1:7" ht="78" x14ac:dyDescent="0.3">
      <c r="A61" s="39" t="s">
        <v>1024</v>
      </c>
      <c r="B61" s="40" t="s">
        <v>563</v>
      </c>
      <c r="C61" s="40" t="s">
        <v>564</v>
      </c>
      <c r="D61" s="45">
        <v>25000</v>
      </c>
      <c r="E61" s="46" t="s">
        <v>548</v>
      </c>
      <c r="F61" s="43">
        <v>0</v>
      </c>
      <c r="G61" s="44">
        <f t="shared" si="0"/>
        <v>0</v>
      </c>
    </row>
    <row r="62" spans="1:7" ht="65.25" customHeight="1" x14ac:dyDescent="0.3">
      <c r="A62" s="39" t="s">
        <v>1025</v>
      </c>
      <c r="B62" s="40" t="s">
        <v>566</v>
      </c>
      <c r="C62" s="40" t="s">
        <v>567</v>
      </c>
      <c r="D62" s="45">
        <v>25000</v>
      </c>
      <c r="E62" s="46" t="s">
        <v>548</v>
      </c>
      <c r="F62" s="43">
        <v>0</v>
      </c>
      <c r="G62" s="44">
        <f t="shared" si="0"/>
        <v>0</v>
      </c>
    </row>
    <row r="63" spans="1:7" ht="52" x14ac:dyDescent="0.3">
      <c r="A63" s="39" t="s">
        <v>1026</v>
      </c>
      <c r="B63" s="40" t="s">
        <v>569</v>
      </c>
      <c r="C63" s="40" t="s">
        <v>570</v>
      </c>
      <c r="D63" s="45">
        <v>200000</v>
      </c>
      <c r="E63" s="46" t="s">
        <v>548</v>
      </c>
      <c r="F63" s="43">
        <v>0</v>
      </c>
      <c r="G63" s="44">
        <f t="shared" si="0"/>
        <v>0</v>
      </c>
    </row>
    <row r="64" spans="1:7" ht="65" x14ac:dyDescent="0.3">
      <c r="A64" s="39" t="s">
        <v>1027</v>
      </c>
      <c r="B64" s="40" t="s">
        <v>572</v>
      </c>
      <c r="C64" s="40" t="s">
        <v>573</v>
      </c>
      <c r="D64" s="45">
        <v>800000</v>
      </c>
      <c r="E64" s="46" t="s">
        <v>548</v>
      </c>
      <c r="F64" s="43">
        <v>0</v>
      </c>
      <c r="G64" s="44">
        <f t="shared" si="0"/>
        <v>0</v>
      </c>
    </row>
    <row r="65" spans="1:7" ht="65" x14ac:dyDescent="0.3">
      <c r="A65" s="39" t="s">
        <v>1028</v>
      </c>
      <c r="B65" s="40" t="s">
        <v>575</v>
      </c>
      <c r="C65" s="40" t="s">
        <v>576</v>
      </c>
      <c r="D65" s="45">
        <v>20000</v>
      </c>
      <c r="E65" s="46" t="s">
        <v>548</v>
      </c>
      <c r="F65" s="43">
        <v>0</v>
      </c>
      <c r="G65" s="44">
        <f t="shared" si="0"/>
        <v>0</v>
      </c>
    </row>
    <row r="66" spans="1:7" ht="39" x14ac:dyDescent="0.3">
      <c r="A66" s="39" t="s">
        <v>1029</v>
      </c>
      <c r="B66" s="40" t="s">
        <v>578</v>
      </c>
      <c r="C66" s="40" t="s">
        <v>579</v>
      </c>
      <c r="D66" s="45">
        <v>10000</v>
      </c>
      <c r="E66" s="46" t="s">
        <v>548</v>
      </c>
      <c r="F66" s="43">
        <v>0</v>
      </c>
      <c r="G66" s="44">
        <f t="shared" si="0"/>
        <v>0</v>
      </c>
    </row>
    <row r="67" spans="1:7" ht="52" x14ac:dyDescent="0.3">
      <c r="A67" s="39" t="s">
        <v>1030</v>
      </c>
      <c r="B67" s="40" t="s">
        <v>581</v>
      </c>
      <c r="C67" s="40" t="s">
        <v>582</v>
      </c>
      <c r="D67" s="45">
        <v>500</v>
      </c>
      <c r="E67" s="46" t="s">
        <v>583</v>
      </c>
      <c r="F67" s="43">
        <v>0</v>
      </c>
      <c r="G67" s="44">
        <f t="shared" si="0"/>
        <v>0</v>
      </c>
    </row>
    <row r="68" spans="1:7" ht="52" x14ac:dyDescent="0.3">
      <c r="A68" s="39" t="s">
        <v>1031</v>
      </c>
      <c r="B68" s="40" t="s">
        <v>585</v>
      </c>
      <c r="C68" s="40" t="s">
        <v>586</v>
      </c>
      <c r="D68" s="45">
        <v>100</v>
      </c>
      <c r="E68" s="46" t="s">
        <v>583</v>
      </c>
      <c r="F68" s="43">
        <v>0</v>
      </c>
      <c r="G68" s="44">
        <f t="shared" si="0"/>
        <v>0</v>
      </c>
    </row>
    <row r="69" spans="1:7" ht="78" x14ac:dyDescent="0.3">
      <c r="A69" s="39" t="s">
        <v>1032</v>
      </c>
      <c r="B69" s="40" t="s">
        <v>588</v>
      </c>
      <c r="C69" s="40" t="s">
        <v>589</v>
      </c>
      <c r="D69" s="45">
        <v>100</v>
      </c>
      <c r="E69" s="46" t="s">
        <v>583</v>
      </c>
      <c r="F69" s="43">
        <v>0</v>
      </c>
      <c r="G69" s="44">
        <f t="shared" si="0"/>
        <v>0</v>
      </c>
    </row>
    <row r="70" spans="1:7" ht="26" x14ac:dyDescent="0.3">
      <c r="A70" s="39" t="s">
        <v>1033</v>
      </c>
      <c r="B70" s="40" t="s">
        <v>591</v>
      </c>
      <c r="C70" s="40" t="s">
        <v>592</v>
      </c>
      <c r="D70" s="45">
        <v>10000</v>
      </c>
      <c r="E70" s="46" t="s">
        <v>583</v>
      </c>
      <c r="F70" s="43">
        <v>0</v>
      </c>
      <c r="G70" s="44">
        <f t="shared" si="0"/>
        <v>0</v>
      </c>
    </row>
    <row r="71" spans="1:7" ht="260" x14ac:dyDescent="0.3">
      <c r="A71" s="39" t="s">
        <v>1034</v>
      </c>
      <c r="B71" s="12" t="s">
        <v>594</v>
      </c>
      <c r="C71" s="12" t="s">
        <v>595</v>
      </c>
      <c r="D71" s="45">
        <v>4</v>
      </c>
      <c r="E71" s="46" t="s">
        <v>428</v>
      </c>
      <c r="F71" s="43">
        <v>0</v>
      </c>
      <c r="G71" s="44">
        <f t="shared" si="0"/>
        <v>0</v>
      </c>
    </row>
    <row r="72" spans="1:7" ht="104" x14ac:dyDescent="0.3">
      <c r="A72" s="39" t="s">
        <v>1035</v>
      </c>
      <c r="B72" s="12" t="s">
        <v>597</v>
      </c>
      <c r="C72" s="4" t="s">
        <v>598</v>
      </c>
      <c r="D72" s="45">
        <v>4</v>
      </c>
      <c r="E72" s="46" t="s">
        <v>428</v>
      </c>
      <c r="F72" s="43">
        <v>0</v>
      </c>
      <c r="G72" s="44">
        <f t="shared" si="0"/>
        <v>0</v>
      </c>
    </row>
    <row r="73" spans="1:7" ht="91" x14ac:dyDescent="0.3">
      <c r="A73" s="39" t="s">
        <v>1036</v>
      </c>
      <c r="B73" s="12" t="s">
        <v>600</v>
      </c>
      <c r="C73" s="47" t="s">
        <v>601</v>
      </c>
      <c r="D73" s="45">
        <v>4</v>
      </c>
      <c r="E73" s="46" t="s">
        <v>428</v>
      </c>
      <c r="F73" s="43">
        <v>0</v>
      </c>
      <c r="G73" s="44">
        <f t="shared" si="0"/>
        <v>0</v>
      </c>
    </row>
    <row r="74" spans="1:7" ht="78" x14ac:dyDescent="0.3">
      <c r="A74" s="39" t="s">
        <v>1037</v>
      </c>
      <c r="B74" s="12" t="s">
        <v>603</v>
      </c>
      <c r="C74" s="12" t="s">
        <v>604</v>
      </c>
      <c r="D74" s="45">
        <v>4</v>
      </c>
      <c r="E74" s="46" t="s">
        <v>428</v>
      </c>
      <c r="F74" s="43">
        <v>0</v>
      </c>
      <c r="G74" s="44">
        <f t="shared" si="0"/>
        <v>0</v>
      </c>
    </row>
    <row r="75" spans="1:7" ht="78" x14ac:dyDescent="0.3">
      <c r="A75" s="39" t="s">
        <v>1038</v>
      </c>
      <c r="B75" s="12" t="s">
        <v>606</v>
      </c>
      <c r="C75" s="12" t="s">
        <v>607</v>
      </c>
      <c r="D75" s="45">
        <v>4</v>
      </c>
      <c r="E75" s="46" t="s">
        <v>428</v>
      </c>
      <c r="F75" s="43">
        <v>0</v>
      </c>
      <c r="G75" s="44">
        <f t="shared" si="0"/>
        <v>0</v>
      </c>
    </row>
    <row r="76" spans="1:7" ht="65" x14ac:dyDescent="0.3">
      <c r="A76" s="39" t="s">
        <v>1039</v>
      </c>
      <c r="B76" s="12" t="s">
        <v>609</v>
      </c>
      <c r="C76" s="12" t="s">
        <v>610</v>
      </c>
      <c r="D76" s="45">
        <v>2</v>
      </c>
      <c r="E76" s="46" t="s">
        <v>428</v>
      </c>
      <c r="F76" s="43">
        <v>0</v>
      </c>
      <c r="G76" s="44">
        <f t="shared" ref="G76:G135" si="1">D76*F76</f>
        <v>0</v>
      </c>
    </row>
    <row r="77" spans="1:7" ht="65" x14ac:dyDescent="0.3">
      <c r="A77" s="39" t="s">
        <v>1040</v>
      </c>
      <c r="B77" s="12" t="s">
        <v>612</v>
      </c>
      <c r="C77" s="12" t="s">
        <v>613</v>
      </c>
      <c r="D77" s="45">
        <v>1</v>
      </c>
      <c r="E77" s="46" t="s">
        <v>428</v>
      </c>
      <c r="F77" s="43">
        <v>0</v>
      </c>
      <c r="G77" s="44">
        <f t="shared" si="1"/>
        <v>0</v>
      </c>
    </row>
    <row r="78" spans="1:7" ht="260" x14ac:dyDescent="0.3">
      <c r="A78" s="39" t="s">
        <v>1041</v>
      </c>
      <c r="B78" s="12" t="s">
        <v>615</v>
      </c>
      <c r="C78" s="12" t="s">
        <v>595</v>
      </c>
      <c r="D78" s="45">
        <v>4</v>
      </c>
      <c r="E78" s="46" t="s">
        <v>428</v>
      </c>
      <c r="F78" s="43">
        <v>0</v>
      </c>
      <c r="G78" s="44">
        <f t="shared" si="1"/>
        <v>0</v>
      </c>
    </row>
    <row r="79" spans="1:7" ht="104" x14ac:dyDescent="0.3">
      <c r="A79" s="39" t="s">
        <v>1042</v>
      </c>
      <c r="B79" s="12" t="s">
        <v>617</v>
      </c>
      <c r="C79" s="4" t="s">
        <v>598</v>
      </c>
      <c r="D79" s="45">
        <v>4</v>
      </c>
      <c r="E79" s="46" t="s">
        <v>428</v>
      </c>
      <c r="F79" s="43">
        <v>0</v>
      </c>
      <c r="G79" s="44">
        <f t="shared" si="1"/>
        <v>0</v>
      </c>
    </row>
    <row r="80" spans="1:7" ht="91" x14ac:dyDescent="0.3">
      <c r="A80" s="39" t="s">
        <v>1043</v>
      </c>
      <c r="B80" s="12" t="s">
        <v>619</v>
      </c>
      <c r="C80" s="47" t="s">
        <v>601</v>
      </c>
      <c r="D80" s="45">
        <v>4</v>
      </c>
      <c r="E80" s="46" t="s">
        <v>428</v>
      </c>
      <c r="F80" s="43">
        <v>0</v>
      </c>
      <c r="G80" s="44">
        <f t="shared" si="1"/>
        <v>0</v>
      </c>
    </row>
    <row r="81" spans="1:7" ht="78" x14ac:dyDescent="0.3">
      <c r="A81" s="39" t="s">
        <v>1044</v>
      </c>
      <c r="B81" s="12" t="s">
        <v>621</v>
      </c>
      <c r="C81" s="12" t="s">
        <v>604</v>
      </c>
      <c r="D81" s="45">
        <v>4</v>
      </c>
      <c r="E81" s="46" t="s">
        <v>428</v>
      </c>
      <c r="F81" s="43">
        <v>0</v>
      </c>
      <c r="G81" s="44">
        <f t="shared" si="1"/>
        <v>0</v>
      </c>
    </row>
    <row r="82" spans="1:7" ht="78" x14ac:dyDescent="0.3">
      <c r="A82" s="39" t="s">
        <v>1045</v>
      </c>
      <c r="B82" s="12" t="s">
        <v>623</v>
      </c>
      <c r="C82" s="12" t="s">
        <v>607</v>
      </c>
      <c r="D82" s="45">
        <v>4</v>
      </c>
      <c r="E82" s="46" t="s">
        <v>428</v>
      </c>
      <c r="F82" s="43">
        <v>0</v>
      </c>
      <c r="G82" s="44">
        <f t="shared" si="1"/>
        <v>0</v>
      </c>
    </row>
    <row r="83" spans="1:7" ht="65" x14ac:dyDescent="0.3">
      <c r="A83" s="39" t="s">
        <v>1046</v>
      </c>
      <c r="B83" s="12" t="s">
        <v>625</v>
      </c>
      <c r="C83" s="12" t="s">
        <v>610</v>
      </c>
      <c r="D83" s="45">
        <v>2</v>
      </c>
      <c r="E83" s="46" t="s">
        <v>428</v>
      </c>
      <c r="F83" s="43">
        <v>0</v>
      </c>
      <c r="G83" s="44">
        <f t="shared" si="1"/>
        <v>0</v>
      </c>
    </row>
    <row r="84" spans="1:7" ht="65" x14ac:dyDescent="0.3">
      <c r="A84" s="39" t="s">
        <v>1047</v>
      </c>
      <c r="B84" s="12" t="s">
        <v>627</v>
      </c>
      <c r="C84" s="12" t="s">
        <v>628</v>
      </c>
      <c r="D84" s="45">
        <v>1</v>
      </c>
      <c r="E84" s="46" t="s">
        <v>428</v>
      </c>
      <c r="F84" s="43">
        <v>0</v>
      </c>
      <c r="G84" s="44">
        <f t="shared" si="1"/>
        <v>0</v>
      </c>
    </row>
    <row r="85" spans="1:7" ht="260" x14ac:dyDescent="0.3">
      <c r="A85" s="39" t="s">
        <v>1048</v>
      </c>
      <c r="B85" s="12" t="s">
        <v>630</v>
      </c>
      <c r="C85" s="12" t="s">
        <v>595</v>
      </c>
      <c r="D85" s="45">
        <v>4</v>
      </c>
      <c r="E85" s="46" t="s">
        <v>428</v>
      </c>
      <c r="F85" s="43">
        <v>0</v>
      </c>
      <c r="G85" s="44">
        <f t="shared" si="1"/>
        <v>0</v>
      </c>
    </row>
    <row r="86" spans="1:7" ht="104" x14ac:dyDescent="0.3">
      <c r="A86" s="39" t="s">
        <v>1049</v>
      </c>
      <c r="B86" s="12" t="s">
        <v>632</v>
      </c>
      <c r="C86" s="4" t="s">
        <v>598</v>
      </c>
      <c r="D86" s="45">
        <v>4</v>
      </c>
      <c r="E86" s="46" t="s">
        <v>428</v>
      </c>
      <c r="F86" s="43">
        <v>0</v>
      </c>
      <c r="G86" s="44">
        <f t="shared" si="1"/>
        <v>0</v>
      </c>
    </row>
    <row r="87" spans="1:7" ht="91" x14ac:dyDescent="0.3">
      <c r="A87" s="39" t="s">
        <v>1050</v>
      </c>
      <c r="B87" s="12" t="s">
        <v>634</v>
      </c>
      <c r="C87" s="47" t="s">
        <v>601</v>
      </c>
      <c r="D87" s="45">
        <v>4</v>
      </c>
      <c r="E87" s="46" t="s">
        <v>428</v>
      </c>
      <c r="F87" s="43">
        <v>0</v>
      </c>
      <c r="G87" s="44">
        <f t="shared" si="1"/>
        <v>0</v>
      </c>
    </row>
    <row r="88" spans="1:7" ht="78" x14ac:dyDescent="0.3">
      <c r="A88" s="39" t="s">
        <v>1051</v>
      </c>
      <c r="B88" s="12" t="s">
        <v>636</v>
      </c>
      <c r="C88" s="12" t="s">
        <v>604</v>
      </c>
      <c r="D88" s="45">
        <v>4</v>
      </c>
      <c r="E88" s="46" t="s">
        <v>428</v>
      </c>
      <c r="F88" s="43">
        <v>0</v>
      </c>
      <c r="G88" s="44">
        <f t="shared" si="1"/>
        <v>0</v>
      </c>
    </row>
    <row r="89" spans="1:7" ht="78" x14ac:dyDescent="0.3">
      <c r="A89" s="39" t="s">
        <v>1052</v>
      </c>
      <c r="B89" s="12" t="s">
        <v>638</v>
      </c>
      <c r="C89" s="12" t="s">
        <v>607</v>
      </c>
      <c r="D89" s="45">
        <v>4</v>
      </c>
      <c r="E89" s="46" t="s">
        <v>428</v>
      </c>
      <c r="F89" s="43">
        <v>0</v>
      </c>
      <c r="G89" s="44">
        <f t="shared" si="1"/>
        <v>0</v>
      </c>
    </row>
    <row r="90" spans="1:7" ht="65" x14ac:dyDescent="0.3">
      <c r="A90" s="39" t="s">
        <v>1053</v>
      </c>
      <c r="B90" s="12" t="s">
        <v>640</v>
      </c>
      <c r="C90" s="12" t="s">
        <v>610</v>
      </c>
      <c r="D90" s="45">
        <v>2</v>
      </c>
      <c r="E90" s="46" t="s">
        <v>428</v>
      </c>
      <c r="F90" s="43">
        <v>0</v>
      </c>
      <c r="G90" s="44">
        <f t="shared" si="1"/>
        <v>0</v>
      </c>
    </row>
    <row r="91" spans="1:7" ht="65" x14ac:dyDescent="0.3">
      <c r="A91" s="39" t="s">
        <v>1054</v>
      </c>
      <c r="B91" s="12" t="s">
        <v>642</v>
      </c>
      <c r="C91" s="12" t="s">
        <v>628</v>
      </c>
      <c r="D91" s="45">
        <v>1</v>
      </c>
      <c r="E91" s="46" t="s">
        <v>428</v>
      </c>
      <c r="F91" s="43">
        <v>0</v>
      </c>
      <c r="G91" s="44">
        <f t="shared" si="1"/>
        <v>0</v>
      </c>
    </row>
    <row r="92" spans="1:7" ht="260" x14ac:dyDescent="0.3">
      <c r="A92" s="39" t="s">
        <v>1055</v>
      </c>
      <c r="B92" s="12" t="s">
        <v>644</v>
      </c>
      <c r="C92" s="12" t="s">
        <v>595</v>
      </c>
      <c r="D92" s="45">
        <v>4</v>
      </c>
      <c r="E92" s="46" t="s">
        <v>428</v>
      </c>
      <c r="F92" s="43">
        <v>0</v>
      </c>
      <c r="G92" s="44">
        <f t="shared" si="1"/>
        <v>0</v>
      </c>
    </row>
    <row r="93" spans="1:7" ht="104" x14ac:dyDescent="0.3">
      <c r="A93" s="39" t="s">
        <v>1056</v>
      </c>
      <c r="B93" s="12" t="s">
        <v>646</v>
      </c>
      <c r="C93" s="4" t="s">
        <v>598</v>
      </c>
      <c r="D93" s="45">
        <v>4</v>
      </c>
      <c r="E93" s="46" t="s">
        <v>428</v>
      </c>
      <c r="F93" s="43">
        <v>0</v>
      </c>
      <c r="G93" s="44">
        <f t="shared" si="1"/>
        <v>0</v>
      </c>
    </row>
    <row r="94" spans="1:7" ht="91" x14ac:dyDescent="0.3">
      <c r="A94" s="39" t="s">
        <v>1057</v>
      </c>
      <c r="B94" s="12" t="s">
        <v>648</v>
      </c>
      <c r="C94" s="47" t="s">
        <v>601</v>
      </c>
      <c r="D94" s="45">
        <v>4</v>
      </c>
      <c r="E94" s="46" t="s">
        <v>428</v>
      </c>
      <c r="F94" s="43">
        <v>0</v>
      </c>
      <c r="G94" s="44">
        <f t="shared" si="1"/>
        <v>0</v>
      </c>
    </row>
    <row r="95" spans="1:7" ht="78" x14ac:dyDescent="0.3">
      <c r="A95" s="39" t="s">
        <v>1058</v>
      </c>
      <c r="B95" s="12" t="s">
        <v>650</v>
      </c>
      <c r="C95" s="12" t="s">
        <v>604</v>
      </c>
      <c r="D95" s="45">
        <v>4</v>
      </c>
      <c r="E95" s="46" t="s">
        <v>428</v>
      </c>
      <c r="F95" s="43">
        <v>0</v>
      </c>
      <c r="G95" s="44">
        <f t="shared" si="1"/>
        <v>0</v>
      </c>
    </row>
    <row r="96" spans="1:7" ht="78" x14ac:dyDescent="0.3">
      <c r="A96" s="39" t="s">
        <v>1059</v>
      </c>
      <c r="B96" s="12" t="s">
        <v>652</v>
      </c>
      <c r="C96" s="12" t="s">
        <v>607</v>
      </c>
      <c r="D96" s="45">
        <v>4</v>
      </c>
      <c r="E96" s="46" t="s">
        <v>428</v>
      </c>
      <c r="F96" s="43">
        <v>0</v>
      </c>
      <c r="G96" s="44">
        <f t="shared" si="1"/>
        <v>0</v>
      </c>
    </row>
    <row r="97" spans="1:7" ht="65" x14ac:dyDescent="0.3">
      <c r="A97" s="39" t="s">
        <v>1060</v>
      </c>
      <c r="B97" s="12" t="s">
        <v>654</v>
      </c>
      <c r="C97" s="12" t="s">
        <v>610</v>
      </c>
      <c r="D97" s="45">
        <v>2</v>
      </c>
      <c r="E97" s="46" t="s">
        <v>428</v>
      </c>
      <c r="F97" s="43">
        <v>0</v>
      </c>
      <c r="G97" s="44">
        <f t="shared" si="1"/>
        <v>0</v>
      </c>
    </row>
    <row r="98" spans="1:7" ht="65" x14ac:dyDescent="0.3">
      <c r="A98" s="39" t="s">
        <v>1061</v>
      </c>
      <c r="B98" s="12" t="s">
        <v>656</v>
      </c>
      <c r="C98" s="12" t="s">
        <v>628</v>
      </c>
      <c r="D98" s="45">
        <v>1</v>
      </c>
      <c r="E98" s="46" t="s">
        <v>428</v>
      </c>
      <c r="F98" s="43">
        <v>0</v>
      </c>
      <c r="G98" s="44">
        <f t="shared" si="1"/>
        <v>0</v>
      </c>
    </row>
    <row r="99" spans="1:7" ht="260" x14ac:dyDescent="0.3">
      <c r="A99" s="39" t="s">
        <v>1062</v>
      </c>
      <c r="B99" s="12" t="s">
        <v>658</v>
      </c>
      <c r="C99" s="12" t="s">
        <v>595</v>
      </c>
      <c r="D99" s="45">
        <v>4</v>
      </c>
      <c r="E99" s="46" t="s">
        <v>428</v>
      </c>
      <c r="F99" s="43">
        <v>0</v>
      </c>
      <c r="G99" s="44">
        <f t="shared" si="1"/>
        <v>0</v>
      </c>
    </row>
    <row r="100" spans="1:7" ht="104" x14ac:dyDescent="0.3">
      <c r="A100" s="39" t="s">
        <v>1063</v>
      </c>
      <c r="B100" s="12" t="s">
        <v>660</v>
      </c>
      <c r="C100" s="4" t="s">
        <v>598</v>
      </c>
      <c r="D100" s="45">
        <v>4</v>
      </c>
      <c r="E100" s="46" t="s">
        <v>428</v>
      </c>
      <c r="F100" s="43">
        <v>0</v>
      </c>
      <c r="G100" s="44">
        <f t="shared" si="1"/>
        <v>0</v>
      </c>
    </row>
    <row r="101" spans="1:7" ht="91" x14ac:dyDescent="0.3">
      <c r="A101" s="39" t="s">
        <v>1064</v>
      </c>
      <c r="B101" s="12" t="s">
        <v>662</v>
      </c>
      <c r="C101" s="47" t="s">
        <v>601</v>
      </c>
      <c r="D101" s="45">
        <v>4</v>
      </c>
      <c r="E101" s="46" t="s">
        <v>428</v>
      </c>
      <c r="F101" s="43">
        <v>0</v>
      </c>
      <c r="G101" s="44">
        <f t="shared" si="1"/>
        <v>0</v>
      </c>
    </row>
    <row r="102" spans="1:7" ht="78" x14ac:dyDescent="0.3">
      <c r="A102" s="39" t="s">
        <v>1065</v>
      </c>
      <c r="B102" s="12" t="s">
        <v>664</v>
      </c>
      <c r="C102" s="12" t="s">
        <v>604</v>
      </c>
      <c r="D102" s="45">
        <v>4</v>
      </c>
      <c r="E102" s="46" t="s">
        <v>428</v>
      </c>
      <c r="F102" s="43">
        <v>0</v>
      </c>
      <c r="G102" s="44">
        <f t="shared" si="1"/>
        <v>0</v>
      </c>
    </row>
    <row r="103" spans="1:7" ht="78" x14ac:dyDescent="0.3">
      <c r="A103" s="39" t="s">
        <v>1066</v>
      </c>
      <c r="B103" s="12" t="s">
        <v>666</v>
      </c>
      <c r="C103" s="12" t="s">
        <v>607</v>
      </c>
      <c r="D103" s="45">
        <v>4</v>
      </c>
      <c r="E103" s="46" t="s">
        <v>428</v>
      </c>
      <c r="F103" s="43">
        <v>0</v>
      </c>
      <c r="G103" s="44">
        <f t="shared" si="1"/>
        <v>0</v>
      </c>
    </row>
    <row r="104" spans="1:7" ht="65" x14ac:dyDescent="0.3">
      <c r="A104" s="39" t="s">
        <v>1067</v>
      </c>
      <c r="B104" s="12" t="s">
        <v>668</v>
      </c>
      <c r="C104" s="12" t="s">
        <v>610</v>
      </c>
      <c r="D104" s="45">
        <v>2</v>
      </c>
      <c r="E104" s="46" t="s">
        <v>428</v>
      </c>
      <c r="F104" s="43">
        <v>0</v>
      </c>
      <c r="G104" s="44">
        <f t="shared" si="1"/>
        <v>0</v>
      </c>
    </row>
    <row r="105" spans="1:7" ht="65" x14ac:dyDescent="0.3">
      <c r="A105" s="39" t="s">
        <v>1068</v>
      </c>
      <c r="B105" s="12" t="s">
        <v>670</v>
      </c>
      <c r="C105" s="12" t="s">
        <v>628</v>
      </c>
      <c r="D105" s="45">
        <v>1</v>
      </c>
      <c r="E105" s="46" t="s">
        <v>428</v>
      </c>
      <c r="F105" s="43">
        <v>0</v>
      </c>
      <c r="G105" s="44">
        <f t="shared" si="1"/>
        <v>0</v>
      </c>
    </row>
    <row r="106" spans="1:7" ht="260" x14ac:dyDescent="0.3">
      <c r="A106" s="39" t="s">
        <v>1069</v>
      </c>
      <c r="B106" s="12" t="s">
        <v>672</v>
      </c>
      <c r="C106" s="12" t="s">
        <v>595</v>
      </c>
      <c r="D106" s="45">
        <v>4</v>
      </c>
      <c r="E106" s="46" t="s">
        <v>428</v>
      </c>
      <c r="F106" s="43">
        <v>0</v>
      </c>
      <c r="G106" s="44">
        <f t="shared" si="1"/>
        <v>0</v>
      </c>
    </row>
    <row r="107" spans="1:7" ht="104" x14ac:dyDescent="0.3">
      <c r="A107" s="39" t="s">
        <v>1070</v>
      </c>
      <c r="B107" s="12" t="s">
        <v>674</v>
      </c>
      <c r="C107" s="4" t="s">
        <v>598</v>
      </c>
      <c r="D107" s="45">
        <v>4</v>
      </c>
      <c r="E107" s="46" t="s">
        <v>428</v>
      </c>
      <c r="F107" s="43">
        <v>0</v>
      </c>
      <c r="G107" s="44">
        <f t="shared" si="1"/>
        <v>0</v>
      </c>
    </row>
    <row r="108" spans="1:7" ht="91" x14ac:dyDescent="0.3">
      <c r="A108" s="39" t="s">
        <v>1071</v>
      </c>
      <c r="B108" s="12" t="s">
        <v>676</v>
      </c>
      <c r="C108" s="47" t="s">
        <v>601</v>
      </c>
      <c r="D108" s="45">
        <v>4</v>
      </c>
      <c r="E108" s="46" t="s">
        <v>428</v>
      </c>
      <c r="F108" s="43">
        <v>0</v>
      </c>
      <c r="G108" s="44">
        <f t="shared" si="1"/>
        <v>0</v>
      </c>
    </row>
    <row r="109" spans="1:7" ht="78" x14ac:dyDescent="0.3">
      <c r="A109" s="39" t="s">
        <v>1072</v>
      </c>
      <c r="B109" s="12" t="s">
        <v>678</v>
      </c>
      <c r="C109" s="12" t="s">
        <v>604</v>
      </c>
      <c r="D109" s="45">
        <v>4</v>
      </c>
      <c r="E109" s="46" t="s">
        <v>428</v>
      </c>
      <c r="F109" s="43">
        <v>0</v>
      </c>
      <c r="G109" s="44">
        <f t="shared" si="1"/>
        <v>0</v>
      </c>
    </row>
    <row r="110" spans="1:7" ht="78" x14ac:dyDescent="0.3">
      <c r="A110" s="39" t="s">
        <v>1073</v>
      </c>
      <c r="B110" s="12" t="s">
        <v>680</v>
      </c>
      <c r="C110" s="12" t="s">
        <v>607</v>
      </c>
      <c r="D110" s="45">
        <v>4</v>
      </c>
      <c r="E110" s="46" t="s">
        <v>428</v>
      </c>
      <c r="F110" s="43">
        <v>0</v>
      </c>
      <c r="G110" s="44">
        <f t="shared" si="1"/>
        <v>0</v>
      </c>
    </row>
    <row r="111" spans="1:7" ht="65" x14ac:dyDescent="0.3">
      <c r="A111" s="39" t="s">
        <v>1074</v>
      </c>
      <c r="B111" s="12" t="s">
        <v>682</v>
      </c>
      <c r="C111" s="12" t="s">
        <v>610</v>
      </c>
      <c r="D111" s="45">
        <v>2</v>
      </c>
      <c r="E111" s="46" t="s">
        <v>428</v>
      </c>
      <c r="F111" s="43">
        <v>0</v>
      </c>
      <c r="G111" s="44">
        <f t="shared" si="1"/>
        <v>0</v>
      </c>
    </row>
    <row r="112" spans="1:7" ht="65" x14ac:dyDescent="0.3">
      <c r="A112" s="39" t="s">
        <v>1075</v>
      </c>
      <c r="B112" s="12" t="s">
        <v>684</v>
      </c>
      <c r="C112" s="12" t="s">
        <v>628</v>
      </c>
      <c r="D112" s="45">
        <v>1</v>
      </c>
      <c r="E112" s="46" t="s">
        <v>428</v>
      </c>
      <c r="F112" s="43">
        <v>0</v>
      </c>
      <c r="G112" s="44">
        <f t="shared" si="1"/>
        <v>0</v>
      </c>
    </row>
    <row r="113" spans="1:7" ht="117" x14ac:dyDescent="0.3">
      <c r="A113" s="39" t="s">
        <v>1076</v>
      </c>
      <c r="B113" s="12" t="s">
        <v>686</v>
      </c>
      <c r="C113" s="12" t="s">
        <v>687</v>
      </c>
      <c r="D113" s="45">
        <v>12</v>
      </c>
      <c r="E113" s="46" t="s">
        <v>428</v>
      </c>
      <c r="F113" s="43">
        <v>0</v>
      </c>
      <c r="G113" s="44">
        <f t="shared" si="1"/>
        <v>0</v>
      </c>
    </row>
    <row r="114" spans="1:7" ht="52" x14ac:dyDescent="0.3">
      <c r="A114" s="39" t="s">
        <v>1077</v>
      </c>
      <c r="B114" s="12" t="s">
        <v>689</v>
      </c>
      <c r="C114" s="40" t="s">
        <v>690</v>
      </c>
      <c r="D114" s="45">
        <v>10</v>
      </c>
      <c r="E114" s="46" t="s">
        <v>428</v>
      </c>
      <c r="F114" s="43">
        <v>0</v>
      </c>
      <c r="G114" s="44">
        <f t="shared" si="1"/>
        <v>0</v>
      </c>
    </row>
    <row r="115" spans="1:7" ht="65" x14ac:dyDescent="0.3">
      <c r="A115" s="39" t="s">
        <v>1078</v>
      </c>
      <c r="B115" s="12" t="s">
        <v>692</v>
      </c>
      <c r="C115" s="12" t="s">
        <v>693</v>
      </c>
      <c r="D115" s="45">
        <v>4</v>
      </c>
      <c r="E115" s="46" t="s">
        <v>428</v>
      </c>
      <c r="F115" s="43">
        <v>0</v>
      </c>
      <c r="G115" s="44">
        <f t="shared" si="1"/>
        <v>0</v>
      </c>
    </row>
    <row r="116" spans="1:7" ht="91" x14ac:dyDescent="0.3">
      <c r="A116" s="39" t="s">
        <v>1079</v>
      </c>
      <c r="B116" s="12" t="s">
        <v>695</v>
      </c>
      <c r="C116" s="12" t="s">
        <v>696</v>
      </c>
      <c r="D116" s="12">
        <v>6</v>
      </c>
      <c r="E116" s="11" t="s">
        <v>428</v>
      </c>
      <c r="F116" s="43">
        <v>0</v>
      </c>
      <c r="G116" s="44">
        <f t="shared" si="1"/>
        <v>0</v>
      </c>
    </row>
    <row r="117" spans="1:7" ht="91" x14ac:dyDescent="0.3">
      <c r="A117" s="39" t="s">
        <v>1080</v>
      </c>
      <c r="B117" s="12" t="s">
        <v>698</v>
      </c>
      <c r="C117" s="12" t="s">
        <v>699</v>
      </c>
      <c r="D117" s="12">
        <v>3</v>
      </c>
      <c r="E117" s="48" t="s">
        <v>428</v>
      </c>
      <c r="F117" s="43">
        <v>0</v>
      </c>
      <c r="G117" s="44">
        <f t="shared" si="1"/>
        <v>0</v>
      </c>
    </row>
    <row r="118" spans="1:7" ht="78" x14ac:dyDescent="0.3">
      <c r="A118" s="39" t="s">
        <v>1081</v>
      </c>
      <c r="B118" s="12" t="s">
        <v>701</v>
      </c>
      <c r="C118" s="12" t="s">
        <v>702</v>
      </c>
      <c r="D118" s="12">
        <v>2</v>
      </c>
      <c r="E118" s="48" t="s">
        <v>428</v>
      </c>
      <c r="F118" s="43">
        <v>0</v>
      </c>
      <c r="G118" s="44">
        <f t="shared" si="1"/>
        <v>0</v>
      </c>
    </row>
    <row r="119" spans="1:7" ht="78" x14ac:dyDescent="0.3">
      <c r="A119" s="39" t="s">
        <v>1082</v>
      </c>
      <c r="B119" s="12" t="s">
        <v>704</v>
      </c>
      <c r="C119" s="12" t="s">
        <v>705</v>
      </c>
      <c r="D119" s="45">
        <v>1</v>
      </c>
      <c r="E119" s="46" t="s">
        <v>428</v>
      </c>
      <c r="F119" s="43">
        <v>0</v>
      </c>
      <c r="G119" s="44">
        <f t="shared" si="1"/>
        <v>0</v>
      </c>
    </row>
    <row r="120" spans="1:7" ht="117" x14ac:dyDescent="0.3">
      <c r="A120" s="39" t="s">
        <v>1083</v>
      </c>
      <c r="B120" s="12" t="s">
        <v>707</v>
      </c>
      <c r="C120" s="12" t="s">
        <v>687</v>
      </c>
      <c r="D120" s="45">
        <v>12</v>
      </c>
      <c r="E120" s="46" t="s">
        <v>428</v>
      </c>
      <c r="F120" s="43">
        <v>0</v>
      </c>
      <c r="G120" s="44">
        <f t="shared" si="1"/>
        <v>0</v>
      </c>
    </row>
    <row r="121" spans="1:7" ht="52" x14ac:dyDescent="0.3">
      <c r="A121" s="39" t="s">
        <v>1084</v>
      </c>
      <c r="B121" s="40" t="s">
        <v>709</v>
      </c>
      <c r="C121" s="12" t="s">
        <v>690</v>
      </c>
      <c r="D121" s="45">
        <v>10</v>
      </c>
      <c r="E121" s="46" t="s">
        <v>428</v>
      </c>
      <c r="F121" s="43">
        <v>0</v>
      </c>
      <c r="G121" s="44">
        <f t="shared" si="1"/>
        <v>0</v>
      </c>
    </row>
    <row r="122" spans="1:7" ht="78" x14ac:dyDescent="0.3">
      <c r="A122" s="39" t="s">
        <v>1085</v>
      </c>
      <c r="B122" s="12" t="s">
        <v>711</v>
      </c>
      <c r="C122" s="12" t="s">
        <v>712</v>
      </c>
      <c r="D122" s="45">
        <v>4</v>
      </c>
      <c r="E122" s="46" t="s">
        <v>428</v>
      </c>
      <c r="F122" s="43">
        <v>0</v>
      </c>
      <c r="G122" s="44">
        <f t="shared" si="1"/>
        <v>0</v>
      </c>
    </row>
    <row r="123" spans="1:7" ht="91" x14ac:dyDescent="0.3">
      <c r="A123" s="39" t="s">
        <v>1086</v>
      </c>
      <c r="B123" s="12" t="s">
        <v>714</v>
      </c>
      <c r="C123" s="12" t="s">
        <v>715</v>
      </c>
      <c r="D123" s="45">
        <v>6</v>
      </c>
      <c r="E123" s="46" t="s">
        <v>428</v>
      </c>
      <c r="F123" s="43">
        <v>0</v>
      </c>
      <c r="G123" s="44">
        <f t="shared" si="1"/>
        <v>0</v>
      </c>
    </row>
    <row r="124" spans="1:7" ht="91" x14ac:dyDescent="0.3">
      <c r="A124" s="39" t="s">
        <v>1087</v>
      </c>
      <c r="B124" s="12" t="s">
        <v>717</v>
      </c>
      <c r="C124" s="12" t="s">
        <v>718</v>
      </c>
      <c r="D124" s="45">
        <v>3</v>
      </c>
      <c r="E124" s="46" t="s">
        <v>428</v>
      </c>
      <c r="F124" s="43">
        <v>0</v>
      </c>
      <c r="G124" s="44">
        <f t="shared" si="1"/>
        <v>0</v>
      </c>
    </row>
    <row r="125" spans="1:7" ht="78" x14ac:dyDescent="0.3">
      <c r="A125" s="39" t="s">
        <v>1088</v>
      </c>
      <c r="B125" s="12" t="s">
        <v>720</v>
      </c>
      <c r="C125" s="12" t="s">
        <v>721</v>
      </c>
      <c r="D125" s="45">
        <v>2</v>
      </c>
      <c r="E125" s="46" t="s">
        <v>428</v>
      </c>
      <c r="F125" s="43">
        <v>0</v>
      </c>
      <c r="G125" s="44">
        <f t="shared" si="1"/>
        <v>0</v>
      </c>
    </row>
    <row r="126" spans="1:7" ht="91" x14ac:dyDescent="0.3">
      <c r="A126" s="39" t="s">
        <v>1089</v>
      </c>
      <c r="B126" s="12" t="s">
        <v>723</v>
      </c>
      <c r="C126" s="12" t="s">
        <v>724</v>
      </c>
      <c r="D126" s="45">
        <v>1</v>
      </c>
      <c r="E126" s="46" t="s">
        <v>428</v>
      </c>
      <c r="F126" s="43">
        <v>0</v>
      </c>
      <c r="G126" s="44">
        <f t="shared" si="1"/>
        <v>0</v>
      </c>
    </row>
    <row r="127" spans="1:7" ht="221" x14ac:dyDescent="0.3">
      <c r="A127" s="39" t="s">
        <v>1090</v>
      </c>
      <c r="B127" s="12" t="s">
        <v>726</v>
      </c>
      <c r="C127" s="12" t="s">
        <v>727</v>
      </c>
      <c r="D127" s="45">
        <v>12</v>
      </c>
      <c r="E127" s="46" t="s">
        <v>428</v>
      </c>
      <c r="F127" s="43">
        <v>0</v>
      </c>
      <c r="G127" s="44">
        <f t="shared" si="1"/>
        <v>0</v>
      </c>
    </row>
    <row r="128" spans="1:7" ht="117" x14ac:dyDescent="0.3">
      <c r="A128" s="39" t="s">
        <v>1091</v>
      </c>
      <c r="B128" s="12" t="s">
        <v>729</v>
      </c>
      <c r="C128" s="12" t="s">
        <v>730</v>
      </c>
      <c r="D128" s="45">
        <v>12</v>
      </c>
      <c r="E128" s="46" t="s">
        <v>428</v>
      </c>
      <c r="F128" s="43">
        <v>0</v>
      </c>
      <c r="G128" s="44">
        <f t="shared" si="1"/>
        <v>0</v>
      </c>
    </row>
    <row r="129" spans="1:7" ht="52" x14ac:dyDescent="0.3">
      <c r="A129" s="39" t="s">
        <v>1092</v>
      </c>
      <c r="B129" s="12" t="s">
        <v>732</v>
      </c>
      <c r="C129" s="12" t="s">
        <v>733</v>
      </c>
      <c r="D129" s="45">
        <v>12</v>
      </c>
      <c r="E129" s="46" t="s">
        <v>428</v>
      </c>
      <c r="F129" s="43">
        <v>0</v>
      </c>
      <c r="G129" s="44">
        <f t="shared" si="1"/>
        <v>0</v>
      </c>
    </row>
    <row r="130" spans="1:7" ht="52.5" customHeight="1" x14ac:dyDescent="0.3">
      <c r="A130" s="39" t="s">
        <v>1093</v>
      </c>
      <c r="B130" s="12" t="s">
        <v>735</v>
      </c>
      <c r="C130" s="12" t="s">
        <v>693</v>
      </c>
      <c r="D130" s="45">
        <v>6</v>
      </c>
      <c r="E130" s="46" t="s">
        <v>428</v>
      </c>
      <c r="F130" s="43">
        <v>0</v>
      </c>
      <c r="G130" s="44">
        <f t="shared" si="1"/>
        <v>0</v>
      </c>
    </row>
    <row r="131" spans="1:7" ht="91" x14ac:dyDescent="0.3">
      <c r="A131" s="39" t="s">
        <v>1094</v>
      </c>
      <c r="B131" s="12" t="s">
        <v>737</v>
      </c>
      <c r="C131" s="12" t="s">
        <v>696</v>
      </c>
      <c r="D131" s="45">
        <v>4</v>
      </c>
      <c r="E131" s="46" t="s">
        <v>428</v>
      </c>
      <c r="F131" s="43">
        <v>0</v>
      </c>
      <c r="G131" s="44">
        <f t="shared" si="1"/>
        <v>0</v>
      </c>
    </row>
    <row r="132" spans="1:7" ht="91" x14ac:dyDescent="0.3">
      <c r="A132" s="39" t="s">
        <v>1095</v>
      </c>
      <c r="B132" s="12" t="s">
        <v>739</v>
      </c>
      <c r="C132" s="12" t="s">
        <v>740</v>
      </c>
      <c r="D132" s="45">
        <v>6</v>
      </c>
      <c r="E132" s="46" t="s">
        <v>428</v>
      </c>
      <c r="F132" s="43">
        <v>0</v>
      </c>
      <c r="G132" s="44">
        <f t="shared" si="1"/>
        <v>0</v>
      </c>
    </row>
    <row r="133" spans="1:7" ht="78" x14ac:dyDescent="0.3">
      <c r="A133" s="39" t="s">
        <v>1096</v>
      </c>
      <c r="B133" s="12" t="s">
        <v>742</v>
      </c>
      <c r="C133" s="12" t="s">
        <v>743</v>
      </c>
      <c r="D133" s="45">
        <v>2</v>
      </c>
      <c r="E133" s="46" t="s">
        <v>428</v>
      </c>
      <c r="F133" s="43">
        <v>0</v>
      </c>
      <c r="G133" s="44">
        <f t="shared" si="1"/>
        <v>0</v>
      </c>
    </row>
    <row r="134" spans="1:7" ht="65.25" customHeight="1" x14ac:dyDescent="0.3">
      <c r="A134" s="39" t="s">
        <v>1097</v>
      </c>
      <c r="B134" s="12" t="s">
        <v>745</v>
      </c>
      <c r="C134" s="12" t="s">
        <v>746</v>
      </c>
      <c r="D134" s="45">
        <v>1</v>
      </c>
      <c r="E134" s="46" t="s">
        <v>428</v>
      </c>
      <c r="F134" s="43">
        <v>0</v>
      </c>
      <c r="G134" s="44">
        <f t="shared" si="1"/>
        <v>0</v>
      </c>
    </row>
    <row r="135" spans="1:7" ht="109.5" customHeight="1" x14ac:dyDescent="0.3">
      <c r="A135" s="39" t="s">
        <v>1098</v>
      </c>
      <c r="B135" s="4" t="s">
        <v>748</v>
      </c>
      <c r="C135" s="4" t="s">
        <v>749</v>
      </c>
      <c r="D135" s="45">
        <v>12</v>
      </c>
      <c r="E135" s="46" t="s">
        <v>428</v>
      </c>
      <c r="F135" s="43">
        <v>0</v>
      </c>
      <c r="G135" s="44">
        <f t="shared" si="1"/>
        <v>0</v>
      </c>
    </row>
    <row r="136" spans="1:7" ht="109.5" customHeight="1" x14ac:dyDescent="0.3">
      <c r="A136" s="39" t="s">
        <v>1099</v>
      </c>
      <c r="B136" s="4" t="s">
        <v>751</v>
      </c>
      <c r="C136" s="4" t="s">
        <v>752</v>
      </c>
      <c r="D136" s="45">
        <f>G136-F136</f>
        <v>0</v>
      </c>
      <c r="E136" s="46" t="s">
        <v>515</v>
      </c>
      <c r="F136" s="43">
        <v>0</v>
      </c>
      <c r="G136" s="44">
        <v>0</v>
      </c>
    </row>
    <row r="137" spans="1:7" ht="109.5" customHeight="1" x14ac:dyDescent="0.3">
      <c r="A137" s="39" t="s">
        <v>1100</v>
      </c>
      <c r="B137" s="4" t="s">
        <v>754</v>
      </c>
      <c r="C137" s="4" t="s">
        <v>755</v>
      </c>
      <c r="D137" s="45">
        <f>G137-F137</f>
        <v>0</v>
      </c>
      <c r="E137" s="46" t="s">
        <v>428</v>
      </c>
      <c r="F137" s="43">
        <v>0</v>
      </c>
      <c r="G137" s="44">
        <v>0</v>
      </c>
    </row>
    <row r="138" spans="1:7" ht="109.5" customHeight="1" x14ac:dyDescent="0.3">
      <c r="A138" s="85" t="s">
        <v>1101</v>
      </c>
      <c r="B138" s="86" t="s">
        <v>757</v>
      </c>
      <c r="C138" s="87" t="s">
        <v>758</v>
      </c>
      <c r="D138" s="88">
        <v>180000</v>
      </c>
      <c r="E138" s="89" t="s">
        <v>421</v>
      </c>
      <c r="F138" s="90">
        <v>0</v>
      </c>
      <c r="G138" s="91">
        <v>0</v>
      </c>
    </row>
    <row r="139" spans="1:7" ht="15" customHeight="1" x14ac:dyDescent="0.3">
      <c r="A139" s="226" t="s">
        <v>1102</v>
      </c>
      <c r="B139" s="227"/>
      <c r="C139" s="227"/>
      <c r="D139" s="78"/>
      <c r="E139" s="78"/>
      <c r="F139" s="80"/>
      <c r="G139" s="20">
        <f>SUM(G11:G138)</f>
        <v>0</v>
      </c>
    </row>
    <row r="141" spans="1:7" ht="14.25" customHeight="1" x14ac:dyDescent="0.3"/>
    <row r="142" spans="1:7" ht="15" customHeight="1" x14ac:dyDescent="0.3"/>
    <row r="143" spans="1:7" ht="15" customHeight="1" x14ac:dyDescent="0.3"/>
    <row r="144" spans="1:7" ht="15" customHeight="1" x14ac:dyDescent="0.3"/>
    <row r="145" ht="15" customHeight="1" x14ac:dyDescent="0.3"/>
    <row r="146" ht="15" customHeight="1" x14ac:dyDescent="0.3"/>
    <row r="147" ht="15" customHeight="1" x14ac:dyDescent="0.3"/>
    <row r="148" ht="15" customHeight="1" x14ac:dyDescent="0.3"/>
    <row r="149" ht="15" customHeight="1" x14ac:dyDescent="0.3"/>
    <row r="150" ht="15" customHeight="1" x14ac:dyDescent="0.3"/>
    <row r="151" ht="15" customHeight="1" x14ac:dyDescent="0.3"/>
    <row r="152" ht="15" customHeight="1" x14ac:dyDescent="0.3"/>
    <row r="153" ht="15" customHeight="1" x14ac:dyDescent="0.3"/>
    <row r="154" ht="15" customHeight="1" x14ac:dyDescent="0.3"/>
    <row r="155" ht="15" customHeight="1" x14ac:dyDescent="0.3"/>
    <row r="156" ht="15" customHeight="1" x14ac:dyDescent="0.3"/>
    <row r="157" ht="15" customHeight="1" x14ac:dyDescent="0.3"/>
    <row r="158" ht="15" customHeight="1" x14ac:dyDescent="0.3"/>
    <row r="159" ht="15" customHeight="1" x14ac:dyDescent="0.3"/>
    <row r="160" ht="15" customHeight="1" x14ac:dyDescent="0.3"/>
  </sheetData>
  <mergeCells count="5">
    <mergeCell ref="A139:C139"/>
    <mergeCell ref="A5:C5"/>
    <mergeCell ref="A6:C6"/>
    <mergeCell ref="A7:C7"/>
    <mergeCell ref="A8:C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79998168889431442"/>
  </sheetPr>
  <dimension ref="A1:J366"/>
  <sheetViews>
    <sheetView workbookViewId="0">
      <selection activeCell="J375" sqref="J374:J375"/>
    </sheetView>
  </sheetViews>
  <sheetFormatPr defaultColWidth="9.1796875" defaultRowHeight="13" x14ac:dyDescent="0.3"/>
  <cols>
    <col min="1" max="1" width="9.1796875" style="49"/>
    <col min="2" max="3" width="10.7265625" style="49" customWidth="1"/>
    <col min="4" max="4" width="62" style="18" customWidth="1"/>
    <col min="5" max="6" width="15.7265625" style="49" customWidth="1"/>
    <col min="7" max="8" width="15.7265625" style="74" customWidth="1"/>
    <col min="9" max="10" width="10.7265625" style="18" customWidth="1"/>
    <col min="11" max="11" width="9.81640625" style="18" customWidth="1"/>
    <col min="12" max="16384" width="9.1796875" style="18"/>
  </cols>
  <sheetData>
    <row r="1" spans="1:10" ht="15.75" customHeight="1" x14ac:dyDescent="0.3">
      <c r="A1" s="21"/>
      <c r="B1" s="22"/>
      <c r="C1" s="22"/>
      <c r="D1" s="79" t="s">
        <v>0</v>
      </c>
      <c r="E1" s="22"/>
      <c r="F1" s="22"/>
      <c r="G1" s="71"/>
      <c r="H1" s="75"/>
    </row>
    <row r="2" spans="1:10" ht="15.75" customHeight="1" x14ac:dyDescent="0.3">
      <c r="A2" s="26"/>
      <c r="B2" s="17"/>
      <c r="C2" s="17"/>
      <c r="D2" s="142" t="s">
        <v>1</v>
      </c>
      <c r="E2" s="17"/>
      <c r="F2" s="17"/>
      <c r="G2" s="72"/>
      <c r="H2" s="76"/>
    </row>
    <row r="3" spans="1:10" ht="15.75" customHeight="1" x14ac:dyDescent="0.3">
      <c r="A3" s="26"/>
      <c r="B3" s="17"/>
      <c r="C3" s="17"/>
      <c r="D3" s="143" t="s">
        <v>2</v>
      </c>
      <c r="E3" s="17"/>
      <c r="F3" s="17"/>
      <c r="G3" s="72"/>
      <c r="H3" s="76"/>
    </row>
    <row r="4" spans="1:10" ht="15.75" customHeight="1" x14ac:dyDescent="0.3">
      <c r="A4" s="26"/>
      <c r="B4" s="17"/>
      <c r="C4" s="17"/>
      <c r="D4" s="142" t="s">
        <v>3</v>
      </c>
      <c r="E4" s="17"/>
      <c r="F4" s="17"/>
      <c r="G4" s="72"/>
      <c r="H4" s="76"/>
    </row>
    <row r="5" spans="1:10" ht="15.75" customHeight="1" x14ac:dyDescent="0.3">
      <c r="A5" s="51" t="s">
        <v>18</v>
      </c>
      <c r="B5" s="52"/>
      <c r="C5" s="52"/>
      <c r="D5" s="52"/>
      <c r="E5" s="17"/>
      <c r="F5" s="17"/>
      <c r="G5" s="72"/>
      <c r="H5" s="76"/>
    </row>
    <row r="6" spans="1:10" ht="15.75" customHeight="1" x14ac:dyDescent="0.3">
      <c r="A6" s="51" t="s">
        <v>19</v>
      </c>
      <c r="B6" s="52"/>
      <c r="C6" s="52"/>
      <c r="D6" s="52"/>
      <c r="E6" s="17"/>
      <c r="F6" s="17"/>
      <c r="G6" s="72"/>
      <c r="H6" s="76"/>
    </row>
    <row r="7" spans="1:10" ht="15.75" customHeight="1" x14ac:dyDescent="0.3">
      <c r="A7" s="53" t="s">
        <v>1103</v>
      </c>
      <c r="B7" s="54"/>
      <c r="C7" s="54"/>
      <c r="D7" s="54"/>
      <c r="E7" s="30"/>
      <c r="F7" s="30"/>
      <c r="G7" s="73"/>
      <c r="H7" s="77"/>
    </row>
    <row r="8" spans="1:10" ht="53.25" customHeight="1" x14ac:dyDescent="0.3">
      <c r="A8" s="145" t="s">
        <v>21</v>
      </c>
      <c r="B8" s="145" t="s">
        <v>22</v>
      </c>
      <c r="C8" s="145" t="s">
        <v>23</v>
      </c>
      <c r="D8" s="55" t="s">
        <v>24</v>
      </c>
      <c r="E8" s="38" t="s">
        <v>25</v>
      </c>
      <c r="F8" s="38" t="s">
        <v>26</v>
      </c>
      <c r="G8" s="38" t="s">
        <v>27</v>
      </c>
      <c r="H8" s="38" t="s">
        <v>7</v>
      </c>
    </row>
    <row r="9" spans="1:10" x14ac:dyDescent="0.3">
      <c r="A9" s="216" t="s">
        <v>28</v>
      </c>
      <c r="B9" s="217"/>
      <c r="C9" s="217"/>
      <c r="D9" s="218"/>
      <c r="E9" s="38"/>
      <c r="F9" s="38"/>
      <c r="G9" s="38"/>
      <c r="H9" s="38"/>
    </row>
    <row r="10" spans="1:10" x14ac:dyDescent="0.3">
      <c r="A10" s="13" t="s">
        <v>1104</v>
      </c>
      <c r="B10" s="13"/>
      <c r="C10" s="13" t="s">
        <v>14</v>
      </c>
      <c r="D10" s="15" t="s">
        <v>30</v>
      </c>
      <c r="E10" s="56"/>
      <c r="F10" s="56"/>
      <c r="G10" s="63"/>
      <c r="H10" s="63"/>
      <c r="J10" s="57" t="s">
        <v>14</v>
      </c>
    </row>
    <row r="11" spans="1:10" x14ac:dyDescent="0.3">
      <c r="A11" s="13" t="s">
        <v>1105</v>
      </c>
      <c r="B11" s="13">
        <v>1503050</v>
      </c>
      <c r="C11" s="13"/>
      <c r="D11" s="58" t="s">
        <v>32</v>
      </c>
      <c r="E11" s="56"/>
      <c r="F11" s="56"/>
      <c r="G11" s="63"/>
      <c r="H11" s="63"/>
      <c r="J11" s="57" t="s">
        <v>14</v>
      </c>
    </row>
    <row r="12" spans="1:10" ht="12.75" customHeight="1" x14ac:dyDescent="0.3">
      <c r="A12" s="8" t="s">
        <v>1106</v>
      </c>
      <c r="B12" s="8">
        <v>1503050</v>
      </c>
      <c r="C12" s="8">
        <v>3.1</v>
      </c>
      <c r="D12" s="9" t="s">
        <v>2869</v>
      </c>
      <c r="E12" s="59">
        <v>12</v>
      </c>
      <c r="F12" s="56" t="s">
        <v>34</v>
      </c>
      <c r="G12" s="63">
        <f>H12/E12</f>
        <v>0</v>
      </c>
      <c r="H12" s="63">
        <v>0</v>
      </c>
      <c r="J12" s="57" t="s">
        <v>14</v>
      </c>
    </row>
    <row r="13" spans="1:10" x14ac:dyDescent="0.3">
      <c r="A13" s="8" t="s">
        <v>1107</v>
      </c>
      <c r="B13" s="8">
        <v>1503050</v>
      </c>
      <c r="C13" s="8">
        <v>3.1</v>
      </c>
      <c r="D13" s="9" t="s">
        <v>36</v>
      </c>
      <c r="E13" s="59">
        <v>12</v>
      </c>
      <c r="F13" s="56" t="s">
        <v>34</v>
      </c>
      <c r="G13" s="63">
        <f t="shared" ref="G13:G19" si="0">H13/E13</f>
        <v>0</v>
      </c>
      <c r="H13" s="63">
        <v>0</v>
      </c>
      <c r="J13" s="57"/>
    </row>
    <row r="14" spans="1:10" x14ac:dyDescent="0.3">
      <c r="A14" s="8" t="s">
        <v>1108</v>
      </c>
      <c r="B14" s="8">
        <v>1503050</v>
      </c>
      <c r="C14" s="8">
        <v>3.1</v>
      </c>
      <c r="D14" s="9" t="s">
        <v>38</v>
      </c>
      <c r="E14" s="59">
        <v>12</v>
      </c>
      <c r="F14" s="56" t="s">
        <v>34</v>
      </c>
      <c r="G14" s="63">
        <f t="shared" si="0"/>
        <v>0</v>
      </c>
      <c r="H14" s="63">
        <v>0</v>
      </c>
      <c r="J14" s="57"/>
    </row>
    <row r="15" spans="1:10" x14ac:dyDescent="0.3">
      <c r="A15" s="8" t="s">
        <v>1109</v>
      </c>
      <c r="B15" s="8">
        <v>1503050</v>
      </c>
      <c r="C15" s="8">
        <v>3.2</v>
      </c>
      <c r="D15" s="9" t="s">
        <v>40</v>
      </c>
      <c r="E15" s="59">
        <v>12</v>
      </c>
      <c r="F15" s="56" t="s">
        <v>34</v>
      </c>
      <c r="G15" s="63">
        <f t="shared" si="0"/>
        <v>0</v>
      </c>
      <c r="H15" s="63">
        <v>0</v>
      </c>
      <c r="J15" s="57" t="s">
        <v>14</v>
      </c>
    </row>
    <row r="16" spans="1:10" x14ac:dyDescent="0.3">
      <c r="A16" s="8" t="s">
        <v>1110</v>
      </c>
      <c r="B16" s="8">
        <v>1503050</v>
      </c>
      <c r="C16" s="8">
        <v>3.3</v>
      </c>
      <c r="D16" s="9" t="s">
        <v>2870</v>
      </c>
      <c r="E16" s="59">
        <v>12</v>
      </c>
      <c r="F16" s="56" t="s">
        <v>34</v>
      </c>
      <c r="G16" s="63">
        <f t="shared" si="0"/>
        <v>0</v>
      </c>
      <c r="H16" s="63">
        <v>0</v>
      </c>
      <c r="J16" s="57" t="s">
        <v>14</v>
      </c>
    </row>
    <row r="17" spans="1:10" x14ac:dyDescent="0.3">
      <c r="A17" s="8" t="s">
        <v>1111</v>
      </c>
      <c r="B17" s="8">
        <v>1503050</v>
      </c>
      <c r="C17" s="8">
        <v>3.5</v>
      </c>
      <c r="D17" s="9" t="s">
        <v>2871</v>
      </c>
      <c r="E17" s="59">
        <v>12</v>
      </c>
      <c r="F17" s="56" t="s">
        <v>34</v>
      </c>
      <c r="G17" s="63">
        <f t="shared" si="0"/>
        <v>0</v>
      </c>
      <c r="H17" s="63">
        <v>0</v>
      </c>
      <c r="J17" s="57" t="s">
        <v>14</v>
      </c>
    </row>
    <row r="18" spans="1:10" x14ac:dyDescent="0.3">
      <c r="A18" s="8" t="s">
        <v>1112</v>
      </c>
      <c r="B18" s="8">
        <v>1503050</v>
      </c>
      <c r="C18" s="8">
        <v>3.6</v>
      </c>
      <c r="D18" s="9" t="s">
        <v>44</v>
      </c>
      <c r="E18" s="59">
        <v>12</v>
      </c>
      <c r="F18" s="56" t="s">
        <v>34</v>
      </c>
      <c r="G18" s="63">
        <f t="shared" si="0"/>
        <v>0</v>
      </c>
      <c r="H18" s="63">
        <v>0</v>
      </c>
      <c r="J18" s="57"/>
    </row>
    <row r="19" spans="1:10" x14ac:dyDescent="0.3">
      <c r="A19" s="49" t="s">
        <v>1113</v>
      </c>
      <c r="B19" s="8">
        <v>1503050</v>
      </c>
      <c r="C19" s="8">
        <v>3.7</v>
      </c>
      <c r="D19" s="9" t="s">
        <v>46</v>
      </c>
      <c r="E19" s="59">
        <v>12</v>
      </c>
      <c r="F19" s="56" t="s">
        <v>34</v>
      </c>
      <c r="G19" s="63">
        <f t="shared" si="0"/>
        <v>0</v>
      </c>
      <c r="H19" s="63">
        <v>0</v>
      </c>
      <c r="J19" s="57" t="s">
        <v>14</v>
      </c>
    </row>
    <row r="20" spans="1:10" x14ac:dyDescent="0.3">
      <c r="A20" s="13"/>
      <c r="B20" s="13"/>
      <c r="C20" s="13"/>
      <c r="D20" s="144" t="s">
        <v>1114</v>
      </c>
      <c r="E20" s="59">
        <v>12</v>
      </c>
      <c r="F20" s="56" t="s">
        <v>34</v>
      </c>
      <c r="G20" s="63">
        <f>SUM(G12:G19)</f>
        <v>0</v>
      </c>
      <c r="H20" s="63">
        <f>SUM(H12:H19)</f>
        <v>0</v>
      </c>
      <c r="J20" s="57"/>
    </row>
    <row r="21" spans="1:10" x14ac:dyDescent="0.3">
      <c r="A21" s="13" t="s">
        <v>1115</v>
      </c>
      <c r="B21" s="13">
        <v>1503050</v>
      </c>
      <c r="C21" s="8"/>
      <c r="D21" s="58" t="s">
        <v>49</v>
      </c>
      <c r="E21" s="56"/>
      <c r="F21" s="56"/>
      <c r="G21" s="63"/>
      <c r="H21" s="63"/>
      <c r="J21" s="57"/>
    </row>
    <row r="22" spans="1:10" x14ac:dyDescent="0.3">
      <c r="A22" s="8" t="s">
        <v>1116</v>
      </c>
      <c r="B22" s="8">
        <v>1503050</v>
      </c>
      <c r="C22" s="8">
        <v>3.1</v>
      </c>
      <c r="D22" s="9" t="s">
        <v>51</v>
      </c>
      <c r="E22" s="8">
        <v>12</v>
      </c>
      <c r="F22" s="8" t="s">
        <v>34</v>
      </c>
      <c r="G22" s="20">
        <v>0</v>
      </c>
      <c r="H22" s="20">
        <v>0</v>
      </c>
      <c r="J22" s="57"/>
    </row>
    <row r="23" spans="1:10" x14ac:dyDescent="0.3">
      <c r="A23" s="8" t="s">
        <v>1117</v>
      </c>
      <c r="B23" s="8">
        <v>1503050</v>
      </c>
      <c r="C23" s="8">
        <v>3.1</v>
      </c>
      <c r="D23" s="9" t="s">
        <v>2872</v>
      </c>
      <c r="E23" s="59">
        <v>12</v>
      </c>
      <c r="F23" s="56" t="s">
        <v>34</v>
      </c>
      <c r="G23" s="63">
        <f>H23/E23</f>
        <v>0</v>
      </c>
      <c r="H23" s="63">
        <v>0</v>
      </c>
      <c r="J23" s="57"/>
    </row>
    <row r="24" spans="1:10" x14ac:dyDescent="0.3">
      <c r="A24" s="8" t="s">
        <v>1118</v>
      </c>
      <c r="B24" s="8">
        <v>1503050</v>
      </c>
      <c r="C24" s="8">
        <v>3.1</v>
      </c>
      <c r="D24" s="9" t="s">
        <v>2873</v>
      </c>
      <c r="E24" s="59">
        <v>12</v>
      </c>
      <c r="F24" s="56" t="s">
        <v>34</v>
      </c>
      <c r="G24" s="63">
        <f t="shared" ref="G24:G29" si="1">H24/E24</f>
        <v>0</v>
      </c>
      <c r="H24" s="63">
        <v>0</v>
      </c>
      <c r="J24" s="57"/>
    </row>
    <row r="25" spans="1:10" x14ac:dyDescent="0.3">
      <c r="A25" s="8" t="s">
        <v>1119</v>
      </c>
      <c r="B25" s="8">
        <v>1503050</v>
      </c>
      <c r="C25" s="8">
        <v>3.2</v>
      </c>
      <c r="D25" s="9" t="s">
        <v>55</v>
      </c>
      <c r="E25" s="59">
        <v>12</v>
      </c>
      <c r="F25" s="56" t="s">
        <v>34</v>
      </c>
      <c r="G25" s="63">
        <f t="shared" si="1"/>
        <v>0</v>
      </c>
      <c r="H25" s="63">
        <v>0</v>
      </c>
      <c r="J25" s="57"/>
    </row>
    <row r="26" spans="1:10" x14ac:dyDescent="0.3">
      <c r="A26" s="8" t="s">
        <v>1120</v>
      </c>
      <c r="B26" s="8">
        <v>1503050</v>
      </c>
      <c r="C26" s="8">
        <v>3.3</v>
      </c>
      <c r="D26" s="9" t="s">
        <v>57</v>
      </c>
      <c r="E26" s="59">
        <v>12</v>
      </c>
      <c r="F26" s="56" t="s">
        <v>34</v>
      </c>
      <c r="G26" s="63">
        <f t="shared" si="1"/>
        <v>0</v>
      </c>
      <c r="H26" s="63">
        <v>0</v>
      </c>
      <c r="J26" s="57"/>
    </row>
    <row r="27" spans="1:10" x14ac:dyDescent="0.3">
      <c r="A27" s="8" t="s">
        <v>1121</v>
      </c>
      <c r="B27" s="8">
        <v>1503050</v>
      </c>
      <c r="C27" s="8">
        <v>3.5</v>
      </c>
      <c r="D27" s="9" t="s">
        <v>2874</v>
      </c>
      <c r="E27" s="59">
        <v>12</v>
      </c>
      <c r="F27" s="56" t="s">
        <v>34</v>
      </c>
      <c r="G27" s="63">
        <f t="shared" si="1"/>
        <v>0</v>
      </c>
      <c r="H27" s="63">
        <v>0</v>
      </c>
      <c r="J27" s="57"/>
    </row>
    <row r="28" spans="1:10" x14ac:dyDescent="0.3">
      <c r="A28" s="8" t="s">
        <v>1122</v>
      </c>
      <c r="B28" s="8">
        <v>1503050</v>
      </c>
      <c r="C28" s="8">
        <v>3.6</v>
      </c>
      <c r="D28" s="9" t="s">
        <v>60</v>
      </c>
      <c r="E28" s="59">
        <v>12</v>
      </c>
      <c r="F28" s="56" t="s">
        <v>34</v>
      </c>
      <c r="G28" s="63">
        <f t="shared" si="1"/>
        <v>0</v>
      </c>
      <c r="H28" s="63">
        <v>0</v>
      </c>
      <c r="J28" s="57"/>
    </row>
    <row r="29" spans="1:10" x14ac:dyDescent="0.3">
      <c r="A29" s="8" t="s">
        <v>1123</v>
      </c>
      <c r="B29" s="8">
        <v>1503050</v>
      </c>
      <c r="C29" s="8">
        <v>3.7</v>
      </c>
      <c r="D29" s="9" t="s">
        <v>62</v>
      </c>
      <c r="E29" s="59">
        <v>12</v>
      </c>
      <c r="F29" s="56" t="s">
        <v>34</v>
      </c>
      <c r="G29" s="63">
        <f t="shared" si="1"/>
        <v>0</v>
      </c>
      <c r="H29" s="63">
        <v>0</v>
      </c>
      <c r="J29" s="57"/>
    </row>
    <row r="30" spans="1:10" x14ac:dyDescent="0.3">
      <c r="A30" s="13"/>
      <c r="B30" s="13"/>
      <c r="C30" s="13"/>
      <c r="D30" s="144" t="s">
        <v>1124</v>
      </c>
      <c r="E30" s="59">
        <v>12</v>
      </c>
      <c r="F30" s="56" t="s">
        <v>34</v>
      </c>
      <c r="G30" s="63">
        <f>SUM(G22:G29)</f>
        <v>0</v>
      </c>
      <c r="H30" s="63">
        <f>SUM(H22:H29)</f>
        <v>0</v>
      </c>
      <c r="J30" s="57"/>
    </row>
    <row r="31" spans="1:10" x14ac:dyDescent="0.3">
      <c r="A31" s="13" t="s">
        <v>1125</v>
      </c>
      <c r="B31" s="13">
        <v>1503050</v>
      </c>
      <c r="C31" s="13"/>
      <c r="D31" s="192" t="s">
        <v>65</v>
      </c>
      <c r="E31" s="56"/>
      <c r="F31" s="56"/>
      <c r="G31" s="63"/>
      <c r="H31" s="63"/>
      <c r="J31" s="57"/>
    </row>
    <row r="32" spans="1:10" x14ac:dyDescent="0.3">
      <c r="A32" s="8" t="s">
        <v>1126</v>
      </c>
      <c r="B32" s="8">
        <v>1503050</v>
      </c>
      <c r="C32" s="8">
        <v>3.1</v>
      </c>
      <c r="D32" s="4" t="s">
        <v>67</v>
      </c>
      <c r="E32" s="59">
        <v>12</v>
      </c>
      <c r="F32" s="56" t="s">
        <v>34</v>
      </c>
      <c r="G32" s="63">
        <f t="shared" ref="G32:G39" si="2">H32/E32</f>
        <v>0</v>
      </c>
      <c r="H32" s="63">
        <v>0</v>
      </c>
      <c r="J32" s="57"/>
    </row>
    <row r="33" spans="1:10" x14ac:dyDescent="0.3">
      <c r="A33" s="8" t="s">
        <v>1127</v>
      </c>
      <c r="B33" s="8">
        <v>1503050</v>
      </c>
      <c r="C33" s="8">
        <v>3.1</v>
      </c>
      <c r="D33" s="4" t="s">
        <v>2875</v>
      </c>
      <c r="E33" s="59">
        <v>12</v>
      </c>
      <c r="F33" s="56" t="s">
        <v>34</v>
      </c>
      <c r="G33" s="63">
        <f t="shared" si="2"/>
        <v>0</v>
      </c>
      <c r="H33" s="63">
        <v>0</v>
      </c>
      <c r="J33" s="57"/>
    </row>
    <row r="34" spans="1:10" x14ac:dyDescent="0.3">
      <c r="A34" s="8" t="s">
        <v>1128</v>
      </c>
      <c r="B34" s="8">
        <v>1503050</v>
      </c>
      <c r="C34" s="8">
        <v>3.1</v>
      </c>
      <c r="D34" s="4" t="s">
        <v>70</v>
      </c>
      <c r="E34" s="59">
        <v>12</v>
      </c>
      <c r="F34" s="56" t="s">
        <v>34</v>
      </c>
      <c r="G34" s="63">
        <f t="shared" si="2"/>
        <v>0</v>
      </c>
      <c r="H34" s="63">
        <v>0</v>
      </c>
      <c r="J34" s="57"/>
    </row>
    <row r="35" spans="1:10" ht="12.75" customHeight="1" x14ac:dyDescent="0.3">
      <c r="A35" s="8" t="s">
        <v>1129</v>
      </c>
      <c r="B35" s="8">
        <v>1503050</v>
      </c>
      <c r="C35" s="8">
        <v>3.2</v>
      </c>
      <c r="D35" s="60" t="s">
        <v>72</v>
      </c>
      <c r="E35" s="59">
        <v>12</v>
      </c>
      <c r="F35" s="56" t="s">
        <v>34</v>
      </c>
      <c r="G35" s="63">
        <f t="shared" si="2"/>
        <v>0</v>
      </c>
      <c r="H35" s="63">
        <v>0</v>
      </c>
      <c r="J35" s="57"/>
    </row>
    <row r="36" spans="1:10" x14ac:dyDescent="0.3">
      <c r="A36" s="8" t="s">
        <v>1130</v>
      </c>
      <c r="B36" s="8">
        <v>1503050</v>
      </c>
      <c r="C36" s="8">
        <v>3.3</v>
      </c>
      <c r="D36" s="9" t="s">
        <v>74</v>
      </c>
      <c r="E36" s="59">
        <v>12</v>
      </c>
      <c r="F36" s="56" t="s">
        <v>34</v>
      </c>
      <c r="G36" s="63">
        <f t="shared" si="2"/>
        <v>0</v>
      </c>
      <c r="H36" s="63">
        <v>0</v>
      </c>
      <c r="J36" s="57"/>
    </row>
    <row r="37" spans="1:10" x14ac:dyDescent="0.3">
      <c r="A37" s="8" t="s">
        <v>1131</v>
      </c>
      <c r="B37" s="8">
        <v>1503050</v>
      </c>
      <c r="C37" s="8">
        <v>3.5</v>
      </c>
      <c r="D37" s="9" t="s">
        <v>2876</v>
      </c>
      <c r="E37" s="59">
        <v>12</v>
      </c>
      <c r="F37" s="56" t="s">
        <v>34</v>
      </c>
      <c r="G37" s="63">
        <f t="shared" si="2"/>
        <v>0</v>
      </c>
      <c r="H37" s="63">
        <v>0</v>
      </c>
      <c r="J37" s="57"/>
    </row>
    <row r="38" spans="1:10" x14ac:dyDescent="0.3">
      <c r="A38" s="8" t="s">
        <v>1132</v>
      </c>
      <c r="B38" s="8">
        <v>1503050</v>
      </c>
      <c r="C38" s="8">
        <v>3.6</v>
      </c>
      <c r="D38" s="9" t="s">
        <v>77</v>
      </c>
      <c r="E38" s="59">
        <v>12</v>
      </c>
      <c r="F38" s="56" t="s">
        <v>34</v>
      </c>
      <c r="G38" s="63">
        <f t="shared" si="2"/>
        <v>0</v>
      </c>
      <c r="H38" s="63">
        <v>0</v>
      </c>
      <c r="J38" s="57"/>
    </row>
    <row r="39" spans="1:10" x14ac:dyDescent="0.3">
      <c r="A39" s="8" t="s">
        <v>1133</v>
      </c>
      <c r="B39" s="8">
        <v>1503050</v>
      </c>
      <c r="C39" s="8">
        <v>3.7</v>
      </c>
      <c r="D39" s="9" t="s">
        <v>79</v>
      </c>
      <c r="E39" s="59">
        <v>12</v>
      </c>
      <c r="F39" s="56" t="s">
        <v>34</v>
      </c>
      <c r="G39" s="63">
        <f t="shared" si="2"/>
        <v>0</v>
      </c>
      <c r="H39" s="63">
        <v>0</v>
      </c>
      <c r="J39" s="57"/>
    </row>
    <row r="40" spans="1:10" ht="12.75" customHeight="1" x14ac:dyDescent="0.3">
      <c r="A40" s="13"/>
      <c r="B40" s="13"/>
      <c r="C40" s="13"/>
      <c r="D40" s="144" t="s">
        <v>1134</v>
      </c>
      <c r="E40" s="59">
        <v>12</v>
      </c>
      <c r="F40" s="56" t="s">
        <v>34</v>
      </c>
      <c r="G40" s="63">
        <f t="shared" ref="G40:H40" si="3">SUM(G32:G39)</f>
        <v>0</v>
      </c>
      <c r="H40" s="63">
        <f t="shared" si="3"/>
        <v>0</v>
      </c>
      <c r="J40" s="57"/>
    </row>
    <row r="41" spans="1:10" x14ac:dyDescent="0.3">
      <c r="A41" s="13" t="s">
        <v>1135</v>
      </c>
      <c r="B41" s="13">
        <v>1503050</v>
      </c>
      <c r="C41" s="8"/>
      <c r="D41" s="192" t="s">
        <v>82</v>
      </c>
      <c r="E41" s="56"/>
      <c r="F41" s="56"/>
      <c r="G41" s="63"/>
      <c r="H41" s="63"/>
      <c r="J41" s="57"/>
    </row>
    <row r="42" spans="1:10" x14ac:dyDescent="0.3">
      <c r="A42" s="8" t="s">
        <v>1136</v>
      </c>
      <c r="B42" s="8">
        <v>1503050</v>
      </c>
      <c r="C42" s="8">
        <v>3.1</v>
      </c>
      <c r="D42" s="9" t="s">
        <v>84</v>
      </c>
      <c r="E42" s="59">
        <v>12</v>
      </c>
      <c r="F42" s="56" t="s">
        <v>34</v>
      </c>
      <c r="G42" s="63">
        <f t="shared" ref="G42:G49" si="4">H42/E42</f>
        <v>0</v>
      </c>
      <c r="H42" s="63">
        <v>0</v>
      </c>
      <c r="J42" s="57"/>
    </row>
    <row r="43" spans="1:10" x14ac:dyDescent="0.3">
      <c r="A43" s="8" t="s">
        <v>1137</v>
      </c>
      <c r="B43" s="8">
        <v>1503050</v>
      </c>
      <c r="C43" s="8">
        <v>3.1</v>
      </c>
      <c r="D43" s="9" t="s">
        <v>86</v>
      </c>
      <c r="E43" s="59">
        <v>12</v>
      </c>
      <c r="F43" s="56" t="s">
        <v>34</v>
      </c>
      <c r="G43" s="63">
        <f t="shared" si="4"/>
        <v>0</v>
      </c>
      <c r="H43" s="63">
        <v>0</v>
      </c>
      <c r="J43" s="57"/>
    </row>
    <row r="44" spans="1:10" x14ac:dyDescent="0.3">
      <c r="A44" s="8" t="s">
        <v>1138</v>
      </c>
      <c r="B44" s="8">
        <v>1503050</v>
      </c>
      <c r="C44" s="8">
        <v>3.1</v>
      </c>
      <c r="D44" s="9" t="s">
        <v>88</v>
      </c>
      <c r="E44" s="59">
        <v>12</v>
      </c>
      <c r="F44" s="56" t="s">
        <v>34</v>
      </c>
      <c r="G44" s="63">
        <f t="shared" si="4"/>
        <v>0</v>
      </c>
      <c r="H44" s="63">
        <v>0</v>
      </c>
      <c r="J44" s="57"/>
    </row>
    <row r="45" spans="1:10" x14ac:dyDescent="0.3">
      <c r="A45" s="8" t="s">
        <v>1139</v>
      </c>
      <c r="B45" s="8">
        <v>1503050</v>
      </c>
      <c r="C45" s="8">
        <v>3.2</v>
      </c>
      <c r="D45" s="9" t="s">
        <v>90</v>
      </c>
      <c r="E45" s="59">
        <v>12</v>
      </c>
      <c r="F45" s="56" t="s">
        <v>34</v>
      </c>
      <c r="G45" s="63">
        <f t="shared" si="4"/>
        <v>0</v>
      </c>
      <c r="H45" s="63">
        <v>0</v>
      </c>
      <c r="J45" s="57"/>
    </row>
    <row r="46" spans="1:10" x14ac:dyDescent="0.3">
      <c r="A46" s="8" t="s">
        <v>1140</v>
      </c>
      <c r="B46" s="8">
        <v>1503050</v>
      </c>
      <c r="C46" s="8">
        <v>3.3</v>
      </c>
      <c r="D46" s="9" t="s">
        <v>92</v>
      </c>
      <c r="E46" s="59">
        <v>12</v>
      </c>
      <c r="F46" s="56" t="s">
        <v>34</v>
      </c>
      <c r="G46" s="63">
        <f t="shared" si="4"/>
        <v>0</v>
      </c>
      <c r="H46" s="63">
        <v>0</v>
      </c>
      <c r="J46" s="57"/>
    </row>
    <row r="47" spans="1:10" x14ac:dyDescent="0.3">
      <c r="A47" s="8" t="s">
        <v>1141</v>
      </c>
      <c r="B47" s="8">
        <v>1503050</v>
      </c>
      <c r="C47" s="8">
        <v>3.5</v>
      </c>
      <c r="D47" s="9" t="s">
        <v>94</v>
      </c>
      <c r="E47" s="59">
        <v>12</v>
      </c>
      <c r="F47" s="56" t="s">
        <v>34</v>
      </c>
      <c r="G47" s="63">
        <f t="shared" si="4"/>
        <v>0</v>
      </c>
      <c r="H47" s="63">
        <v>0</v>
      </c>
      <c r="J47" s="57"/>
    </row>
    <row r="48" spans="1:10" x14ac:dyDescent="0.3">
      <c r="A48" s="8" t="s">
        <v>1142</v>
      </c>
      <c r="B48" s="8">
        <v>1503050</v>
      </c>
      <c r="C48" s="8">
        <v>3.6</v>
      </c>
      <c r="D48" s="9" t="s">
        <v>96</v>
      </c>
      <c r="E48" s="59">
        <v>12</v>
      </c>
      <c r="F48" s="56" t="s">
        <v>34</v>
      </c>
      <c r="G48" s="63">
        <f t="shared" si="4"/>
        <v>0</v>
      </c>
      <c r="H48" s="63">
        <v>0</v>
      </c>
      <c r="J48" s="57"/>
    </row>
    <row r="49" spans="1:10" x14ac:dyDescent="0.3">
      <c r="A49" s="8" t="s">
        <v>1143</v>
      </c>
      <c r="B49" s="8">
        <v>1503050</v>
      </c>
      <c r="C49" s="8">
        <v>3.7</v>
      </c>
      <c r="D49" s="9" t="s">
        <v>98</v>
      </c>
      <c r="E49" s="59">
        <v>12</v>
      </c>
      <c r="F49" s="56" t="s">
        <v>34</v>
      </c>
      <c r="G49" s="63">
        <f t="shared" si="4"/>
        <v>0</v>
      </c>
      <c r="H49" s="63">
        <v>0</v>
      </c>
      <c r="J49" s="57"/>
    </row>
    <row r="50" spans="1:10" x14ac:dyDescent="0.3">
      <c r="A50" s="13"/>
      <c r="B50" s="13"/>
      <c r="C50" s="13"/>
      <c r="D50" s="144" t="s">
        <v>1144</v>
      </c>
      <c r="E50" s="59">
        <v>12</v>
      </c>
      <c r="F50" s="56" t="s">
        <v>34</v>
      </c>
      <c r="G50" s="63">
        <f t="shared" ref="G50:H50" si="5">SUM(G42:G49)</f>
        <v>0</v>
      </c>
      <c r="H50" s="63">
        <f t="shared" si="5"/>
        <v>0</v>
      </c>
      <c r="J50" s="57"/>
    </row>
    <row r="51" spans="1:10" ht="12.75" customHeight="1" x14ac:dyDescent="0.3">
      <c r="A51" s="13" t="s">
        <v>1145</v>
      </c>
      <c r="B51" s="13">
        <v>1503050</v>
      </c>
      <c r="C51" s="13"/>
      <c r="D51" s="192" t="s">
        <v>101</v>
      </c>
      <c r="E51" s="56"/>
      <c r="F51" s="56"/>
      <c r="G51" s="63"/>
      <c r="H51" s="63"/>
      <c r="J51" s="57"/>
    </row>
    <row r="52" spans="1:10" x14ac:dyDescent="0.3">
      <c r="A52" s="8" t="s">
        <v>1146</v>
      </c>
      <c r="B52" s="8">
        <v>1503050</v>
      </c>
      <c r="C52" s="8">
        <v>3.1</v>
      </c>
      <c r="D52" s="4" t="s">
        <v>2877</v>
      </c>
      <c r="E52" s="59">
        <v>12</v>
      </c>
      <c r="F52" s="56" t="s">
        <v>34</v>
      </c>
      <c r="G52" s="63">
        <f t="shared" ref="G52:G59" si="6">H52/E52</f>
        <v>0</v>
      </c>
      <c r="H52" s="63">
        <v>0</v>
      </c>
      <c r="J52" s="57"/>
    </row>
    <row r="53" spans="1:10" x14ac:dyDescent="0.3">
      <c r="A53" s="8" t="s">
        <v>1147</v>
      </c>
      <c r="B53" s="8">
        <v>1503050</v>
      </c>
      <c r="C53" s="8">
        <v>3.1</v>
      </c>
      <c r="D53" s="4" t="s">
        <v>2878</v>
      </c>
      <c r="E53" s="59">
        <v>12</v>
      </c>
      <c r="F53" s="56" t="s">
        <v>34</v>
      </c>
      <c r="G53" s="63">
        <f t="shared" si="6"/>
        <v>0</v>
      </c>
      <c r="H53" s="63">
        <v>0</v>
      </c>
      <c r="J53" s="57"/>
    </row>
    <row r="54" spans="1:10" x14ac:dyDescent="0.3">
      <c r="A54" s="8" t="s">
        <v>1148</v>
      </c>
      <c r="B54" s="8">
        <v>1503050</v>
      </c>
      <c r="C54" s="8">
        <v>3.1</v>
      </c>
      <c r="D54" s="4" t="s">
        <v>105</v>
      </c>
      <c r="E54" s="59">
        <v>12</v>
      </c>
      <c r="F54" s="56" t="s">
        <v>34</v>
      </c>
      <c r="G54" s="63">
        <f t="shared" si="6"/>
        <v>0</v>
      </c>
      <c r="H54" s="63">
        <v>0</v>
      </c>
      <c r="J54" s="57"/>
    </row>
    <row r="55" spans="1:10" ht="12.75" customHeight="1" x14ac:dyDescent="0.3">
      <c r="A55" s="8" t="s">
        <v>1149</v>
      </c>
      <c r="B55" s="8">
        <v>1503050</v>
      </c>
      <c r="C55" s="8">
        <v>3.2</v>
      </c>
      <c r="D55" s="60" t="s">
        <v>2879</v>
      </c>
      <c r="E55" s="59">
        <v>12</v>
      </c>
      <c r="F55" s="56" t="s">
        <v>34</v>
      </c>
      <c r="G55" s="63">
        <f t="shared" si="6"/>
        <v>0</v>
      </c>
      <c r="H55" s="63">
        <v>0</v>
      </c>
      <c r="J55" s="57"/>
    </row>
    <row r="56" spans="1:10" x14ac:dyDescent="0.3">
      <c r="A56" s="8" t="s">
        <v>1150</v>
      </c>
      <c r="B56" s="8">
        <v>1503050</v>
      </c>
      <c r="C56" s="8">
        <v>3.3</v>
      </c>
      <c r="D56" s="9" t="s">
        <v>108</v>
      </c>
      <c r="E56" s="59">
        <v>12</v>
      </c>
      <c r="F56" s="56" t="s">
        <v>34</v>
      </c>
      <c r="G56" s="63">
        <f t="shared" si="6"/>
        <v>0</v>
      </c>
      <c r="H56" s="63">
        <v>0</v>
      </c>
      <c r="J56" s="57"/>
    </row>
    <row r="57" spans="1:10" x14ac:dyDescent="0.3">
      <c r="A57" s="8" t="s">
        <v>1151</v>
      </c>
      <c r="B57" s="8">
        <v>1503050</v>
      </c>
      <c r="C57" s="8">
        <v>3.5</v>
      </c>
      <c r="D57" s="9" t="s">
        <v>2880</v>
      </c>
      <c r="E57" s="59">
        <v>12</v>
      </c>
      <c r="F57" s="56" t="s">
        <v>34</v>
      </c>
      <c r="G57" s="63">
        <f t="shared" si="6"/>
        <v>0</v>
      </c>
      <c r="H57" s="63">
        <v>0</v>
      </c>
      <c r="J57" s="57"/>
    </row>
    <row r="58" spans="1:10" x14ac:dyDescent="0.3">
      <c r="A58" s="8" t="s">
        <v>1152</v>
      </c>
      <c r="B58" s="8">
        <v>1503050</v>
      </c>
      <c r="C58" s="8">
        <v>3.6</v>
      </c>
      <c r="D58" s="9" t="s">
        <v>111</v>
      </c>
      <c r="E58" s="59">
        <v>12</v>
      </c>
      <c r="F58" s="56" t="s">
        <v>34</v>
      </c>
      <c r="G58" s="63">
        <f t="shared" si="6"/>
        <v>0</v>
      </c>
      <c r="H58" s="63">
        <v>0</v>
      </c>
      <c r="J58" s="57"/>
    </row>
    <row r="59" spans="1:10" x14ac:dyDescent="0.3">
      <c r="A59" s="8" t="s">
        <v>1153</v>
      </c>
      <c r="B59" s="8">
        <v>1503050</v>
      </c>
      <c r="C59" s="8">
        <v>3.7</v>
      </c>
      <c r="D59" s="9" t="s">
        <v>113</v>
      </c>
      <c r="E59" s="59">
        <v>12</v>
      </c>
      <c r="F59" s="56" t="s">
        <v>34</v>
      </c>
      <c r="G59" s="63">
        <f t="shared" si="6"/>
        <v>0</v>
      </c>
      <c r="H59" s="63">
        <v>0</v>
      </c>
      <c r="J59" s="57"/>
    </row>
    <row r="60" spans="1:10" x14ac:dyDescent="0.3">
      <c r="A60" s="13"/>
      <c r="B60" s="13"/>
      <c r="C60" s="13"/>
      <c r="D60" s="144" t="s">
        <v>1154</v>
      </c>
      <c r="E60" s="59">
        <v>12</v>
      </c>
      <c r="F60" s="56" t="s">
        <v>34</v>
      </c>
      <c r="G60" s="63">
        <f t="shared" ref="G60:H60" si="7">SUM(G52:G59)</f>
        <v>0</v>
      </c>
      <c r="H60" s="63">
        <f t="shared" si="7"/>
        <v>0</v>
      </c>
      <c r="J60" s="57"/>
    </row>
    <row r="61" spans="1:10" x14ac:dyDescent="0.3">
      <c r="A61" s="13" t="s">
        <v>1155</v>
      </c>
      <c r="B61" s="13">
        <v>1503050</v>
      </c>
      <c r="C61" s="8"/>
      <c r="D61" s="192" t="s">
        <v>116</v>
      </c>
      <c r="E61" s="56"/>
      <c r="F61" s="56"/>
      <c r="G61" s="63"/>
      <c r="H61" s="63"/>
      <c r="J61" s="57"/>
    </row>
    <row r="62" spans="1:10" x14ac:dyDescent="0.3">
      <c r="A62" s="8" t="s">
        <v>1156</v>
      </c>
      <c r="B62" s="8">
        <v>1503050</v>
      </c>
      <c r="C62" s="8">
        <v>3.1</v>
      </c>
      <c r="D62" s="9" t="s">
        <v>2881</v>
      </c>
      <c r="E62" s="59">
        <v>12</v>
      </c>
      <c r="F62" s="56" t="s">
        <v>34</v>
      </c>
      <c r="G62" s="63">
        <f t="shared" ref="G62:G69" si="8">H62/E62</f>
        <v>0</v>
      </c>
      <c r="H62" s="63">
        <v>0</v>
      </c>
      <c r="J62" s="57"/>
    </row>
    <row r="63" spans="1:10" x14ac:dyDescent="0.3">
      <c r="A63" s="8" t="s">
        <v>1157</v>
      </c>
      <c r="B63" s="8">
        <v>1503050</v>
      </c>
      <c r="C63" s="8">
        <v>3.1</v>
      </c>
      <c r="D63" s="9" t="s">
        <v>2882</v>
      </c>
      <c r="E63" s="59">
        <v>12</v>
      </c>
      <c r="F63" s="56" t="s">
        <v>34</v>
      </c>
      <c r="G63" s="63">
        <f t="shared" si="8"/>
        <v>0</v>
      </c>
      <c r="H63" s="63">
        <v>0</v>
      </c>
      <c r="J63" s="57"/>
    </row>
    <row r="64" spans="1:10" x14ac:dyDescent="0.3">
      <c r="A64" s="8" t="s">
        <v>1158</v>
      </c>
      <c r="B64" s="8">
        <v>1503050</v>
      </c>
      <c r="C64" s="8">
        <v>3.1</v>
      </c>
      <c r="D64" s="9" t="s">
        <v>120</v>
      </c>
      <c r="E64" s="59">
        <v>12</v>
      </c>
      <c r="F64" s="56" t="s">
        <v>34</v>
      </c>
      <c r="G64" s="63">
        <f t="shared" si="8"/>
        <v>0</v>
      </c>
      <c r="H64" s="63">
        <v>0</v>
      </c>
      <c r="J64" s="57"/>
    </row>
    <row r="65" spans="1:10" x14ac:dyDescent="0.3">
      <c r="A65" s="8" t="s">
        <v>1159</v>
      </c>
      <c r="B65" s="8">
        <v>1503050</v>
      </c>
      <c r="C65" s="8">
        <v>3.2</v>
      </c>
      <c r="D65" s="9" t="s">
        <v>2883</v>
      </c>
      <c r="E65" s="59">
        <v>12</v>
      </c>
      <c r="F65" s="56" t="s">
        <v>34</v>
      </c>
      <c r="G65" s="63">
        <f t="shared" si="8"/>
        <v>0</v>
      </c>
      <c r="H65" s="63">
        <v>0</v>
      </c>
      <c r="J65" s="57"/>
    </row>
    <row r="66" spans="1:10" x14ac:dyDescent="0.3">
      <c r="A66" s="8" t="s">
        <v>1160</v>
      </c>
      <c r="B66" s="8">
        <v>1503050</v>
      </c>
      <c r="C66" s="8">
        <v>3.3</v>
      </c>
      <c r="D66" s="9" t="s">
        <v>2884</v>
      </c>
      <c r="E66" s="59">
        <v>12</v>
      </c>
      <c r="F66" s="56" t="s">
        <v>34</v>
      </c>
      <c r="G66" s="63">
        <f t="shared" si="8"/>
        <v>0</v>
      </c>
      <c r="H66" s="63">
        <v>0</v>
      </c>
      <c r="J66" s="57"/>
    </row>
    <row r="67" spans="1:10" x14ac:dyDescent="0.3">
      <c r="A67" s="8" t="s">
        <v>1161</v>
      </c>
      <c r="B67" s="8">
        <v>1503050</v>
      </c>
      <c r="C67" s="8">
        <v>3.5</v>
      </c>
      <c r="D67" s="9" t="s">
        <v>2885</v>
      </c>
      <c r="E67" s="59">
        <v>12</v>
      </c>
      <c r="F67" s="56" t="s">
        <v>34</v>
      </c>
      <c r="G67" s="63">
        <f t="shared" si="8"/>
        <v>0</v>
      </c>
      <c r="H67" s="63">
        <v>0</v>
      </c>
      <c r="J67" s="57"/>
    </row>
    <row r="68" spans="1:10" x14ac:dyDescent="0.3">
      <c r="A68" s="8" t="s">
        <v>1162</v>
      </c>
      <c r="B68" s="8">
        <v>1503050</v>
      </c>
      <c r="C68" s="8">
        <v>3.6</v>
      </c>
      <c r="D68" s="9" t="s">
        <v>125</v>
      </c>
      <c r="E68" s="59">
        <v>12</v>
      </c>
      <c r="F68" s="56" t="s">
        <v>34</v>
      </c>
      <c r="G68" s="63">
        <f t="shared" si="8"/>
        <v>0</v>
      </c>
      <c r="H68" s="63">
        <v>0</v>
      </c>
      <c r="J68" s="57"/>
    </row>
    <row r="69" spans="1:10" x14ac:dyDescent="0.3">
      <c r="A69" s="8" t="s">
        <v>1163</v>
      </c>
      <c r="B69" s="8">
        <v>1503050</v>
      </c>
      <c r="C69" s="8">
        <v>3.7</v>
      </c>
      <c r="D69" s="9" t="s">
        <v>127</v>
      </c>
      <c r="E69" s="59">
        <v>12</v>
      </c>
      <c r="F69" s="56" t="s">
        <v>34</v>
      </c>
      <c r="G69" s="63">
        <f t="shared" si="8"/>
        <v>0</v>
      </c>
      <c r="H69" s="63">
        <v>0</v>
      </c>
      <c r="J69" s="57"/>
    </row>
    <row r="70" spans="1:10" x14ac:dyDescent="0.3">
      <c r="A70" s="13"/>
      <c r="B70" s="13"/>
      <c r="C70" s="13"/>
      <c r="D70" s="144" t="s">
        <v>1164</v>
      </c>
      <c r="E70" s="59">
        <v>12</v>
      </c>
      <c r="F70" s="56" t="s">
        <v>34</v>
      </c>
      <c r="G70" s="63">
        <f t="shared" ref="G70:H70" si="9">SUM(G62:G69)</f>
        <v>0</v>
      </c>
      <c r="H70" s="63">
        <f t="shared" si="9"/>
        <v>0</v>
      </c>
      <c r="J70" s="57"/>
    </row>
    <row r="71" spans="1:10" ht="12.75" customHeight="1" x14ac:dyDescent="0.3">
      <c r="A71" s="13" t="s">
        <v>1165</v>
      </c>
      <c r="B71" s="13">
        <v>1503050</v>
      </c>
      <c r="C71" s="13"/>
      <c r="D71" s="192" t="s">
        <v>130</v>
      </c>
      <c r="E71" s="56"/>
      <c r="F71" s="56"/>
      <c r="G71" s="63"/>
      <c r="H71" s="63"/>
      <c r="J71" s="57"/>
    </row>
    <row r="72" spans="1:10" x14ac:dyDescent="0.3">
      <c r="A72" s="8" t="s">
        <v>1166</v>
      </c>
      <c r="B72" s="8">
        <v>1503050</v>
      </c>
      <c r="C72" s="8">
        <v>3.1</v>
      </c>
      <c r="D72" s="4" t="s">
        <v>2886</v>
      </c>
      <c r="E72" s="59">
        <v>12</v>
      </c>
      <c r="F72" s="56" t="s">
        <v>34</v>
      </c>
      <c r="G72" s="63">
        <f t="shared" ref="G72:G79" si="10">H72/E72</f>
        <v>0</v>
      </c>
      <c r="H72" s="63">
        <v>0</v>
      </c>
      <c r="J72" s="57"/>
    </row>
    <row r="73" spans="1:10" x14ac:dyDescent="0.3">
      <c r="A73" s="8" t="s">
        <v>1167</v>
      </c>
      <c r="B73" s="8">
        <v>1503050</v>
      </c>
      <c r="C73" s="8">
        <v>3.1</v>
      </c>
      <c r="D73" s="4" t="s">
        <v>133</v>
      </c>
      <c r="E73" s="59">
        <v>12</v>
      </c>
      <c r="F73" s="56" t="s">
        <v>34</v>
      </c>
      <c r="G73" s="63">
        <f t="shared" si="10"/>
        <v>0</v>
      </c>
      <c r="H73" s="63">
        <v>0</v>
      </c>
      <c r="J73" s="57"/>
    </row>
    <row r="74" spans="1:10" x14ac:dyDescent="0.3">
      <c r="A74" s="8" t="s">
        <v>1168</v>
      </c>
      <c r="B74" s="8">
        <v>1503050</v>
      </c>
      <c r="C74" s="8">
        <v>3.1</v>
      </c>
      <c r="D74" s="4" t="s">
        <v>135</v>
      </c>
      <c r="E74" s="59">
        <v>12</v>
      </c>
      <c r="F74" s="56" t="s">
        <v>34</v>
      </c>
      <c r="G74" s="63">
        <f t="shared" si="10"/>
        <v>0</v>
      </c>
      <c r="H74" s="63">
        <v>0</v>
      </c>
      <c r="J74" s="57"/>
    </row>
    <row r="75" spans="1:10" ht="12.75" customHeight="1" x14ac:dyDescent="0.3">
      <c r="A75" s="8" t="s">
        <v>1169</v>
      </c>
      <c r="B75" s="8">
        <v>1503050</v>
      </c>
      <c r="C75" s="8">
        <v>3.2</v>
      </c>
      <c r="D75" s="60" t="s">
        <v>137</v>
      </c>
      <c r="E75" s="59">
        <v>12</v>
      </c>
      <c r="F75" s="56" t="s">
        <v>34</v>
      </c>
      <c r="G75" s="63">
        <f t="shared" si="10"/>
        <v>0</v>
      </c>
      <c r="H75" s="63">
        <v>0</v>
      </c>
      <c r="J75" s="57"/>
    </row>
    <row r="76" spans="1:10" x14ac:dyDescent="0.3">
      <c r="A76" s="8" t="s">
        <v>1170</v>
      </c>
      <c r="B76" s="8">
        <v>1503050</v>
      </c>
      <c r="C76" s="8">
        <v>3.3</v>
      </c>
      <c r="D76" s="9" t="s">
        <v>139</v>
      </c>
      <c r="E76" s="59">
        <v>12</v>
      </c>
      <c r="F76" s="56" t="s">
        <v>34</v>
      </c>
      <c r="G76" s="63">
        <f t="shared" si="10"/>
        <v>0</v>
      </c>
      <c r="H76" s="63">
        <v>0</v>
      </c>
      <c r="J76" s="57"/>
    </row>
    <row r="77" spans="1:10" x14ac:dyDescent="0.3">
      <c r="A77" s="8" t="s">
        <v>1171</v>
      </c>
      <c r="B77" s="8">
        <v>1503050</v>
      </c>
      <c r="C77" s="8">
        <v>3.5</v>
      </c>
      <c r="D77" s="9" t="s">
        <v>2887</v>
      </c>
      <c r="E77" s="59">
        <v>12</v>
      </c>
      <c r="F77" s="56" t="s">
        <v>34</v>
      </c>
      <c r="G77" s="63">
        <f t="shared" si="10"/>
        <v>0</v>
      </c>
      <c r="H77" s="63">
        <v>0</v>
      </c>
      <c r="J77" s="57"/>
    </row>
    <row r="78" spans="1:10" x14ac:dyDescent="0.3">
      <c r="A78" s="8" t="s">
        <v>1172</v>
      </c>
      <c r="B78" s="8">
        <v>1503050</v>
      </c>
      <c r="C78" s="8">
        <v>3.6</v>
      </c>
      <c r="D78" s="9" t="s">
        <v>142</v>
      </c>
      <c r="E78" s="59">
        <v>12</v>
      </c>
      <c r="F78" s="56" t="s">
        <v>34</v>
      </c>
      <c r="G78" s="63">
        <f t="shared" si="10"/>
        <v>0</v>
      </c>
      <c r="H78" s="63">
        <v>0</v>
      </c>
      <c r="J78" s="57"/>
    </row>
    <row r="79" spans="1:10" x14ac:dyDescent="0.3">
      <c r="A79" s="8" t="s">
        <v>1173</v>
      </c>
      <c r="B79" s="8">
        <v>1503050</v>
      </c>
      <c r="C79" s="8">
        <v>3.7</v>
      </c>
      <c r="D79" s="9" t="s">
        <v>144</v>
      </c>
      <c r="E79" s="59">
        <v>12</v>
      </c>
      <c r="F79" s="56" t="s">
        <v>34</v>
      </c>
      <c r="G79" s="63">
        <f t="shared" si="10"/>
        <v>0</v>
      </c>
      <c r="H79" s="63">
        <v>0</v>
      </c>
      <c r="J79" s="57"/>
    </row>
    <row r="80" spans="1:10" x14ac:dyDescent="0.3">
      <c r="A80" s="13"/>
      <c r="B80" s="13"/>
      <c r="C80" s="13"/>
      <c r="D80" s="144" t="s">
        <v>1174</v>
      </c>
      <c r="E80" s="59">
        <v>12</v>
      </c>
      <c r="F80" s="56" t="s">
        <v>34</v>
      </c>
      <c r="G80" s="63">
        <f t="shared" ref="G80:H80" si="11">SUM(G72:G79)</f>
        <v>0</v>
      </c>
      <c r="H80" s="63">
        <f t="shared" si="11"/>
        <v>0</v>
      </c>
      <c r="J80" s="57"/>
    </row>
    <row r="81" spans="1:10" x14ac:dyDescent="0.3">
      <c r="A81" s="13" t="s">
        <v>1104</v>
      </c>
      <c r="B81" s="13">
        <v>1503050</v>
      </c>
      <c r="C81" s="13" t="s">
        <v>14</v>
      </c>
      <c r="D81" s="144" t="s">
        <v>146</v>
      </c>
      <c r="E81" s="59">
        <v>12</v>
      </c>
      <c r="F81" s="56" t="s">
        <v>34</v>
      </c>
      <c r="G81" s="63">
        <f>G80+G70+G60+G50+G40+G30+G20</f>
        <v>0</v>
      </c>
      <c r="H81" s="63">
        <f>H80+H70+H60+H50+H40+H30+H20</f>
        <v>0</v>
      </c>
      <c r="J81" s="57" t="s">
        <v>14</v>
      </c>
    </row>
    <row r="82" spans="1:10" x14ac:dyDescent="0.3">
      <c r="A82" s="13" t="s">
        <v>1175</v>
      </c>
      <c r="B82" s="147">
        <v>1503050</v>
      </c>
      <c r="C82" s="148"/>
      <c r="D82" s="185" t="s">
        <v>2706</v>
      </c>
      <c r="E82" s="59"/>
      <c r="F82" s="56"/>
      <c r="G82" s="63"/>
      <c r="H82" s="63"/>
      <c r="J82" s="57"/>
    </row>
    <row r="83" spans="1:10" x14ac:dyDescent="0.3">
      <c r="A83" s="13" t="s">
        <v>3016</v>
      </c>
      <c r="B83" s="147">
        <v>1503050</v>
      </c>
      <c r="C83" s="148"/>
      <c r="D83" s="186" t="s">
        <v>2710</v>
      </c>
      <c r="E83" s="59"/>
      <c r="F83" s="56"/>
      <c r="G83" s="63"/>
      <c r="H83" s="63"/>
      <c r="J83" s="57"/>
    </row>
    <row r="84" spans="1:10" x14ac:dyDescent="0.3">
      <c r="A84" s="8" t="s">
        <v>3017</v>
      </c>
      <c r="B84" s="8">
        <v>1503050</v>
      </c>
      <c r="C84" s="149">
        <v>3.1</v>
      </c>
      <c r="D84" s="150" t="s">
        <v>2859</v>
      </c>
      <c r="E84" s="194">
        <v>12</v>
      </c>
      <c r="F84" s="195" t="s">
        <v>34</v>
      </c>
      <c r="G84" s="196">
        <f t="shared" ref="G84:G90" si="12">H84/E84</f>
        <v>0</v>
      </c>
      <c r="H84" s="196">
        <v>0</v>
      </c>
      <c r="J84" s="57"/>
    </row>
    <row r="85" spans="1:10" x14ac:dyDescent="0.3">
      <c r="A85" s="8" t="s">
        <v>3018</v>
      </c>
      <c r="B85" s="8">
        <v>1503050</v>
      </c>
      <c r="C85" s="8">
        <v>3.1</v>
      </c>
      <c r="D85" s="151" t="s">
        <v>2714</v>
      </c>
      <c r="E85" s="59">
        <v>12</v>
      </c>
      <c r="F85" s="56" t="s">
        <v>34</v>
      </c>
      <c r="G85" s="63">
        <f t="shared" si="12"/>
        <v>0</v>
      </c>
      <c r="H85" s="63">
        <v>0</v>
      </c>
      <c r="J85" s="57"/>
    </row>
    <row r="86" spans="1:10" x14ac:dyDescent="0.3">
      <c r="A86" s="8" t="s">
        <v>3019</v>
      </c>
      <c r="B86" s="8">
        <v>1503050</v>
      </c>
      <c r="C86" s="8">
        <v>3.1</v>
      </c>
      <c r="D86" s="151" t="s">
        <v>2716</v>
      </c>
      <c r="E86" s="59">
        <v>12</v>
      </c>
      <c r="F86" s="56" t="s">
        <v>34</v>
      </c>
      <c r="G86" s="63">
        <f t="shared" si="12"/>
        <v>0</v>
      </c>
      <c r="H86" s="63">
        <v>0</v>
      </c>
      <c r="J86" s="57"/>
    </row>
    <row r="87" spans="1:10" x14ac:dyDescent="0.3">
      <c r="A87" s="8" t="s">
        <v>3020</v>
      </c>
      <c r="B87" s="8">
        <v>1503050</v>
      </c>
      <c r="C87" s="8">
        <v>3.2</v>
      </c>
      <c r="D87" s="60" t="s">
        <v>2718</v>
      </c>
      <c r="E87" s="59">
        <v>12</v>
      </c>
      <c r="F87" s="56" t="s">
        <v>34</v>
      </c>
      <c r="G87" s="63">
        <f t="shared" si="12"/>
        <v>0</v>
      </c>
      <c r="H87" s="63">
        <v>0</v>
      </c>
      <c r="J87" s="57"/>
    </row>
    <row r="88" spans="1:10" x14ac:dyDescent="0.3">
      <c r="A88" s="8" t="s">
        <v>3021</v>
      </c>
      <c r="B88" s="8">
        <v>1503050</v>
      </c>
      <c r="C88" s="8">
        <v>3.3</v>
      </c>
      <c r="D88" s="9" t="s">
        <v>2864</v>
      </c>
      <c r="E88" s="59">
        <v>12</v>
      </c>
      <c r="F88" s="56" t="s">
        <v>34</v>
      </c>
      <c r="G88" s="63">
        <f t="shared" si="12"/>
        <v>0</v>
      </c>
      <c r="H88" s="63">
        <v>0</v>
      </c>
      <c r="J88" s="57"/>
    </row>
    <row r="89" spans="1:10" x14ac:dyDescent="0.3">
      <c r="A89" s="8" t="s">
        <v>3022</v>
      </c>
      <c r="B89" s="8">
        <v>1503050</v>
      </c>
      <c r="C89" s="8">
        <v>3.5</v>
      </c>
      <c r="D89" s="9" t="s">
        <v>2722</v>
      </c>
      <c r="E89" s="59">
        <v>12</v>
      </c>
      <c r="F89" s="56" t="s">
        <v>34</v>
      </c>
      <c r="G89" s="63">
        <f t="shared" si="12"/>
        <v>0</v>
      </c>
      <c r="H89" s="63">
        <v>0</v>
      </c>
      <c r="J89" s="57"/>
    </row>
    <row r="90" spans="1:10" x14ac:dyDescent="0.3">
      <c r="A90" s="8" t="s">
        <v>3023</v>
      </c>
      <c r="B90" s="8">
        <v>1503050</v>
      </c>
      <c r="C90" s="8">
        <v>3.6</v>
      </c>
      <c r="D90" s="9" t="s">
        <v>2724</v>
      </c>
      <c r="E90" s="59">
        <v>12</v>
      </c>
      <c r="F90" s="56" t="s">
        <v>34</v>
      </c>
      <c r="G90" s="63">
        <f t="shared" si="12"/>
        <v>0</v>
      </c>
      <c r="H90" s="63">
        <v>0</v>
      </c>
      <c r="J90" s="57"/>
    </row>
    <row r="91" spans="1:10" x14ac:dyDescent="0.3">
      <c r="A91" s="8" t="s">
        <v>3024</v>
      </c>
      <c r="B91" s="8">
        <v>1503050</v>
      </c>
      <c r="C91" s="8">
        <v>3.7</v>
      </c>
      <c r="D91" s="152" t="s">
        <v>2726</v>
      </c>
      <c r="E91" s="59">
        <v>12</v>
      </c>
      <c r="F91" s="56" t="s">
        <v>34</v>
      </c>
      <c r="G91" s="63">
        <f t="shared" ref="G91:H91" si="13">SUM(G83:G90)</f>
        <v>0</v>
      </c>
      <c r="H91" s="63">
        <f t="shared" si="13"/>
        <v>0</v>
      </c>
      <c r="J91" s="57"/>
    </row>
    <row r="92" spans="1:10" x14ac:dyDescent="0.3">
      <c r="A92" s="13"/>
      <c r="B92" s="13"/>
      <c r="C92" s="13"/>
      <c r="D92" s="153" t="s">
        <v>3025</v>
      </c>
      <c r="E92" s="59">
        <v>12</v>
      </c>
      <c r="F92" s="56" t="s">
        <v>34</v>
      </c>
      <c r="G92" s="63">
        <v>0</v>
      </c>
      <c r="H92" s="63">
        <v>0</v>
      </c>
      <c r="J92" s="57"/>
    </row>
    <row r="93" spans="1:10" x14ac:dyDescent="0.3">
      <c r="A93" s="13" t="s">
        <v>3026</v>
      </c>
      <c r="B93" s="13">
        <v>1503050</v>
      </c>
      <c r="C93" s="8"/>
      <c r="D93" s="154" t="s">
        <v>2611</v>
      </c>
      <c r="E93" s="59"/>
      <c r="F93" s="56"/>
      <c r="G93" s="63"/>
      <c r="H93" s="63"/>
      <c r="J93" s="57"/>
    </row>
    <row r="94" spans="1:10" x14ac:dyDescent="0.3">
      <c r="A94" s="8" t="s">
        <v>3027</v>
      </c>
      <c r="B94" s="8">
        <v>1503050</v>
      </c>
      <c r="C94" s="8">
        <v>3.1</v>
      </c>
      <c r="D94" s="150" t="s">
        <v>2613</v>
      </c>
      <c r="E94" s="59">
        <v>12</v>
      </c>
      <c r="F94" s="56" t="s">
        <v>34</v>
      </c>
      <c r="G94" s="63">
        <f t="shared" ref="G94:G100" si="14">H94/E94</f>
        <v>0</v>
      </c>
      <c r="H94" s="63">
        <v>0</v>
      </c>
      <c r="J94" s="57"/>
    </row>
    <row r="95" spans="1:10" x14ac:dyDescent="0.3">
      <c r="A95" s="8" t="s">
        <v>3028</v>
      </c>
      <c r="B95" s="8">
        <v>1503050</v>
      </c>
      <c r="C95" s="8">
        <v>3.1</v>
      </c>
      <c r="D95" s="151" t="s">
        <v>2615</v>
      </c>
      <c r="E95" s="59">
        <v>12</v>
      </c>
      <c r="F95" s="56" t="s">
        <v>34</v>
      </c>
      <c r="G95" s="63">
        <f t="shared" si="14"/>
        <v>0</v>
      </c>
      <c r="H95" s="63">
        <v>0</v>
      </c>
      <c r="J95" s="57"/>
    </row>
    <row r="96" spans="1:10" x14ac:dyDescent="0.3">
      <c r="A96" s="8" t="s">
        <v>3029</v>
      </c>
      <c r="B96" s="8">
        <v>1503050</v>
      </c>
      <c r="C96" s="8">
        <v>3.1</v>
      </c>
      <c r="D96" s="151" t="s">
        <v>2617</v>
      </c>
      <c r="E96" s="59">
        <v>12</v>
      </c>
      <c r="F96" s="56" t="s">
        <v>34</v>
      </c>
      <c r="G96" s="63">
        <f t="shared" si="14"/>
        <v>0</v>
      </c>
      <c r="H96" s="63">
        <v>0</v>
      </c>
      <c r="J96" s="57"/>
    </row>
    <row r="97" spans="1:10" x14ac:dyDescent="0.3">
      <c r="A97" s="8" t="s">
        <v>3030</v>
      </c>
      <c r="B97" s="8">
        <v>1503050</v>
      </c>
      <c r="C97" s="8">
        <v>3.2</v>
      </c>
      <c r="D97" s="60" t="s">
        <v>2619</v>
      </c>
      <c r="E97" s="59">
        <v>12</v>
      </c>
      <c r="F97" s="56" t="s">
        <v>34</v>
      </c>
      <c r="G97" s="63">
        <f t="shared" si="14"/>
        <v>0</v>
      </c>
      <c r="H97" s="63">
        <v>0</v>
      </c>
      <c r="J97" s="57"/>
    </row>
    <row r="98" spans="1:10" x14ac:dyDescent="0.3">
      <c r="A98" s="8" t="s">
        <v>3031</v>
      </c>
      <c r="B98" s="8">
        <v>1503050</v>
      </c>
      <c r="C98" s="8">
        <v>3.3</v>
      </c>
      <c r="D98" s="9" t="s">
        <v>2621</v>
      </c>
      <c r="E98" s="59">
        <v>12</v>
      </c>
      <c r="F98" s="56" t="s">
        <v>34</v>
      </c>
      <c r="G98" s="63">
        <f t="shared" si="14"/>
        <v>0</v>
      </c>
      <c r="H98" s="63">
        <v>0</v>
      </c>
      <c r="J98" s="57"/>
    </row>
    <row r="99" spans="1:10" x14ac:dyDescent="0.3">
      <c r="A99" s="8" t="s">
        <v>3032</v>
      </c>
      <c r="B99" s="8">
        <v>1503050</v>
      </c>
      <c r="C99" s="8">
        <v>3.5</v>
      </c>
      <c r="D99" s="9" t="s">
        <v>2623</v>
      </c>
      <c r="E99" s="59">
        <v>12</v>
      </c>
      <c r="F99" s="56" t="s">
        <v>34</v>
      </c>
      <c r="G99" s="63">
        <f t="shared" si="14"/>
        <v>0</v>
      </c>
      <c r="H99" s="63">
        <v>0</v>
      </c>
      <c r="J99" s="57"/>
    </row>
    <row r="100" spans="1:10" x14ac:dyDescent="0.3">
      <c r="A100" s="8" t="s">
        <v>3033</v>
      </c>
      <c r="B100" s="8">
        <v>1503050</v>
      </c>
      <c r="C100" s="8">
        <v>3.6</v>
      </c>
      <c r="D100" s="9" t="s">
        <v>2625</v>
      </c>
      <c r="E100" s="59">
        <v>12</v>
      </c>
      <c r="F100" s="56" t="s">
        <v>34</v>
      </c>
      <c r="G100" s="63">
        <f t="shared" si="14"/>
        <v>0</v>
      </c>
      <c r="H100" s="63">
        <v>0</v>
      </c>
      <c r="J100" s="57"/>
    </row>
    <row r="101" spans="1:10" x14ac:dyDescent="0.3">
      <c r="A101" s="8" t="s">
        <v>3034</v>
      </c>
      <c r="B101" s="8">
        <v>1503050</v>
      </c>
      <c r="C101" s="8">
        <v>3.7</v>
      </c>
      <c r="D101" s="152" t="s">
        <v>2627</v>
      </c>
      <c r="E101" s="59">
        <v>12</v>
      </c>
      <c r="F101" s="56" t="s">
        <v>34</v>
      </c>
      <c r="G101" s="63">
        <f t="shared" ref="G101" si="15">SUM(G93:G100)</f>
        <v>0</v>
      </c>
      <c r="H101" s="63">
        <f>SUM(H92:H100)</f>
        <v>0</v>
      </c>
      <c r="J101" s="57"/>
    </row>
    <row r="102" spans="1:10" x14ac:dyDescent="0.3">
      <c r="A102" s="13"/>
      <c r="B102" s="13"/>
      <c r="C102" s="13"/>
      <c r="D102" s="155" t="s">
        <v>3035</v>
      </c>
      <c r="E102" s="59">
        <v>12</v>
      </c>
      <c r="F102" s="59" t="s">
        <v>34</v>
      </c>
      <c r="G102" s="63">
        <v>0</v>
      </c>
      <c r="H102" s="63">
        <v>0</v>
      </c>
      <c r="J102" s="57" t="s">
        <v>14</v>
      </c>
    </row>
    <row r="103" spans="1:10" x14ac:dyDescent="0.3">
      <c r="A103" s="13" t="s">
        <v>3036</v>
      </c>
      <c r="B103" s="147">
        <v>1503050</v>
      </c>
      <c r="C103" s="156"/>
      <c r="D103" s="197" t="s">
        <v>2630</v>
      </c>
      <c r="E103" s="56"/>
      <c r="F103" s="56"/>
      <c r="G103" s="63"/>
      <c r="H103" s="63"/>
      <c r="J103" s="57"/>
    </row>
    <row r="104" spans="1:10" x14ac:dyDescent="0.3">
      <c r="A104" s="8" t="s">
        <v>3037</v>
      </c>
      <c r="B104" s="8">
        <v>1503050</v>
      </c>
      <c r="C104" s="149">
        <v>3.1</v>
      </c>
      <c r="D104" s="150" t="s">
        <v>2632</v>
      </c>
      <c r="E104" s="59">
        <v>12</v>
      </c>
      <c r="F104" s="59" t="s">
        <v>34</v>
      </c>
      <c r="G104" s="63">
        <v>0</v>
      </c>
      <c r="H104" s="63">
        <v>0</v>
      </c>
      <c r="J104" s="57" t="s">
        <v>14</v>
      </c>
    </row>
    <row r="105" spans="1:10" ht="12.75" customHeight="1" x14ac:dyDescent="0.3">
      <c r="A105" s="8" t="s">
        <v>3038</v>
      </c>
      <c r="B105" s="8">
        <v>1503050</v>
      </c>
      <c r="C105" s="8">
        <v>3.1</v>
      </c>
      <c r="D105" s="151" t="s">
        <v>2634</v>
      </c>
      <c r="E105" s="59">
        <v>12</v>
      </c>
      <c r="F105" s="59" t="s">
        <v>34</v>
      </c>
      <c r="G105" s="63">
        <v>0</v>
      </c>
      <c r="H105" s="63">
        <v>0</v>
      </c>
      <c r="J105" s="57"/>
    </row>
    <row r="106" spans="1:10" x14ac:dyDescent="0.3">
      <c r="A106" s="8" t="s">
        <v>3039</v>
      </c>
      <c r="B106" s="8">
        <v>1503050</v>
      </c>
      <c r="C106" s="8">
        <v>3.1</v>
      </c>
      <c r="D106" s="151" t="s">
        <v>2636</v>
      </c>
      <c r="E106" s="59">
        <v>12</v>
      </c>
      <c r="F106" s="56" t="s">
        <v>34</v>
      </c>
      <c r="G106" s="63">
        <f t="shared" ref="G106:G112" si="16">H106/E106</f>
        <v>0</v>
      </c>
      <c r="H106" s="63">
        <v>0</v>
      </c>
      <c r="J106" s="57"/>
    </row>
    <row r="107" spans="1:10" x14ac:dyDescent="0.3">
      <c r="A107" s="8" t="s">
        <v>3040</v>
      </c>
      <c r="B107" s="8">
        <v>1503050</v>
      </c>
      <c r="C107" s="8">
        <v>3.2</v>
      </c>
      <c r="D107" s="60" t="s">
        <v>2638</v>
      </c>
      <c r="E107" s="59">
        <v>12</v>
      </c>
      <c r="F107" s="56" t="s">
        <v>34</v>
      </c>
      <c r="G107" s="63">
        <f t="shared" si="16"/>
        <v>0</v>
      </c>
      <c r="H107" s="63">
        <v>0</v>
      </c>
      <c r="J107" s="57"/>
    </row>
    <row r="108" spans="1:10" x14ac:dyDescent="0.3">
      <c r="A108" s="8" t="s">
        <v>3041</v>
      </c>
      <c r="B108" s="8">
        <v>1503050</v>
      </c>
      <c r="C108" s="8">
        <v>3.3</v>
      </c>
      <c r="D108" s="9" t="s">
        <v>2640</v>
      </c>
      <c r="E108" s="59">
        <v>12</v>
      </c>
      <c r="F108" s="56" t="s">
        <v>34</v>
      </c>
      <c r="G108" s="63">
        <f t="shared" si="16"/>
        <v>0</v>
      </c>
      <c r="H108" s="63">
        <v>0</v>
      </c>
      <c r="J108" s="57"/>
    </row>
    <row r="109" spans="1:10" ht="12.75" customHeight="1" x14ac:dyDescent="0.3">
      <c r="A109" s="8" t="s">
        <v>3042</v>
      </c>
      <c r="B109" s="8">
        <v>1503050</v>
      </c>
      <c r="C109" s="8">
        <v>3.5</v>
      </c>
      <c r="D109" s="9" t="s">
        <v>2642</v>
      </c>
      <c r="E109" s="59">
        <v>12</v>
      </c>
      <c r="F109" s="56" t="s">
        <v>34</v>
      </c>
      <c r="G109" s="63">
        <f t="shared" si="16"/>
        <v>0</v>
      </c>
      <c r="H109" s="63">
        <v>0</v>
      </c>
      <c r="J109" s="57"/>
    </row>
    <row r="110" spans="1:10" x14ac:dyDescent="0.3">
      <c r="A110" s="8" t="s">
        <v>3043</v>
      </c>
      <c r="B110" s="8">
        <v>1503050</v>
      </c>
      <c r="C110" s="8">
        <v>3.6</v>
      </c>
      <c r="D110" s="9" t="s">
        <v>2644</v>
      </c>
      <c r="E110" s="59">
        <v>12</v>
      </c>
      <c r="F110" s="56" t="s">
        <v>34</v>
      </c>
      <c r="G110" s="63">
        <f t="shared" si="16"/>
        <v>0</v>
      </c>
      <c r="H110" s="63">
        <v>0</v>
      </c>
      <c r="J110" s="57"/>
    </row>
    <row r="111" spans="1:10" x14ac:dyDescent="0.3">
      <c r="A111" s="8" t="s">
        <v>3044</v>
      </c>
      <c r="B111" s="8">
        <v>1503050</v>
      </c>
      <c r="C111" s="8">
        <v>3.7</v>
      </c>
      <c r="D111" s="152" t="s">
        <v>2646</v>
      </c>
      <c r="E111" s="59">
        <v>12</v>
      </c>
      <c r="F111" s="56" t="s">
        <v>34</v>
      </c>
      <c r="G111" s="63">
        <f t="shared" si="16"/>
        <v>0</v>
      </c>
      <c r="H111" s="63">
        <v>0</v>
      </c>
      <c r="J111" s="57"/>
    </row>
    <row r="112" spans="1:10" x14ac:dyDescent="0.3">
      <c r="A112" s="13"/>
      <c r="B112" s="13"/>
      <c r="C112" s="13"/>
      <c r="D112" s="153" t="s">
        <v>3045</v>
      </c>
      <c r="E112" s="59">
        <v>12</v>
      </c>
      <c r="F112" s="56" t="s">
        <v>34</v>
      </c>
      <c r="G112" s="63">
        <f t="shared" si="16"/>
        <v>0</v>
      </c>
      <c r="H112" s="63">
        <v>0</v>
      </c>
      <c r="J112" s="57"/>
    </row>
    <row r="113" spans="1:10" x14ac:dyDescent="0.3">
      <c r="A113" s="13" t="s">
        <v>3046</v>
      </c>
      <c r="B113" s="147">
        <v>1503050</v>
      </c>
      <c r="C113" s="156"/>
      <c r="D113" s="197" t="s">
        <v>2649</v>
      </c>
      <c r="E113" s="59"/>
      <c r="F113" s="56"/>
      <c r="G113" s="63"/>
      <c r="H113" s="63"/>
      <c r="J113" s="57"/>
    </row>
    <row r="114" spans="1:10" x14ac:dyDescent="0.3">
      <c r="A114" s="8" t="s">
        <v>3047</v>
      </c>
      <c r="B114" s="8">
        <v>1503050</v>
      </c>
      <c r="C114" s="149">
        <v>3.1</v>
      </c>
      <c r="D114" s="150" t="s">
        <v>2651</v>
      </c>
      <c r="E114" s="59">
        <v>12</v>
      </c>
      <c r="F114" s="56" t="s">
        <v>34</v>
      </c>
      <c r="G114" s="63">
        <f t="shared" ref="G114" si="17">SUM(G106:G113)</f>
        <v>0</v>
      </c>
      <c r="H114" s="63">
        <f>SUM(H104:H113)</f>
        <v>0</v>
      </c>
      <c r="J114" s="57"/>
    </row>
    <row r="115" spans="1:10" x14ac:dyDescent="0.3">
      <c r="A115" s="8" t="s">
        <v>3048</v>
      </c>
      <c r="B115" s="8">
        <v>1503050</v>
      </c>
      <c r="C115" s="8">
        <v>3.1</v>
      </c>
      <c r="D115" s="151" t="s">
        <v>2653</v>
      </c>
      <c r="E115" s="59">
        <v>12</v>
      </c>
      <c r="F115" s="59" t="s">
        <v>34</v>
      </c>
      <c r="G115" s="63">
        <v>0</v>
      </c>
      <c r="H115" s="63">
        <v>0</v>
      </c>
      <c r="J115" s="57"/>
    </row>
    <row r="116" spans="1:10" x14ac:dyDescent="0.3">
      <c r="A116" s="8" t="s">
        <v>3049</v>
      </c>
      <c r="B116" s="8">
        <v>1503050</v>
      </c>
      <c r="C116" s="8">
        <v>3.1</v>
      </c>
      <c r="D116" s="151" t="s">
        <v>2655</v>
      </c>
      <c r="E116" s="59">
        <v>12</v>
      </c>
      <c r="F116" s="56" t="s">
        <v>34</v>
      </c>
      <c r="G116" s="63">
        <f t="shared" ref="G116:G122" si="18">H116/E116</f>
        <v>0</v>
      </c>
      <c r="H116" s="63">
        <v>0</v>
      </c>
      <c r="J116" s="57"/>
    </row>
    <row r="117" spans="1:10" x14ac:dyDescent="0.3">
      <c r="A117" s="8" t="s">
        <v>3050</v>
      </c>
      <c r="B117" s="8">
        <v>1503050</v>
      </c>
      <c r="C117" s="8">
        <v>3.2</v>
      </c>
      <c r="D117" s="60" t="s">
        <v>2657</v>
      </c>
      <c r="E117" s="59">
        <v>12</v>
      </c>
      <c r="F117" s="56" t="s">
        <v>34</v>
      </c>
      <c r="G117" s="63">
        <f t="shared" si="18"/>
        <v>0</v>
      </c>
      <c r="H117" s="63">
        <v>0</v>
      </c>
      <c r="J117" s="57"/>
    </row>
    <row r="118" spans="1:10" x14ac:dyDescent="0.3">
      <c r="A118" s="8" t="s">
        <v>3051</v>
      </c>
      <c r="B118" s="8">
        <v>1503050</v>
      </c>
      <c r="C118" s="8">
        <v>3.3</v>
      </c>
      <c r="D118" s="9" t="s">
        <v>2659</v>
      </c>
      <c r="E118" s="59">
        <v>12</v>
      </c>
      <c r="F118" s="56" t="s">
        <v>34</v>
      </c>
      <c r="G118" s="63">
        <f t="shared" si="18"/>
        <v>0</v>
      </c>
      <c r="H118" s="63">
        <v>0</v>
      </c>
      <c r="J118" s="57"/>
    </row>
    <row r="119" spans="1:10" x14ac:dyDescent="0.3">
      <c r="A119" s="8" t="s">
        <v>3052</v>
      </c>
      <c r="B119" s="8">
        <v>1503050</v>
      </c>
      <c r="C119" s="8">
        <v>3.5</v>
      </c>
      <c r="D119" s="9" t="s">
        <v>2661</v>
      </c>
      <c r="E119" s="59">
        <v>12</v>
      </c>
      <c r="F119" s="56" t="s">
        <v>34</v>
      </c>
      <c r="G119" s="63">
        <f t="shared" si="18"/>
        <v>0</v>
      </c>
      <c r="H119" s="63">
        <v>0</v>
      </c>
      <c r="J119" s="57"/>
    </row>
    <row r="120" spans="1:10" x14ac:dyDescent="0.3">
      <c r="A120" s="8" t="s">
        <v>3053</v>
      </c>
      <c r="B120" s="8">
        <v>1503050</v>
      </c>
      <c r="C120" s="8">
        <v>3.6</v>
      </c>
      <c r="D120" s="9" t="s">
        <v>2663</v>
      </c>
      <c r="E120" s="59">
        <v>12</v>
      </c>
      <c r="F120" s="56" t="s">
        <v>34</v>
      </c>
      <c r="G120" s="63">
        <f t="shared" si="18"/>
        <v>0</v>
      </c>
      <c r="H120" s="63">
        <v>0</v>
      </c>
      <c r="J120" s="57"/>
    </row>
    <row r="121" spans="1:10" x14ac:dyDescent="0.3">
      <c r="A121" s="8" t="s">
        <v>3054</v>
      </c>
      <c r="B121" s="8">
        <v>1503050</v>
      </c>
      <c r="C121" s="8">
        <v>3.7</v>
      </c>
      <c r="D121" s="152" t="s">
        <v>2665</v>
      </c>
      <c r="E121" s="59">
        <v>12</v>
      </c>
      <c r="F121" s="56" t="s">
        <v>34</v>
      </c>
      <c r="G121" s="63">
        <f t="shared" si="18"/>
        <v>0</v>
      </c>
      <c r="H121" s="63">
        <v>0</v>
      </c>
      <c r="J121" s="57"/>
    </row>
    <row r="122" spans="1:10" x14ac:dyDescent="0.3">
      <c r="A122" s="13"/>
      <c r="B122" s="13"/>
      <c r="C122" s="13"/>
      <c r="D122" s="153" t="s">
        <v>3055</v>
      </c>
      <c r="E122" s="59">
        <v>12</v>
      </c>
      <c r="F122" s="56" t="s">
        <v>34</v>
      </c>
      <c r="G122" s="63">
        <f t="shared" si="18"/>
        <v>0</v>
      </c>
      <c r="H122" s="63">
        <v>0</v>
      </c>
      <c r="J122" s="57"/>
    </row>
    <row r="123" spans="1:10" x14ac:dyDescent="0.3">
      <c r="A123" s="13" t="s">
        <v>3056</v>
      </c>
      <c r="B123" s="147">
        <v>1503050</v>
      </c>
      <c r="C123" s="156"/>
      <c r="D123" s="197" t="s">
        <v>2668</v>
      </c>
      <c r="E123" s="59"/>
      <c r="F123" s="56"/>
      <c r="G123" s="63"/>
      <c r="H123" s="63"/>
      <c r="J123" s="57"/>
    </row>
    <row r="124" spans="1:10" x14ac:dyDescent="0.3">
      <c r="A124" s="8" t="s">
        <v>3057</v>
      </c>
      <c r="B124" s="8">
        <v>1503050</v>
      </c>
      <c r="C124" s="149">
        <v>3.1</v>
      </c>
      <c r="D124" s="150" t="s">
        <v>2670</v>
      </c>
      <c r="E124" s="59">
        <v>12</v>
      </c>
      <c r="F124" s="56" t="s">
        <v>34</v>
      </c>
      <c r="G124" s="63">
        <f t="shared" ref="G124" si="19">SUM(G116:G123)</f>
        <v>0</v>
      </c>
      <c r="H124" s="63">
        <f>SUM(H115:H123)</f>
        <v>0</v>
      </c>
      <c r="J124" s="57"/>
    </row>
    <row r="125" spans="1:10" ht="12.75" customHeight="1" x14ac:dyDescent="0.3">
      <c r="A125" s="8" t="s">
        <v>3058</v>
      </c>
      <c r="B125" s="8">
        <v>1503050</v>
      </c>
      <c r="C125" s="8">
        <v>3.1</v>
      </c>
      <c r="D125" s="151" t="s">
        <v>2672</v>
      </c>
      <c r="E125" s="59">
        <v>12</v>
      </c>
      <c r="F125" s="59" t="s">
        <v>34</v>
      </c>
      <c r="G125" s="63">
        <v>0</v>
      </c>
      <c r="H125" s="63">
        <v>0</v>
      </c>
      <c r="J125" s="57"/>
    </row>
    <row r="126" spans="1:10" x14ac:dyDescent="0.3">
      <c r="A126" s="8" t="s">
        <v>3059</v>
      </c>
      <c r="B126" s="8">
        <v>1503050</v>
      </c>
      <c r="C126" s="8">
        <v>3.1</v>
      </c>
      <c r="D126" s="151" t="s">
        <v>2674</v>
      </c>
      <c r="E126" s="59">
        <v>12</v>
      </c>
      <c r="F126" s="56" t="s">
        <v>34</v>
      </c>
      <c r="G126" s="63">
        <f t="shared" ref="G126:G132" si="20">H126/E126</f>
        <v>0</v>
      </c>
      <c r="H126" s="63">
        <v>0</v>
      </c>
      <c r="J126" s="57"/>
    </row>
    <row r="127" spans="1:10" x14ac:dyDescent="0.3">
      <c r="A127" s="8" t="s">
        <v>3060</v>
      </c>
      <c r="B127" s="8">
        <v>1503050</v>
      </c>
      <c r="C127" s="8">
        <v>3.2</v>
      </c>
      <c r="D127" s="60" t="s">
        <v>2676</v>
      </c>
      <c r="E127" s="59">
        <v>12</v>
      </c>
      <c r="F127" s="56" t="s">
        <v>34</v>
      </c>
      <c r="G127" s="63">
        <f t="shared" si="20"/>
        <v>0</v>
      </c>
      <c r="H127" s="63">
        <v>0</v>
      </c>
      <c r="J127" s="57"/>
    </row>
    <row r="128" spans="1:10" x14ac:dyDescent="0.3">
      <c r="A128" s="8" t="s">
        <v>3061</v>
      </c>
      <c r="B128" s="8">
        <v>1503050</v>
      </c>
      <c r="C128" s="8">
        <v>3.3</v>
      </c>
      <c r="D128" s="9" t="s">
        <v>2678</v>
      </c>
      <c r="E128" s="59">
        <v>12</v>
      </c>
      <c r="F128" s="56" t="s">
        <v>34</v>
      </c>
      <c r="G128" s="63">
        <f t="shared" si="20"/>
        <v>0</v>
      </c>
      <c r="H128" s="63">
        <v>0</v>
      </c>
      <c r="J128" s="57"/>
    </row>
    <row r="129" spans="1:10" ht="12.75" customHeight="1" x14ac:dyDescent="0.3">
      <c r="A129" s="8" t="s">
        <v>3062</v>
      </c>
      <c r="B129" s="8">
        <v>1503050</v>
      </c>
      <c r="C129" s="8">
        <v>3.5</v>
      </c>
      <c r="D129" s="9" t="s">
        <v>2680</v>
      </c>
      <c r="E129" s="59">
        <v>12</v>
      </c>
      <c r="F129" s="56" t="s">
        <v>34</v>
      </c>
      <c r="G129" s="63">
        <f t="shared" si="20"/>
        <v>0</v>
      </c>
      <c r="H129" s="63">
        <v>0</v>
      </c>
      <c r="J129" s="57"/>
    </row>
    <row r="130" spans="1:10" x14ac:dyDescent="0.3">
      <c r="A130" s="8" t="s">
        <v>3063</v>
      </c>
      <c r="B130" s="8">
        <v>1503050</v>
      </c>
      <c r="C130" s="8">
        <v>3.6</v>
      </c>
      <c r="D130" s="9" t="s">
        <v>2682</v>
      </c>
      <c r="E130" s="59">
        <v>12</v>
      </c>
      <c r="F130" s="56" t="s">
        <v>34</v>
      </c>
      <c r="G130" s="63">
        <f t="shared" si="20"/>
        <v>0</v>
      </c>
      <c r="H130" s="63">
        <v>0</v>
      </c>
      <c r="J130" s="57"/>
    </row>
    <row r="131" spans="1:10" x14ac:dyDescent="0.3">
      <c r="A131" s="8" t="s">
        <v>3064</v>
      </c>
      <c r="B131" s="8">
        <v>1503050</v>
      </c>
      <c r="C131" s="8">
        <v>3.7</v>
      </c>
      <c r="D131" s="152" t="s">
        <v>2684</v>
      </c>
      <c r="E131" s="59">
        <v>12</v>
      </c>
      <c r="F131" s="56" t="s">
        <v>34</v>
      </c>
      <c r="G131" s="63">
        <f t="shared" si="20"/>
        <v>0</v>
      </c>
      <c r="H131" s="63">
        <v>0</v>
      </c>
      <c r="J131" s="57"/>
    </row>
    <row r="132" spans="1:10" x14ac:dyDescent="0.3">
      <c r="A132" s="13"/>
      <c r="B132" s="13"/>
      <c r="C132" s="13"/>
      <c r="D132" s="153" t="s">
        <v>3065</v>
      </c>
      <c r="E132" s="59">
        <v>12</v>
      </c>
      <c r="F132" s="56" t="s">
        <v>34</v>
      </c>
      <c r="G132" s="63">
        <f t="shared" si="20"/>
        <v>0</v>
      </c>
      <c r="H132" s="63">
        <v>0</v>
      </c>
      <c r="J132" s="57"/>
    </row>
    <row r="133" spans="1:10" x14ac:dyDescent="0.3">
      <c r="A133" s="13" t="s">
        <v>3066</v>
      </c>
      <c r="B133" s="147">
        <v>1503050</v>
      </c>
      <c r="C133" s="156"/>
      <c r="D133" s="197" t="s">
        <v>2687</v>
      </c>
      <c r="E133" s="59"/>
      <c r="F133" s="56"/>
      <c r="G133" s="63"/>
      <c r="H133" s="63"/>
      <c r="J133" s="57"/>
    </row>
    <row r="134" spans="1:10" x14ac:dyDescent="0.3">
      <c r="A134" s="8" t="s">
        <v>3067</v>
      </c>
      <c r="B134" s="8">
        <v>1503050</v>
      </c>
      <c r="C134" s="149">
        <v>3.1</v>
      </c>
      <c r="D134" s="150" t="s">
        <v>2689</v>
      </c>
      <c r="E134" s="59">
        <v>12</v>
      </c>
      <c r="F134" s="56" t="s">
        <v>34</v>
      </c>
      <c r="G134" s="63">
        <f t="shared" ref="G134" si="21">SUM(G126:G133)</f>
        <v>0</v>
      </c>
      <c r="H134" s="63">
        <f>SUM(H125:H133)</f>
        <v>0</v>
      </c>
      <c r="J134" s="57"/>
    </row>
    <row r="135" spans="1:10" x14ac:dyDescent="0.3">
      <c r="A135" s="8" t="s">
        <v>3068</v>
      </c>
      <c r="B135" s="8">
        <v>1503050</v>
      </c>
      <c r="C135" s="8">
        <v>3.1</v>
      </c>
      <c r="D135" s="151" t="s">
        <v>2691</v>
      </c>
      <c r="E135" s="59">
        <v>12</v>
      </c>
      <c r="F135" s="59" t="s">
        <v>34</v>
      </c>
      <c r="G135" s="63">
        <v>0</v>
      </c>
      <c r="H135" s="63">
        <v>0</v>
      </c>
      <c r="J135" s="57"/>
    </row>
    <row r="136" spans="1:10" x14ac:dyDescent="0.3">
      <c r="A136" s="8" t="s">
        <v>3069</v>
      </c>
      <c r="B136" s="8">
        <v>1503050</v>
      </c>
      <c r="C136" s="8">
        <v>3.1</v>
      </c>
      <c r="D136" s="151" t="s">
        <v>2693</v>
      </c>
      <c r="E136" s="59">
        <v>12</v>
      </c>
      <c r="F136" s="56" t="s">
        <v>34</v>
      </c>
      <c r="G136" s="63">
        <f t="shared" ref="G136:G143" si="22">H136/E136</f>
        <v>0</v>
      </c>
      <c r="H136" s="63">
        <v>0</v>
      </c>
      <c r="J136" s="57"/>
    </row>
    <row r="137" spans="1:10" x14ac:dyDescent="0.3">
      <c r="A137" s="8" t="s">
        <v>3070</v>
      </c>
      <c r="B137" s="8">
        <v>1503050</v>
      </c>
      <c r="C137" s="8">
        <v>3.2</v>
      </c>
      <c r="D137" s="60" t="s">
        <v>2695</v>
      </c>
      <c r="E137" s="59">
        <v>12</v>
      </c>
      <c r="F137" s="56" t="s">
        <v>34</v>
      </c>
      <c r="G137" s="63">
        <f t="shared" si="22"/>
        <v>0</v>
      </c>
      <c r="H137" s="63">
        <v>0</v>
      </c>
      <c r="J137" s="57"/>
    </row>
    <row r="138" spans="1:10" x14ac:dyDescent="0.3">
      <c r="A138" s="8" t="s">
        <v>3071</v>
      </c>
      <c r="B138" s="8">
        <v>1503050</v>
      </c>
      <c r="C138" s="8">
        <v>3.3</v>
      </c>
      <c r="D138" s="9" t="s">
        <v>2697</v>
      </c>
      <c r="E138" s="59">
        <v>12</v>
      </c>
      <c r="F138" s="56" t="s">
        <v>34</v>
      </c>
      <c r="G138" s="63">
        <f t="shared" si="22"/>
        <v>0</v>
      </c>
      <c r="H138" s="63">
        <v>0</v>
      </c>
      <c r="J138" s="57"/>
    </row>
    <row r="139" spans="1:10" x14ac:dyDescent="0.3">
      <c r="A139" s="8" t="s">
        <v>3072</v>
      </c>
      <c r="B139" s="8">
        <v>1503050</v>
      </c>
      <c r="C139" s="8">
        <v>3.5</v>
      </c>
      <c r="D139" s="9" t="s">
        <v>2699</v>
      </c>
      <c r="E139" s="59">
        <v>12</v>
      </c>
      <c r="F139" s="56" t="s">
        <v>34</v>
      </c>
      <c r="G139" s="63">
        <f t="shared" si="22"/>
        <v>0</v>
      </c>
      <c r="H139" s="63">
        <v>0</v>
      </c>
      <c r="J139" s="57"/>
    </row>
    <row r="140" spans="1:10" x14ac:dyDescent="0.3">
      <c r="A140" s="8" t="s">
        <v>3073</v>
      </c>
      <c r="B140" s="8">
        <v>1503050</v>
      </c>
      <c r="C140" s="8">
        <v>3.6</v>
      </c>
      <c r="D140" s="9" t="s">
        <v>2701</v>
      </c>
      <c r="E140" s="59">
        <v>12</v>
      </c>
      <c r="F140" s="56" t="s">
        <v>34</v>
      </c>
      <c r="G140" s="63">
        <f t="shared" si="22"/>
        <v>0</v>
      </c>
      <c r="H140" s="63">
        <v>0</v>
      </c>
      <c r="J140" s="57"/>
    </row>
    <row r="141" spans="1:10" x14ac:dyDescent="0.3">
      <c r="A141" s="157" t="s">
        <v>3074</v>
      </c>
      <c r="B141" s="157">
        <v>1503050</v>
      </c>
      <c r="C141" s="157">
        <v>3.7</v>
      </c>
      <c r="D141" s="158" t="s">
        <v>2703</v>
      </c>
      <c r="E141" s="59">
        <v>12</v>
      </c>
      <c r="F141" s="56" t="s">
        <v>34</v>
      </c>
      <c r="G141" s="63">
        <f t="shared" si="22"/>
        <v>0</v>
      </c>
      <c r="H141" s="63">
        <v>0</v>
      </c>
      <c r="J141" s="57"/>
    </row>
    <row r="142" spans="1:10" x14ac:dyDescent="0.3">
      <c r="A142" s="156"/>
      <c r="B142" s="156"/>
      <c r="C142" s="156"/>
      <c r="D142" s="159" t="s">
        <v>3075</v>
      </c>
      <c r="E142" s="59">
        <v>12</v>
      </c>
      <c r="F142" s="56" t="s">
        <v>34</v>
      </c>
      <c r="G142" s="63">
        <f t="shared" si="22"/>
        <v>0</v>
      </c>
      <c r="H142" s="63">
        <v>0</v>
      </c>
      <c r="J142" s="57"/>
    </row>
    <row r="143" spans="1:10" x14ac:dyDescent="0.3">
      <c r="A143" s="156" t="s">
        <v>1175</v>
      </c>
      <c r="B143" s="156">
        <v>1503050</v>
      </c>
      <c r="C143" s="156" t="s">
        <v>14</v>
      </c>
      <c r="D143" s="159" t="s">
        <v>2705</v>
      </c>
      <c r="E143" s="193">
        <v>12</v>
      </c>
      <c r="F143" s="189" t="s">
        <v>34</v>
      </c>
      <c r="G143" s="190">
        <f t="shared" si="22"/>
        <v>0</v>
      </c>
      <c r="H143" s="63">
        <v>0</v>
      </c>
      <c r="J143" s="57"/>
    </row>
    <row r="144" spans="1:10" x14ac:dyDescent="0.3">
      <c r="A144" s="156" t="s">
        <v>1176</v>
      </c>
      <c r="B144" s="156">
        <v>1503050</v>
      </c>
      <c r="C144" s="156"/>
      <c r="D144" s="197" t="s">
        <v>2708</v>
      </c>
      <c r="E144" s="59"/>
      <c r="F144" s="56"/>
      <c r="G144" s="63"/>
      <c r="H144" s="63"/>
      <c r="J144" s="57"/>
    </row>
    <row r="145" spans="1:10" ht="12.75" customHeight="1" x14ac:dyDescent="0.3">
      <c r="A145" s="160" t="s">
        <v>3076</v>
      </c>
      <c r="B145" s="160">
        <v>1503050</v>
      </c>
      <c r="C145" s="161"/>
      <c r="D145" s="198" t="s">
        <v>2710</v>
      </c>
      <c r="E145" s="56"/>
      <c r="F145" s="56"/>
      <c r="G145" s="63"/>
      <c r="H145" s="63"/>
      <c r="J145" s="57"/>
    </row>
    <row r="146" spans="1:10" x14ac:dyDescent="0.3">
      <c r="A146" s="8" t="s">
        <v>3077</v>
      </c>
      <c r="B146" s="8">
        <v>1503050</v>
      </c>
      <c r="C146" s="8">
        <v>3.1</v>
      </c>
      <c r="D146" s="150" t="s">
        <v>2712</v>
      </c>
      <c r="E146" s="194">
        <v>12</v>
      </c>
      <c r="F146" s="195" t="s">
        <v>34</v>
      </c>
      <c r="G146" s="196">
        <f t="shared" ref="G146:G153" si="23">H146/E146</f>
        <v>0</v>
      </c>
      <c r="H146" s="63">
        <v>0</v>
      </c>
      <c r="J146" s="57"/>
    </row>
    <row r="147" spans="1:10" x14ac:dyDescent="0.3">
      <c r="A147" s="8" t="s">
        <v>3078</v>
      </c>
      <c r="B147" s="8">
        <v>1503050</v>
      </c>
      <c r="C147" s="8">
        <v>3.1</v>
      </c>
      <c r="D147" s="151" t="s">
        <v>2714</v>
      </c>
      <c r="E147" s="59">
        <v>12</v>
      </c>
      <c r="F147" s="56" t="s">
        <v>34</v>
      </c>
      <c r="G147" s="63">
        <f t="shared" si="23"/>
        <v>0</v>
      </c>
      <c r="H147" s="63">
        <v>0</v>
      </c>
      <c r="J147" s="57"/>
    </row>
    <row r="148" spans="1:10" x14ac:dyDescent="0.3">
      <c r="A148" s="8" t="s">
        <v>3079</v>
      </c>
      <c r="B148" s="8">
        <v>1503050</v>
      </c>
      <c r="C148" s="8">
        <v>3.1</v>
      </c>
      <c r="D148" s="162" t="s">
        <v>2716</v>
      </c>
      <c r="E148" s="59">
        <v>12</v>
      </c>
      <c r="F148" s="56" t="s">
        <v>34</v>
      </c>
      <c r="G148" s="63">
        <f t="shared" si="23"/>
        <v>0</v>
      </c>
      <c r="H148" s="63">
        <v>0</v>
      </c>
      <c r="J148" s="57"/>
    </row>
    <row r="149" spans="1:10" ht="12.75" customHeight="1" x14ac:dyDescent="0.3">
      <c r="A149" s="8" t="s">
        <v>3080</v>
      </c>
      <c r="B149" s="8">
        <v>1503050</v>
      </c>
      <c r="C149" s="8">
        <v>3.2</v>
      </c>
      <c r="D149" s="60" t="s">
        <v>2718</v>
      </c>
      <c r="E149" s="59">
        <v>12</v>
      </c>
      <c r="F149" s="56" t="s">
        <v>34</v>
      </c>
      <c r="G149" s="63">
        <f t="shared" si="23"/>
        <v>0</v>
      </c>
      <c r="H149" s="63">
        <v>0</v>
      </c>
      <c r="J149" s="57"/>
    </row>
    <row r="150" spans="1:10" x14ac:dyDescent="0.3">
      <c r="A150" s="8" t="s">
        <v>3081</v>
      </c>
      <c r="B150" s="8">
        <v>1503050</v>
      </c>
      <c r="C150" s="8">
        <v>3.3</v>
      </c>
      <c r="D150" s="9" t="s">
        <v>2720</v>
      </c>
      <c r="E150" s="59">
        <v>12</v>
      </c>
      <c r="F150" s="56" t="s">
        <v>34</v>
      </c>
      <c r="G150" s="63">
        <f t="shared" si="23"/>
        <v>0</v>
      </c>
      <c r="H150" s="63">
        <v>0</v>
      </c>
      <c r="J150" s="57"/>
    </row>
    <row r="151" spans="1:10" x14ac:dyDescent="0.3">
      <c r="A151" s="8" t="s">
        <v>3082</v>
      </c>
      <c r="B151" s="8">
        <v>1503050</v>
      </c>
      <c r="C151" s="8">
        <v>3.5</v>
      </c>
      <c r="D151" s="9" t="s">
        <v>2722</v>
      </c>
      <c r="E151" s="59">
        <v>12</v>
      </c>
      <c r="F151" s="56" t="s">
        <v>34</v>
      </c>
      <c r="G151" s="63">
        <f t="shared" si="23"/>
        <v>0</v>
      </c>
      <c r="H151" s="63">
        <v>0</v>
      </c>
      <c r="J151" s="57"/>
    </row>
    <row r="152" spans="1:10" x14ac:dyDescent="0.3">
      <c r="A152" s="8" t="s">
        <v>3083</v>
      </c>
      <c r="B152" s="8">
        <v>1503050</v>
      </c>
      <c r="C152" s="8">
        <v>3.6</v>
      </c>
      <c r="D152" s="9" t="s">
        <v>2724</v>
      </c>
      <c r="E152" s="59">
        <v>12</v>
      </c>
      <c r="F152" s="56" t="s">
        <v>34</v>
      </c>
      <c r="G152" s="63">
        <f t="shared" si="23"/>
        <v>0</v>
      </c>
      <c r="H152" s="63">
        <v>0</v>
      </c>
      <c r="J152" s="57"/>
    </row>
    <row r="153" spans="1:10" x14ac:dyDescent="0.3">
      <c r="A153" s="8" t="s">
        <v>3084</v>
      </c>
      <c r="B153" s="8">
        <v>1503050</v>
      </c>
      <c r="C153" s="8">
        <v>3.7</v>
      </c>
      <c r="D153" s="152" t="s">
        <v>2726</v>
      </c>
      <c r="E153" s="59">
        <v>12</v>
      </c>
      <c r="F153" s="56" t="s">
        <v>34</v>
      </c>
      <c r="G153" s="63">
        <f t="shared" si="23"/>
        <v>0</v>
      </c>
      <c r="H153" s="63">
        <v>0</v>
      </c>
      <c r="J153" s="57"/>
    </row>
    <row r="154" spans="1:10" x14ac:dyDescent="0.3">
      <c r="A154" s="13"/>
      <c r="B154" s="13"/>
      <c r="C154" s="13"/>
      <c r="D154" s="153" t="s">
        <v>3085</v>
      </c>
      <c r="E154" s="193">
        <v>12</v>
      </c>
      <c r="F154" s="189" t="s">
        <v>34</v>
      </c>
      <c r="G154" s="190">
        <f t="shared" ref="G154:H154" si="24">SUM(G146:G153)</f>
        <v>0</v>
      </c>
      <c r="H154" s="190">
        <f t="shared" si="24"/>
        <v>0</v>
      </c>
      <c r="J154" s="57"/>
    </row>
    <row r="155" spans="1:10" x14ac:dyDescent="0.3">
      <c r="A155" s="160" t="s">
        <v>3086</v>
      </c>
      <c r="B155" s="160">
        <v>1503050</v>
      </c>
      <c r="C155" s="161"/>
      <c r="D155" s="198" t="s">
        <v>2728</v>
      </c>
      <c r="E155" s="56"/>
      <c r="F155" s="56"/>
      <c r="G155" s="63"/>
      <c r="H155" s="63"/>
      <c r="J155" s="57"/>
    </row>
    <row r="156" spans="1:10" x14ac:dyDescent="0.3">
      <c r="A156" s="8" t="s">
        <v>3086</v>
      </c>
      <c r="B156" s="8">
        <v>1503050</v>
      </c>
      <c r="C156" s="8">
        <v>3.1</v>
      </c>
      <c r="D156" s="150" t="s">
        <v>2730</v>
      </c>
      <c r="E156" s="194">
        <v>12</v>
      </c>
      <c r="F156" s="195" t="s">
        <v>34</v>
      </c>
      <c r="G156" s="196">
        <f t="shared" ref="G156:G163" si="25">H156/E156</f>
        <v>0</v>
      </c>
      <c r="H156" s="196">
        <v>0</v>
      </c>
      <c r="J156" s="57"/>
    </row>
    <row r="157" spans="1:10" x14ac:dyDescent="0.3">
      <c r="A157" s="8" t="s">
        <v>3087</v>
      </c>
      <c r="B157" s="8">
        <v>1503050</v>
      </c>
      <c r="C157" s="8">
        <v>3.1</v>
      </c>
      <c r="D157" s="151" t="s">
        <v>2732</v>
      </c>
      <c r="E157" s="59">
        <v>12</v>
      </c>
      <c r="F157" s="56" t="s">
        <v>34</v>
      </c>
      <c r="G157" s="63">
        <f t="shared" si="25"/>
        <v>0</v>
      </c>
      <c r="H157" s="63">
        <v>0</v>
      </c>
      <c r="J157" s="57"/>
    </row>
    <row r="158" spans="1:10" x14ac:dyDescent="0.3">
      <c r="A158" s="8" t="s">
        <v>3088</v>
      </c>
      <c r="B158" s="8">
        <v>1503050</v>
      </c>
      <c r="C158" s="8">
        <v>3.1</v>
      </c>
      <c r="D158" s="162" t="s">
        <v>2734</v>
      </c>
      <c r="E158" s="59">
        <v>12</v>
      </c>
      <c r="F158" s="56" t="s">
        <v>34</v>
      </c>
      <c r="G158" s="63">
        <f t="shared" si="25"/>
        <v>0</v>
      </c>
      <c r="H158" s="63">
        <v>0</v>
      </c>
      <c r="J158" s="57"/>
    </row>
    <row r="159" spans="1:10" x14ac:dyDescent="0.3">
      <c r="A159" s="8" t="s">
        <v>3089</v>
      </c>
      <c r="B159" s="8">
        <v>1503050</v>
      </c>
      <c r="C159" s="8">
        <v>3.2</v>
      </c>
      <c r="D159" s="60" t="s">
        <v>2736</v>
      </c>
      <c r="E159" s="59">
        <v>12</v>
      </c>
      <c r="F159" s="56" t="s">
        <v>34</v>
      </c>
      <c r="G159" s="63">
        <f t="shared" si="25"/>
        <v>0</v>
      </c>
      <c r="H159" s="63">
        <v>0</v>
      </c>
      <c r="J159" s="57"/>
    </row>
    <row r="160" spans="1:10" x14ac:dyDescent="0.3">
      <c r="A160" s="8" t="s">
        <v>3090</v>
      </c>
      <c r="B160" s="8">
        <v>1503050</v>
      </c>
      <c r="C160" s="8">
        <v>3.3</v>
      </c>
      <c r="D160" s="9" t="s">
        <v>2738</v>
      </c>
      <c r="E160" s="59">
        <v>12</v>
      </c>
      <c r="F160" s="56" t="s">
        <v>34</v>
      </c>
      <c r="G160" s="63">
        <f t="shared" si="25"/>
        <v>0</v>
      </c>
      <c r="H160" s="63">
        <v>0</v>
      </c>
      <c r="J160" s="57"/>
    </row>
    <row r="161" spans="1:10" x14ac:dyDescent="0.3">
      <c r="A161" s="8" t="s">
        <v>3091</v>
      </c>
      <c r="B161" s="8">
        <v>1503050</v>
      </c>
      <c r="C161" s="8">
        <v>3.5</v>
      </c>
      <c r="D161" s="9" t="s">
        <v>2740</v>
      </c>
      <c r="E161" s="59">
        <v>12</v>
      </c>
      <c r="F161" s="56" t="s">
        <v>34</v>
      </c>
      <c r="G161" s="63">
        <f t="shared" si="25"/>
        <v>0</v>
      </c>
      <c r="H161" s="63">
        <v>0</v>
      </c>
      <c r="J161" s="57"/>
    </row>
    <row r="162" spans="1:10" x14ac:dyDescent="0.3">
      <c r="A162" s="8" t="s">
        <v>3092</v>
      </c>
      <c r="B162" s="8">
        <v>1503050</v>
      </c>
      <c r="C162" s="8">
        <v>3.6</v>
      </c>
      <c r="D162" s="9" t="s">
        <v>2742</v>
      </c>
      <c r="E162" s="59">
        <v>12</v>
      </c>
      <c r="F162" s="56" t="s">
        <v>34</v>
      </c>
      <c r="G162" s="63">
        <f t="shared" si="25"/>
        <v>0</v>
      </c>
      <c r="H162" s="63">
        <v>0</v>
      </c>
      <c r="J162" s="57"/>
    </row>
    <row r="163" spans="1:10" x14ac:dyDescent="0.3">
      <c r="A163" s="8" t="s">
        <v>3093</v>
      </c>
      <c r="B163" s="8">
        <v>1503050</v>
      </c>
      <c r="C163" s="8">
        <v>3.7</v>
      </c>
      <c r="D163" s="152" t="s">
        <v>2744</v>
      </c>
      <c r="E163" s="59">
        <v>12</v>
      </c>
      <c r="F163" s="56" t="s">
        <v>34</v>
      </c>
      <c r="G163" s="63">
        <f t="shared" si="25"/>
        <v>0</v>
      </c>
      <c r="H163" s="63">
        <v>0</v>
      </c>
      <c r="J163" s="57"/>
    </row>
    <row r="164" spans="1:10" x14ac:dyDescent="0.3">
      <c r="A164" s="13"/>
      <c r="B164" s="13"/>
      <c r="C164" s="13"/>
      <c r="D164" s="153" t="s">
        <v>3094</v>
      </c>
      <c r="E164" s="193">
        <v>12</v>
      </c>
      <c r="F164" s="189" t="s">
        <v>34</v>
      </c>
      <c r="G164" s="190">
        <f t="shared" ref="G164:H164" si="26">SUM(G156:G163)</f>
        <v>0</v>
      </c>
      <c r="H164" s="63">
        <f t="shared" si="26"/>
        <v>0</v>
      </c>
      <c r="J164" s="57"/>
    </row>
    <row r="165" spans="1:10" ht="12.75" customHeight="1" x14ac:dyDescent="0.3">
      <c r="A165" s="160" t="s">
        <v>3095</v>
      </c>
      <c r="B165" s="160">
        <v>1503050</v>
      </c>
      <c r="C165" s="161"/>
      <c r="D165" s="198" t="s">
        <v>2868</v>
      </c>
      <c r="E165" s="56"/>
      <c r="F165" s="56"/>
      <c r="G165" s="63"/>
      <c r="H165" s="63"/>
      <c r="J165" s="57"/>
    </row>
    <row r="166" spans="1:10" x14ac:dyDescent="0.3">
      <c r="A166" s="8" t="s">
        <v>3096</v>
      </c>
      <c r="B166" s="8">
        <v>1503050</v>
      </c>
      <c r="C166" s="8">
        <v>3.1</v>
      </c>
      <c r="D166" s="150" t="s">
        <v>2748</v>
      </c>
      <c r="E166" s="194">
        <v>12</v>
      </c>
      <c r="F166" s="195" t="s">
        <v>34</v>
      </c>
      <c r="G166" s="196">
        <f t="shared" ref="G166:G173" si="27">H166/E166</f>
        <v>0</v>
      </c>
      <c r="H166" s="63">
        <v>0</v>
      </c>
      <c r="J166" s="57"/>
    </row>
    <row r="167" spans="1:10" x14ac:dyDescent="0.3">
      <c r="A167" s="8" t="s">
        <v>3097</v>
      </c>
      <c r="B167" s="8">
        <v>1503050</v>
      </c>
      <c r="C167" s="8">
        <v>3.1</v>
      </c>
      <c r="D167" s="151" t="s">
        <v>2750</v>
      </c>
      <c r="E167" s="59">
        <v>12</v>
      </c>
      <c r="F167" s="56" t="s">
        <v>34</v>
      </c>
      <c r="G167" s="63">
        <f t="shared" si="27"/>
        <v>0</v>
      </c>
      <c r="H167" s="63">
        <v>0</v>
      </c>
      <c r="J167" s="57"/>
    </row>
    <row r="168" spans="1:10" x14ac:dyDescent="0.3">
      <c r="A168" s="8" t="s">
        <v>3098</v>
      </c>
      <c r="B168" s="8">
        <v>1503050</v>
      </c>
      <c r="C168" s="8">
        <v>3.1</v>
      </c>
      <c r="D168" s="162" t="s">
        <v>2752</v>
      </c>
      <c r="E168" s="59">
        <v>12</v>
      </c>
      <c r="F168" s="56" t="s">
        <v>34</v>
      </c>
      <c r="G168" s="63">
        <f t="shared" si="27"/>
        <v>0</v>
      </c>
      <c r="H168" s="63">
        <v>0</v>
      </c>
      <c r="J168" s="57"/>
    </row>
    <row r="169" spans="1:10" ht="12.75" customHeight="1" x14ac:dyDescent="0.3">
      <c r="A169" s="8" t="s">
        <v>3099</v>
      </c>
      <c r="B169" s="8">
        <v>1503050</v>
      </c>
      <c r="C169" s="8">
        <v>3.2</v>
      </c>
      <c r="D169" s="60" t="s">
        <v>2754</v>
      </c>
      <c r="E169" s="59">
        <v>12</v>
      </c>
      <c r="F169" s="56" t="s">
        <v>34</v>
      </c>
      <c r="G169" s="63">
        <f t="shared" si="27"/>
        <v>0</v>
      </c>
      <c r="H169" s="63">
        <v>0</v>
      </c>
      <c r="J169" s="57"/>
    </row>
    <row r="170" spans="1:10" x14ac:dyDescent="0.3">
      <c r="A170" s="8" t="s">
        <v>3100</v>
      </c>
      <c r="B170" s="8">
        <v>1503050</v>
      </c>
      <c r="C170" s="8">
        <v>3.3</v>
      </c>
      <c r="D170" s="9" t="s">
        <v>2756</v>
      </c>
      <c r="E170" s="59">
        <v>12</v>
      </c>
      <c r="F170" s="56" t="s">
        <v>34</v>
      </c>
      <c r="G170" s="63">
        <f t="shared" si="27"/>
        <v>0</v>
      </c>
      <c r="H170" s="63">
        <v>0</v>
      </c>
      <c r="J170" s="57"/>
    </row>
    <row r="171" spans="1:10" x14ac:dyDescent="0.3">
      <c r="A171" s="8" t="s">
        <v>3101</v>
      </c>
      <c r="B171" s="8">
        <v>1503050</v>
      </c>
      <c r="C171" s="8">
        <v>3.5</v>
      </c>
      <c r="D171" s="9" t="s">
        <v>2758</v>
      </c>
      <c r="E171" s="59">
        <v>12</v>
      </c>
      <c r="F171" s="56" t="s">
        <v>34</v>
      </c>
      <c r="G171" s="63">
        <f t="shared" si="27"/>
        <v>0</v>
      </c>
      <c r="H171" s="63">
        <v>0</v>
      </c>
      <c r="J171" s="57"/>
    </row>
    <row r="172" spans="1:10" x14ac:dyDescent="0.3">
      <c r="A172" s="8" t="s">
        <v>3102</v>
      </c>
      <c r="B172" s="8">
        <v>1503050</v>
      </c>
      <c r="C172" s="8">
        <v>3.6</v>
      </c>
      <c r="D172" s="9" t="s">
        <v>2760</v>
      </c>
      <c r="E172" s="59">
        <v>12</v>
      </c>
      <c r="F172" s="56" t="s">
        <v>34</v>
      </c>
      <c r="G172" s="63">
        <f t="shared" si="27"/>
        <v>0</v>
      </c>
      <c r="H172" s="63">
        <v>0</v>
      </c>
      <c r="J172" s="57"/>
    </row>
    <row r="173" spans="1:10" x14ac:dyDescent="0.3">
      <c r="A173" s="8" t="s">
        <v>3103</v>
      </c>
      <c r="B173" s="8">
        <v>1503050</v>
      </c>
      <c r="C173" s="8">
        <v>3.7</v>
      </c>
      <c r="D173" s="152" t="s">
        <v>2762</v>
      </c>
      <c r="E173" s="59">
        <v>12</v>
      </c>
      <c r="F173" s="56" t="s">
        <v>34</v>
      </c>
      <c r="G173" s="63">
        <f t="shared" si="27"/>
        <v>0</v>
      </c>
      <c r="H173" s="63">
        <v>0</v>
      </c>
      <c r="J173" s="57"/>
    </row>
    <row r="174" spans="1:10" x14ac:dyDescent="0.3">
      <c r="A174" s="13"/>
      <c r="B174" s="13"/>
      <c r="C174" s="13"/>
      <c r="D174" s="153" t="s">
        <v>3104</v>
      </c>
      <c r="E174" s="193">
        <v>12</v>
      </c>
      <c r="F174" s="189" t="s">
        <v>34</v>
      </c>
      <c r="G174" s="190">
        <f t="shared" ref="G174:H174" si="28">SUM(G166:G173)</f>
        <v>0</v>
      </c>
      <c r="H174" s="63">
        <f t="shared" si="28"/>
        <v>0</v>
      </c>
      <c r="J174" s="57"/>
    </row>
    <row r="175" spans="1:10" x14ac:dyDescent="0.3">
      <c r="A175" s="160" t="s">
        <v>3105</v>
      </c>
      <c r="B175" s="160">
        <v>1503050</v>
      </c>
      <c r="C175" s="161"/>
      <c r="D175" s="198" t="s">
        <v>2765</v>
      </c>
      <c r="E175" s="59"/>
      <c r="F175" s="56"/>
      <c r="G175" s="63"/>
      <c r="H175" s="63"/>
      <c r="J175" s="57"/>
    </row>
    <row r="176" spans="1:10" x14ac:dyDescent="0.3">
      <c r="A176" s="8" t="s">
        <v>3106</v>
      </c>
      <c r="B176" s="8">
        <v>1503050</v>
      </c>
      <c r="C176" s="8">
        <v>3.1</v>
      </c>
      <c r="D176" s="150" t="s">
        <v>2767</v>
      </c>
      <c r="E176" s="194">
        <v>12</v>
      </c>
      <c r="F176" s="195" t="s">
        <v>34</v>
      </c>
      <c r="G176" s="196">
        <f t="shared" ref="G176:G183" si="29">H176/E176</f>
        <v>0</v>
      </c>
      <c r="H176" s="63">
        <v>0</v>
      </c>
      <c r="J176" s="57"/>
    </row>
    <row r="177" spans="1:10" x14ac:dyDescent="0.3">
      <c r="A177" s="8" t="s">
        <v>3107</v>
      </c>
      <c r="B177" s="8">
        <v>1503050</v>
      </c>
      <c r="C177" s="8">
        <v>3.1</v>
      </c>
      <c r="D177" s="151" t="s">
        <v>2769</v>
      </c>
      <c r="E177" s="59">
        <v>12</v>
      </c>
      <c r="F177" s="56" t="s">
        <v>34</v>
      </c>
      <c r="G177" s="63">
        <f t="shared" si="29"/>
        <v>0</v>
      </c>
      <c r="H177" s="63">
        <v>0</v>
      </c>
      <c r="J177" s="57"/>
    </row>
    <row r="178" spans="1:10" x14ac:dyDescent="0.3">
      <c r="A178" s="8" t="s">
        <v>3108</v>
      </c>
      <c r="B178" s="8">
        <v>1503050</v>
      </c>
      <c r="C178" s="8">
        <v>3.1</v>
      </c>
      <c r="D178" s="162" t="s">
        <v>2771</v>
      </c>
      <c r="E178" s="59">
        <v>12</v>
      </c>
      <c r="F178" s="56" t="s">
        <v>34</v>
      </c>
      <c r="G178" s="63">
        <f t="shared" si="29"/>
        <v>0</v>
      </c>
      <c r="H178" s="63">
        <v>0</v>
      </c>
      <c r="J178" s="57"/>
    </row>
    <row r="179" spans="1:10" x14ac:dyDescent="0.3">
      <c r="A179" s="8" t="s">
        <v>3109</v>
      </c>
      <c r="B179" s="8">
        <v>1503050</v>
      </c>
      <c r="C179" s="8">
        <v>3.2</v>
      </c>
      <c r="D179" s="60" t="s">
        <v>2773</v>
      </c>
      <c r="E179" s="59">
        <v>12</v>
      </c>
      <c r="F179" s="56" t="s">
        <v>34</v>
      </c>
      <c r="G179" s="63">
        <f t="shared" si="29"/>
        <v>0</v>
      </c>
      <c r="H179" s="63">
        <v>0</v>
      </c>
      <c r="J179" s="57"/>
    </row>
    <row r="180" spans="1:10" x14ac:dyDescent="0.3">
      <c r="A180" s="8" t="s">
        <v>3110</v>
      </c>
      <c r="B180" s="8">
        <v>1503050</v>
      </c>
      <c r="C180" s="8">
        <v>3.3</v>
      </c>
      <c r="D180" s="9" t="s">
        <v>2775</v>
      </c>
      <c r="E180" s="59">
        <v>12</v>
      </c>
      <c r="F180" s="56" t="s">
        <v>34</v>
      </c>
      <c r="G180" s="63">
        <f t="shared" si="29"/>
        <v>0</v>
      </c>
      <c r="H180" s="63">
        <v>0</v>
      </c>
      <c r="J180" s="57"/>
    </row>
    <row r="181" spans="1:10" x14ac:dyDescent="0.3">
      <c r="A181" s="8" t="s">
        <v>3111</v>
      </c>
      <c r="B181" s="8">
        <v>1503050</v>
      </c>
      <c r="C181" s="8">
        <v>3.5</v>
      </c>
      <c r="D181" s="9" t="s">
        <v>2777</v>
      </c>
      <c r="E181" s="59">
        <v>12</v>
      </c>
      <c r="F181" s="56" t="s">
        <v>34</v>
      </c>
      <c r="G181" s="63">
        <f t="shared" si="29"/>
        <v>0</v>
      </c>
      <c r="H181" s="63">
        <v>0</v>
      </c>
      <c r="J181" s="57"/>
    </row>
    <row r="182" spans="1:10" x14ac:dyDescent="0.3">
      <c r="A182" s="8" t="s">
        <v>3112</v>
      </c>
      <c r="B182" s="8">
        <v>1503050</v>
      </c>
      <c r="C182" s="8">
        <v>3.6</v>
      </c>
      <c r="D182" s="9" t="s">
        <v>2779</v>
      </c>
      <c r="E182" s="59">
        <v>12</v>
      </c>
      <c r="F182" s="56" t="s">
        <v>34</v>
      </c>
      <c r="G182" s="63">
        <f t="shared" si="29"/>
        <v>0</v>
      </c>
      <c r="H182" s="63">
        <v>0</v>
      </c>
      <c r="J182" s="57"/>
    </row>
    <row r="183" spans="1:10" x14ac:dyDescent="0.3">
      <c r="A183" s="8" t="s">
        <v>3113</v>
      </c>
      <c r="B183" s="8">
        <v>1503050</v>
      </c>
      <c r="C183" s="8">
        <v>3.7</v>
      </c>
      <c r="D183" s="152" t="s">
        <v>2781</v>
      </c>
      <c r="E183" s="59">
        <v>12</v>
      </c>
      <c r="F183" s="56" t="s">
        <v>34</v>
      </c>
      <c r="G183" s="63">
        <f t="shared" si="29"/>
        <v>0</v>
      </c>
      <c r="H183" s="63">
        <v>0</v>
      </c>
      <c r="J183" s="57"/>
    </row>
    <row r="184" spans="1:10" x14ac:dyDescent="0.3">
      <c r="A184" s="13"/>
      <c r="B184" s="13"/>
      <c r="C184" s="13"/>
      <c r="D184" s="153" t="s">
        <v>3114</v>
      </c>
      <c r="E184" s="59">
        <v>12</v>
      </c>
      <c r="F184" s="56" t="s">
        <v>34</v>
      </c>
      <c r="G184" s="63">
        <f t="shared" ref="G184:H184" si="30">SUM(G176:G183)</f>
        <v>0</v>
      </c>
      <c r="H184" s="63">
        <f t="shared" si="30"/>
        <v>0</v>
      </c>
      <c r="J184" s="57"/>
    </row>
    <row r="185" spans="1:10" x14ac:dyDescent="0.3">
      <c r="A185" s="13" t="s">
        <v>1176</v>
      </c>
      <c r="B185" s="13">
        <v>1503050</v>
      </c>
      <c r="C185" s="13" t="s">
        <v>14</v>
      </c>
      <c r="D185" s="153" t="s">
        <v>2783</v>
      </c>
      <c r="E185" s="193">
        <v>12</v>
      </c>
      <c r="F185" s="189" t="s">
        <v>34</v>
      </c>
      <c r="G185" s="190">
        <f>G184+G174+G164+G154+G144+G134+G124+G114</f>
        <v>0</v>
      </c>
      <c r="H185" s="63">
        <f>H184+H174+H164+H154+H144+H134+H124+H114</f>
        <v>0</v>
      </c>
      <c r="J185" s="57" t="s">
        <v>14</v>
      </c>
    </row>
    <row r="186" spans="1:10" x14ac:dyDescent="0.3">
      <c r="A186" s="13" t="s">
        <v>1177</v>
      </c>
      <c r="B186" s="13">
        <v>1503050</v>
      </c>
      <c r="C186" s="13" t="s">
        <v>14</v>
      </c>
      <c r="D186" s="199" t="s">
        <v>2784</v>
      </c>
      <c r="E186" s="56"/>
      <c r="F186" s="56"/>
      <c r="G186" s="63"/>
      <c r="H186" s="63"/>
      <c r="J186" s="57" t="s">
        <v>14</v>
      </c>
    </row>
    <row r="187" spans="1:10" ht="12.75" customHeight="1" x14ac:dyDescent="0.3">
      <c r="A187" s="13" t="s">
        <v>1178</v>
      </c>
      <c r="B187" s="13">
        <v>1503050</v>
      </c>
      <c r="C187" s="13"/>
      <c r="D187" s="200" t="s">
        <v>2785</v>
      </c>
      <c r="E187" s="56"/>
      <c r="F187" s="56"/>
      <c r="G187" s="63"/>
      <c r="H187" s="63"/>
      <c r="J187" s="57"/>
    </row>
    <row r="188" spans="1:10" x14ac:dyDescent="0.3">
      <c r="A188" s="13" t="s">
        <v>1179</v>
      </c>
      <c r="B188" s="13"/>
      <c r="C188" s="147" t="s">
        <v>14</v>
      </c>
      <c r="D188" s="185" t="s">
        <v>152</v>
      </c>
      <c r="E188" s="59"/>
      <c r="F188" s="56"/>
      <c r="G188" s="63"/>
      <c r="H188" s="63"/>
      <c r="J188" s="57"/>
    </row>
    <row r="189" spans="1:10" x14ac:dyDescent="0.3">
      <c r="A189" s="13" t="s">
        <v>1180</v>
      </c>
      <c r="B189" s="13">
        <v>1503050</v>
      </c>
      <c r="C189" s="147"/>
      <c r="D189" s="179" t="s">
        <v>2786</v>
      </c>
      <c r="E189" s="59"/>
      <c r="F189" s="56"/>
      <c r="G189" s="63"/>
      <c r="H189" s="63"/>
      <c r="J189" s="57"/>
    </row>
    <row r="190" spans="1:10" x14ac:dyDescent="0.3">
      <c r="A190" s="8" t="s">
        <v>1181</v>
      </c>
      <c r="B190" s="8">
        <v>1503050</v>
      </c>
      <c r="C190" s="146">
        <v>3.1</v>
      </c>
      <c r="D190" s="164" t="s">
        <v>155</v>
      </c>
      <c r="E190" s="194">
        <v>12</v>
      </c>
      <c r="F190" s="195" t="s">
        <v>34</v>
      </c>
      <c r="G190" s="196">
        <f t="shared" ref="G190:G195" si="31">H190/E190</f>
        <v>0</v>
      </c>
      <c r="H190" s="63">
        <v>0</v>
      </c>
      <c r="J190" s="57"/>
    </row>
    <row r="191" spans="1:10" ht="12.75" customHeight="1" x14ac:dyDescent="0.3">
      <c r="A191" s="8" t="s">
        <v>1182</v>
      </c>
      <c r="B191" s="8">
        <v>1503050</v>
      </c>
      <c r="C191" s="146">
        <v>3.1</v>
      </c>
      <c r="D191" s="165" t="s">
        <v>2787</v>
      </c>
      <c r="E191" s="59">
        <v>12</v>
      </c>
      <c r="F191" s="56" t="s">
        <v>34</v>
      </c>
      <c r="G191" s="63">
        <f t="shared" si="31"/>
        <v>0</v>
      </c>
      <c r="H191" s="63">
        <v>0</v>
      </c>
      <c r="J191" s="57"/>
    </row>
    <row r="192" spans="1:10" x14ac:dyDescent="0.3">
      <c r="A192" s="8" t="s">
        <v>1183</v>
      </c>
      <c r="B192" s="8">
        <v>1503050</v>
      </c>
      <c r="C192" s="8">
        <v>3.1</v>
      </c>
      <c r="D192" s="166" t="s">
        <v>158</v>
      </c>
      <c r="E192" s="59">
        <v>12</v>
      </c>
      <c r="F192" s="56" t="s">
        <v>34</v>
      </c>
      <c r="G192" s="63">
        <f t="shared" si="31"/>
        <v>0</v>
      </c>
      <c r="H192" s="63">
        <v>0</v>
      </c>
      <c r="J192" s="57"/>
    </row>
    <row r="193" spans="1:10" x14ac:dyDescent="0.3">
      <c r="A193" s="8" t="s">
        <v>1184</v>
      </c>
      <c r="B193" s="8">
        <v>1503050</v>
      </c>
      <c r="C193" s="8">
        <v>3.2</v>
      </c>
      <c r="D193" s="60" t="s">
        <v>160</v>
      </c>
      <c r="E193" s="59">
        <v>12</v>
      </c>
      <c r="F193" s="56" t="s">
        <v>34</v>
      </c>
      <c r="G193" s="63">
        <f t="shared" si="31"/>
        <v>0</v>
      </c>
      <c r="H193" s="63">
        <v>0</v>
      </c>
      <c r="J193" s="57"/>
    </row>
    <row r="194" spans="1:10" x14ac:dyDescent="0.3">
      <c r="A194" s="8" t="s">
        <v>1185</v>
      </c>
      <c r="B194" s="8">
        <v>1503050</v>
      </c>
      <c r="C194" s="8">
        <v>3.3</v>
      </c>
      <c r="D194" s="9" t="s">
        <v>162</v>
      </c>
      <c r="E194" s="59">
        <v>12</v>
      </c>
      <c r="F194" s="56" t="s">
        <v>34</v>
      </c>
      <c r="G194" s="63">
        <f t="shared" si="31"/>
        <v>0</v>
      </c>
      <c r="H194" s="63">
        <v>0</v>
      </c>
      <c r="J194" s="57"/>
    </row>
    <row r="195" spans="1:10" x14ac:dyDescent="0.3">
      <c r="A195" s="8" t="s">
        <v>1186</v>
      </c>
      <c r="B195" s="8">
        <v>1503050</v>
      </c>
      <c r="C195" s="8">
        <v>3.5</v>
      </c>
      <c r="D195" s="9" t="s">
        <v>2788</v>
      </c>
      <c r="E195" s="59">
        <v>12</v>
      </c>
      <c r="F195" s="56" t="s">
        <v>34</v>
      </c>
      <c r="G195" s="63">
        <f t="shared" si="31"/>
        <v>0</v>
      </c>
      <c r="H195" s="63">
        <v>0</v>
      </c>
      <c r="J195" s="57"/>
    </row>
    <row r="196" spans="1:10" x14ac:dyDescent="0.3">
      <c r="A196" s="8" t="s">
        <v>1187</v>
      </c>
      <c r="B196" s="8">
        <v>1503050</v>
      </c>
      <c r="C196" s="8">
        <v>3.6</v>
      </c>
      <c r="D196" s="9" t="s">
        <v>165</v>
      </c>
      <c r="E196" s="59">
        <v>12</v>
      </c>
      <c r="F196" s="56" t="s">
        <v>34</v>
      </c>
      <c r="G196" s="63">
        <f t="shared" ref="G196:H196" si="32">SUM(G188:G195)</f>
        <v>0</v>
      </c>
      <c r="H196" s="63">
        <f t="shared" si="32"/>
        <v>0</v>
      </c>
      <c r="J196" s="57"/>
    </row>
    <row r="197" spans="1:10" x14ac:dyDescent="0.3">
      <c r="A197" s="8" t="s">
        <v>1188</v>
      </c>
      <c r="B197" s="8">
        <v>1503050</v>
      </c>
      <c r="C197" s="8">
        <v>3.7</v>
      </c>
      <c r="D197" s="152" t="s">
        <v>167</v>
      </c>
      <c r="E197" s="59">
        <v>12</v>
      </c>
      <c r="F197" s="59" t="s">
        <v>34</v>
      </c>
      <c r="G197" s="63">
        <v>0</v>
      </c>
      <c r="H197" s="63">
        <v>0</v>
      </c>
      <c r="J197" s="57"/>
    </row>
    <row r="198" spans="1:10" x14ac:dyDescent="0.3">
      <c r="A198" s="13"/>
      <c r="B198" s="13"/>
      <c r="C198" s="13"/>
      <c r="D198" s="155" t="s">
        <v>1189</v>
      </c>
      <c r="E198" s="193">
        <v>12</v>
      </c>
      <c r="F198" s="189" t="s">
        <v>34</v>
      </c>
      <c r="G198" s="190">
        <f t="shared" ref="G198:G205" si="33">H198/E198</f>
        <v>0</v>
      </c>
      <c r="H198" s="63">
        <v>0</v>
      </c>
      <c r="J198" s="57"/>
    </row>
    <row r="199" spans="1:10" x14ac:dyDescent="0.3">
      <c r="A199" s="13" t="s">
        <v>1190</v>
      </c>
      <c r="B199" s="13">
        <v>1503050</v>
      </c>
      <c r="C199" s="146"/>
      <c r="D199" s="179" t="s">
        <v>2789</v>
      </c>
      <c r="E199" s="59"/>
      <c r="F199" s="56"/>
      <c r="G199" s="63"/>
      <c r="H199" s="63"/>
      <c r="J199" s="57"/>
    </row>
    <row r="200" spans="1:10" x14ac:dyDescent="0.3">
      <c r="A200" s="8" t="s">
        <v>1191</v>
      </c>
      <c r="B200" s="8">
        <v>1503050</v>
      </c>
      <c r="C200" s="146">
        <v>3.1</v>
      </c>
      <c r="D200" s="167" t="s">
        <v>171</v>
      </c>
      <c r="E200" s="194">
        <v>12</v>
      </c>
      <c r="F200" s="195" t="s">
        <v>34</v>
      </c>
      <c r="G200" s="196">
        <f t="shared" si="33"/>
        <v>0</v>
      </c>
      <c r="H200" s="63">
        <v>0</v>
      </c>
      <c r="J200" s="57"/>
    </row>
    <row r="201" spans="1:10" x14ac:dyDescent="0.3">
      <c r="A201" s="8" t="s">
        <v>1192</v>
      </c>
      <c r="B201" s="8">
        <v>1503050</v>
      </c>
      <c r="C201" s="146">
        <v>3.1</v>
      </c>
      <c r="D201" s="168" t="s">
        <v>2790</v>
      </c>
      <c r="E201" s="59">
        <v>12</v>
      </c>
      <c r="F201" s="56" t="s">
        <v>34</v>
      </c>
      <c r="G201" s="63">
        <f t="shared" si="33"/>
        <v>0</v>
      </c>
      <c r="H201" s="63">
        <v>0</v>
      </c>
      <c r="J201" s="57"/>
    </row>
    <row r="202" spans="1:10" x14ac:dyDescent="0.3">
      <c r="A202" s="8" t="s">
        <v>1193</v>
      </c>
      <c r="B202" s="8">
        <v>1503050</v>
      </c>
      <c r="C202" s="8">
        <v>3.1</v>
      </c>
      <c r="D202" s="169" t="s">
        <v>174</v>
      </c>
      <c r="E202" s="59">
        <v>12</v>
      </c>
      <c r="F202" s="56" t="s">
        <v>34</v>
      </c>
      <c r="G202" s="63">
        <f t="shared" si="33"/>
        <v>0</v>
      </c>
      <c r="H202" s="63">
        <v>0</v>
      </c>
      <c r="J202" s="57"/>
    </row>
    <row r="203" spans="1:10" x14ac:dyDescent="0.3">
      <c r="A203" s="8" t="s">
        <v>1194</v>
      </c>
      <c r="B203" s="8">
        <v>1503050</v>
      </c>
      <c r="C203" s="8">
        <v>3.2</v>
      </c>
      <c r="D203" s="9" t="s">
        <v>176</v>
      </c>
      <c r="E203" s="59">
        <v>12</v>
      </c>
      <c r="F203" s="56" t="s">
        <v>34</v>
      </c>
      <c r="G203" s="63">
        <f t="shared" si="33"/>
        <v>0</v>
      </c>
      <c r="H203" s="63">
        <v>0</v>
      </c>
      <c r="J203" s="57"/>
    </row>
    <row r="204" spans="1:10" x14ac:dyDescent="0.3">
      <c r="A204" s="8" t="s">
        <v>1195</v>
      </c>
      <c r="B204" s="8">
        <v>1503050</v>
      </c>
      <c r="C204" s="8">
        <v>3.3</v>
      </c>
      <c r="D204" s="9" t="s">
        <v>178</v>
      </c>
      <c r="E204" s="59">
        <v>12</v>
      </c>
      <c r="F204" s="56" t="s">
        <v>34</v>
      </c>
      <c r="G204" s="63">
        <f t="shared" si="33"/>
        <v>0</v>
      </c>
      <c r="H204" s="63">
        <v>0</v>
      </c>
      <c r="J204" s="57"/>
    </row>
    <row r="205" spans="1:10" x14ac:dyDescent="0.3">
      <c r="A205" s="8" t="s">
        <v>1196</v>
      </c>
      <c r="B205" s="8">
        <v>1503050</v>
      </c>
      <c r="C205" s="8">
        <v>3.5</v>
      </c>
      <c r="D205" s="9" t="s">
        <v>2791</v>
      </c>
      <c r="E205" s="59">
        <v>12</v>
      </c>
      <c r="F205" s="56" t="s">
        <v>34</v>
      </c>
      <c r="G205" s="63">
        <f t="shared" si="33"/>
        <v>0</v>
      </c>
      <c r="H205" s="63">
        <v>0</v>
      </c>
      <c r="J205" s="57"/>
    </row>
    <row r="206" spans="1:10" x14ac:dyDescent="0.3">
      <c r="A206" s="8" t="s">
        <v>1197</v>
      </c>
      <c r="B206" s="8">
        <v>1503050</v>
      </c>
      <c r="C206" s="8">
        <v>3.6</v>
      </c>
      <c r="D206" s="9" t="s">
        <v>181</v>
      </c>
      <c r="E206" s="59">
        <v>12</v>
      </c>
      <c r="F206" s="56" t="s">
        <v>34</v>
      </c>
      <c r="G206" s="63">
        <f t="shared" ref="G206" si="34">SUM(G198:G205)</f>
        <v>0</v>
      </c>
      <c r="H206" s="63">
        <f>SUM(H197:H205)</f>
        <v>0</v>
      </c>
      <c r="J206" s="57"/>
    </row>
    <row r="207" spans="1:10" ht="12.75" customHeight="1" x14ac:dyDescent="0.3">
      <c r="A207" s="8" t="s">
        <v>1198</v>
      </c>
      <c r="B207" s="8">
        <v>1503050</v>
      </c>
      <c r="C207" s="8">
        <v>3.7</v>
      </c>
      <c r="D207" s="152" t="s">
        <v>183</v>
      </c>
      <c r="E207" s="59">
        <v>12</v>
      </c>
      <c r="F207" s="59" t="s">
        <v>34</v>
      </c>
      <c r="G207" s="63">
        <v>0</v>
      </c>
      <c r="H207" s="63">
        <v>0</v>
      </c>
      <c r="J207" s="57"/>
    </row>
    <row r="208" spans="1:10" x14ac:dyDescent="0.3">
      <c r="A208" s="13"/>
      <c r="B208" s="13"/>
      <c r="C208" s="13"/>
      <c r="D208" s="155" t="s">
        <v>1199</v>
      </c>
      <c r="E208" s="193">
        <v>12</v>
      </c>
      <c r="F208" s="189" t="s">
        <v>34</v>
      </c>
      <c r="G208" s="190">
        <f t="shared" ref="G208:G215" si="35">H208/E208</f>
        <v>0</v>
      </c>
      <c r="H208" s="63">
        <v>0</v>
      </c>
      <c r="J208" s="57"/>
    </row>
    <row r="209" spans="1:10" x14ac:dyDescent="0.3">
      <c r="A209" s="13" t="s">
        <v>1200</v>
      </c>
      <c r="B209" s="13">
        <v>1503050</v>
      </c>
      <c r="C209" s="147"/>
      <c r="D209" s="179" t="s">
        <v>2792</v>
      </c>
      <c r="E209" s="59"/>
      <c r="F209" s="56"/>
      <c r="G209" s="63"/>
      <c r="H209" s="63"/>
      <c r="J209" s="57"/>
    </row>
    <row r="210" spans="1:10" x14ac:dyDescent="0.3">
      <c r="A210" s="8" t="s">
        <v>1201</v>
      </c>
      <c r="B210" s="8">
        <v>1503050</v>
      </c>
      <c r="C210" s="146">
        <v>3.1</v>
      </c>
      <c r="D210" s="170" t="s">
        <v>2793</v>
      </c>
      <c r="E210" s="194">
        <v>12</v>
      </c>
      <c r="F210" s="195" t="s">
        <v>34</v>
      </c>
      <c r="G210" s="196">
        <f t="shared" si="35"/>
        <v>0</v>
      </c>
      <c r="H210" s="63">
        <v>0</v>
      </c>
      <c r="J210" s="57"/>
    </row>
    <row r="211" spans="1:10" ht="12.75" customHeight="1" x14ac:dyDescent="0.3">
      <c r="A211" s="8" t="s">
        <v>1202</v>
      </c>
      <c r="B211" s="8">
        <v>1503050</v>
      </c>
      <c r="C211" s="146">
        <v>3.1</v>
      </c>
      <c r="D211" s="171" t="s">
        <v>188</v>
      </c>
      <c r="E211" s="59">
        <v>12</v>
      </c>
      <c r="F211" s="56" t="s">
        <v>34</v>
      </c>
      <c r="G211" s="63">
        <f t="shared" si="35"/>
        <v>0</v>
      </c>
      <c r="H211" s="63">
        <v>0</v>
      </c>
      <c r="J211" s="57"/>
    </row>
    <row r="212" spans="1:10" x14ac:dyDescent="0.3">
      <c r="A212" s="8" t="s">
        <v>1203</v>
      </c>
      <c r="B212" s="8">
        <v>1503050</v>
      </c>
      <c r="C212" s="8">
        <v>3.1</v>
      </c>
      <c r="D212" s="166" t="s">
        <v>190</v>
      </c>
      <c r="E212" s="59">
        <v>12</v>
      </c>
      <c r="F212" s="56" t="s">
        <v>34</v>
      </c>
      <c r="G212" s="63">
        <f t="shared" si="35"/>
        <v>0</v>
      </c>
      <c r="H212" s="63">
        <v>0</v>
      </c>
      <c r="J212" s="57"/>
    </row>
    <row r="213" spans="1:10" x14ac:dyDescent="0.3">
      <c r="A213" s="8" t="s">
        <v>1204</v>
      </c>
      <c r="B213" s="8">
        <v>1503050</v>
      </c>
      <c r="C213" s="8">
        <v>3.2</v>
      </c>
      <c r="D213" s="60" t="s">
        <v>192</v>
      </c>
      <c r="E213" s="59">
        <v>12</v>
      </c>
      <c r="F213" s="56" t="s">
        <v>34</v>
      </c>
      <c r="G213" s="63">
        <f t="shared" si="35"/>
        <v>0</v>
      </c>
      <c r="H213" s="63">
        <v>0</v>
      </c>
      <c r="J213" s="57"/>
    </row>
    <row r="214" spans="1:10" x14ac:dyDescent="0.3">
      <c r="A214" s="8" t="s">
        <v>1205</v>
      </c>
      <c r="B214" s="8">
        <v>1503050</v>
      </c>
      <c r="C214" s="8">
        <v>3.3</v>
      </c>
      <c r="D214" s="9" t="s">
        <v>194</v>
      </c>
      <c r="E214" s="59">
        <v>12</v>
      </c>
      <c r="F214" s="56" t="s">
        <v>34</v>
      </c>
      <c r="G214" s="63">
        <f t="shared" si="35"/>
        <v>0</v>
      </c>
      <c r="H214" s="63">
        <v>0</v>
      </c>
      <c r="J214" s="57"/>
    </row>
    <row r="215" spans="1:10" x14ac:dyDescent="0.3">
      <c r="A215" s="8" t="s">
        <v>1206</v>
      </c>
      <c r="B215" s="8">
        <v>1503050</v>
      </c>
      <c r="C215" s="8">
        <v>3.5</v>
      </c>
      <c r="D215" s="9" t="s">
        <v>2794</v>
      </c>
      <c r="E215" s="59">
        <v>12</v>
      </c>
      <c r="F215" s="56" t="s">
        <v>34</v>
      </c>
      <c r="G215" s="63">
        <f t="shared" si="35"/>
        <v>0</v>
      </c>
      <c r="H215" s="63">
        <v>0</v>
      </c>
      <c r="J215" s="57"/>
    </row>
    <row r="216" spans="1:10" x14ac:dyDescent="0.3">
      <c r="A216" s="8" t="s">
        <v>1207</v>
      </c>
      <c r="B216" s="8">
        <v>1503050</v>
      </c>
      <c r="C216" s="8">
        <v>3.6</v>
      </c>
      <c r="D216" s="9" t="s">
        <v>197</v>
      </c>
      <c r="E216" s="59">
        <v>12</v>
      </c>
      <c r="F216" s="56" t="s">
        <v>34</v>
      </c>
      <c r="G216" s="63">
        <f t="shared" ref="G216" si="36">SUM(G208:G215)</f>
        <v>0</v>
      </c>
      <c r="H216" s="63">
        <f>SUM(H207:H215)</f>
        <v>0</v>
      </c>
      <c r="J216" s="57"/>
    </row>
    <row r="217" spans="1:10" x14ac:dyDescent="0.3">
      <c r="A217" s="8" t="s">
        <v>1208</v>
      </c>
      <c r="B217" s="8">
        <v>1503050</v>
      </c>
      <c r="C217" s="8">
        <v>3.7</v>
      </c>
      <c r="D217" s="152" t="s">
        <v>199</v>
      </c>
      <c r="E217" s="59">
        <v>12</v>
      </c>
      <c r="F217" s="59" t="s">
        <v>34</v>
      </c>
      <c r="G217" s="63">
        <v>0</v>
      </c>
      <c r="H217" s="63">
        <v>0</v>
      </c>
      <c r="J217" s="57"/>
    </row>
    <row r="218" spans="1:10" x14ac:dyDescent="0.3">
      <c r="A218" s="13"/>
      <c r="B218" s="13"/>
      <c r="C218" s="13"/>
      <c r="D218" s="155" t="s">
        <v>1209</v>
      </c>
      <c r="E218" s="193">
        <v>12</v>
      </c>
      <c r="F218" s="189" t="s">
        <v>34</v>
      </c>
      <c r="G218" s="190">
        <f t="shared" ref="G218:G225" si="37">H218/E218</f>
        <v>0</v>
      </c>
      <c r="H218" s="63">
        <v>0</v>
      </c>
      <c r="J218" s="57"/>
    </row>
    <row r="219" spans="1:10" x14ac:dyDescent="0.3">
      <c r="A219" s="13" t="s">
        <v>1210</v>
      </c>
      <c r="B219" s="13">
        <v>1503050</v>
      </c>
      <c r="C219" s="146"/>
      <c r="D219" s="179" t="s">
        <v>2795</v>
      </c>
      <c r="E219" s="59"/>
      <c r="F219" s="56"/>
      <c r="G219" s="63"/>
      <c r="H219" s="63"/>
      <c r="J219" s="57"/>
    </row>
    <row r="220" spans="1:10" x14ac:dyDescent="0.3">
      <c r="A220" s="8" t="s">
        <v>1211</v>
      </c>
      <c r="B220" s="8">
        <v>1503050</v>
      </c>
      <c r="C220" s="146">
        <v>3.1</v>
      </c>
      <c r="D220" s="167" t="s">
        <v>2796</v>
      </c>
      <c r="E220" s="194">
        <v>12</v>
      </c>
      <c r="F220" s="195" t="s">
        <v>34</v>
      </c>
      <c r="G220" s="196">
        <f t="shared" si="37"/>
        <v>0</v>
      </c>
      <c r="H220" s="63">
        <v>0</v>
      </c>
      <c r="J220" s="57"/>
    </row>
    <row r="221" spans="1:10" x14ac:dyDescent="0.3">
      <c r="A221" s="8" t="s">
        <v>1212</v>
      </c>
      <c r="B221" s="8">
        <v>1503050</v>
      </c>
      <c r="C221" s="146">
        <v>3.1</v>
      </c>
      <c r="D221" s="168" t="s">
        <v>204</v>
      </c>
      <c r="E221" s="59">
        <v>12</v>
      </c>
      <c r="F221" s="56" t="s">
        <v>34</v>
      </c>
      <c r="G221" s="63">
        <f t="shared" si="37"/>
        <v>0</v>
      </c>
      <c r="H221" s="63">
        <v>0</v>
      </c>
      <c r="J221" s="57"/>
    </row>
    <row r="222" spans="1:10" x14ac:dyDescent="0.3">
      <c r="A222" s="8" t="s">
        <v>1213</v>
      </c>
      <c r="B222" s="8">
        <v>1503050</v>
      </c>
      <c r="C222" s="8">
        <v>3.1</v>
      </c>
      <c r="D222" s="169" t="s">
        <v>206</v>
      </c>
      <c r="E222" s="59">
        <v>12</v>
      </c>
      <c r="F222" s="56" t="s">
        <v>34</v>
      </c>
      <c r="G222" s="63">
        <f t="shared" si="37"/>
        <v>0</v>
      </c>
      <c r="H222" s="63">
        <v>0</v>
      </c>
      <c r="J222" s="57"/>
    </row>
    <row r="223" spans="1:10" x14ac:dyDescent="0.3">
      <c r="A223" s="8" t="s">
        <v>1214</v>
      </c>
      <c r="B223" s="8">
        <v>1503050</v>
      </c>
      <c r="C223" s="8">
        <v>3.2</v>
      </c>
      <c r="D223" s="9" t="s">
        <v>208</v>
      </c>
      <c r="E223" s="59">
        <v>12</v>
      </c>
      <c r="F223" s="56" t="s">
        <v>34</v>
      </c>
      <c r="G223" s="63">
        <f t="shared" si="37"/>
        <v>0</v>
      </c>
      <c r="H223" s="63">
        <v>0</v>
      </c>
      <c r="J223" s="57"/>
    </row>
    <row r="224" spans="1:10" x14ac:dyDescent="0.3">
      <c r="A224" s="8" t="s">
        <v>1215</v>
      </c>
      <c r="B224" s="8">
        <v>1503050</v>
      </c>
      <c r="C224" s="8">
        <v>3.3</v>
      </c>
      <c r="D224" s="9" t="s">
        <v>210</v>
      </c>
      <c r="E224" s="59">
        <v>12</v>
      </c>
      <c r="F224" s="56" t="s">
        <v>34</v>
      </c>
      <c r="G224" s="63">
        <f>H224/E224</f>
        <v>0</v>
      </c>
      <c r="H224" s="63">
        <v>0</v>
      </c>
      <c r="J224" s="57"/>
    </row>
    <row r="225" spans="1:10" x14ac:dyDescent="0.3">
      <c r="A225" s="8" t="s">
        <v>1216</v>
      </c>
      <c r="B225" s="8">
        <v>1503050</v>
      </c>
      <c r="C225" s="8">
        <v>3.5</v>
      </c>
      <c r="D225" s="9" t="s">
        <v>2797</v>
      </c>
      <c r="E225" s="59">
        <v>12</v>
      </c>
      <c r="F225" s="56" t="s">
        <v>34</v>
      </c>
      <c r="G225" s="63">
        <f t="shared" si="37"/>
        <v>0</v>
      </c>
      <c r="H225" s="63">
        <v>0</v>
      </c>
      <c r="J225" s="57"/>
    </row>
    <row r="226" spans="1:10" x14ac:dyDescent="0.3">
      <c r="A226" s="8" t="s">
        <v>1217</v>
      </c>
      <c r="B226" s="8">
        <v>1503050</v>
      </c>
      <c r="C226" s="8">
        <v>3.6</v>
      </c>
      <c r="D226" s="9" t="s">
        <v>213</v>
      </c>
      <c r="E226" s="59">
        <v>12</v>
      </c>
      <c r="F226" s="56" t="s">
        <v>34</v>
      </c>
      <c r="G226" s="63">
        <f t="shared" ref="G226" si="38">SUM(G218:G225)</f>
        <v>0</v>
      </c>
      <c r="H226" s="63">
        <f>SUM(H217:H225)</f>
        <v>0</v>
      </c>
      <c r="J226" s="57"/>
    </row>
    <row r="227" spans="1:10" x14ac:dyDescent="0.3">
      <c r="A227" s="8" t="s">
        <v>1218</v>
      </c>
      <c r="B227" s="8">
        <v>1503050</v>
      </c>
      <c r="C227" s="8">
        <v>3.7</v>
      </c>
      <c r="D227" s="152" t="s">
        <v>215</v>
      </c>
      <c r="E227" s="59">
        <v>12</v>
      </c>
      <c r="F227" s="56" t="s">
        <v>34</v>
      </c>
      <c r="G227" s="63">
        <f>G226+G216+G206+G196</f>
        <v>0</v>
      </c>
      <c r="H227" s="63">
        <f>H226+H216+H206+H196</f>
        <v>0</v>
      </c>
      <c r="J227" s="57" t="s">
        <v>14</v>
      </c>
    </row>
    <row r="228" spans="1:10" ht="15" customHeight="1" x14ac:dyDescent="0.3">
      <c r="A228" s="13"/>
      <c r="B228" s="13"/>
      <c r="C228" s="13"/>
      <c r="D228" s="155" t="s">
        <v>1219</v>
      </c>
      <c r="E228" s="157">
        <v>12</v>
      </c>
      <c r="F228" s="157" t="s">
        <v>34</v>
      </c>
      <c r="G228" s="201">
        <f>G227+G185+G101+G91+G81</f>
        <v>0</v>
      </c>
      <c r="H228" s="20">
        <f>H227+H185+H101+H91+H81</f>
        <v>0</v>
      </c>
    </row>
    <row r="229" spans="1:10" x14ac:dyDescent="0.3">
      <c r="A229" s="13" t="s">
        <v>1220</v>
      </c>
      <c r="B229" s="13">
        <v>1503050</v>
      </c>
      <c r="C229" s="147"/>
      <c r="D229" s="179" t="s">
        <v>2798</v>
      </c>
      <c r="E229" s="8"/>
      <c r="F229" s="8"/>
      <c r="G229" s="8"/>
      <c r="H229" s="8"/>
    </row>
    <row r="230" spans="1:10" ht="12.75" customHeight="1" x14ac:dyDescent="0.3">
      <c r="A230" s="8" t="s">
        <v>1221</v>
      </c>
      <c r="B230" s="8">
        <v>1503050</v>
      </c>
      <c r="C230" s="146">
        <v>3.1</v>
      </c>
      <c r="D230" s="170" t="s">
        <v>219</v>
      </c>
      <c r="E230" s="202">
        <v>12</v>
      </c>
      <c r="F230" s="202" t="s">
        <v>34</v>
      </c>
      <c r="G230" s="203">
        <v>0</v>
      </c>
      <c r="H230" s="204">
        <v>0</v>
      </c>
    </row>
    <row r="231" spans="1:10" x14ac:dyDescent="0.3">
      <c r="A231" s="8" t="s">
        <v>1222</v>
      </c>
      <c r="B231" s="8">
        <v>1503050</v>
      </c>
      <c r="C231" s="146">
        <v>3.1</v>
      </c>
      <c r="D231" s="171" t="s">
        <v>2799</v>
      </c>
      <c r="E231" s="59">
        <v>12</v>
      </c>
      <c r="F231" s="59" t="s">
        <v>34</v>
      </c>
      <c r="G231" s="63">
        <v>0</v>
      </c>
      <c r="H231" s="63">
        <v>0</v>
      </c>
      <c r="J231" s="57" t="s">
        <v>14</v>
      </c>
    </row>
    <row r="232" spans="1:10" x14ac:dyDescent="0.3">
      <c r="A232" s="8" t="s">
        <v>1223</v>
      </c>
      <c r="B232" s="8">
        <v>1503050</v>
      </c>
      <c r="C232" s="8">
        <v>3.1</v>
      </c>
      <c r="D232" s="166" t="s">
        <v>222</v>
      </c>
      <c r="E232" s="59">
        <v>12</v>
      </c>
      <c r="F232" s="59" t="s">
        <v>34</v>
      </c>
      <c r="G232" s="63">
        <v>0</v>
      </c>
      <c r="H232" s="63">
        <v>0</v>
      </c>
      <c r="J232" s="57" t="s">
        <v>14</v>
      </c>
    </row>
    <row r="233" spans="1:10" x14ac:dyDescent="0.3">
      <c r="A233" s="8" t="s">
        <v>1224</v>
      </c>
      <c r="B233" s="8">
        <v>1503050</v>
      </c>
      <c r="C233" s="8">
        <v>3.2</v>
      </c>
      <c r="D233" s="60" t="s">
        <v>224</v>
      </c>
      <c r="E233" s="59">
        <v>12</v>
      </c>
      <c r="F233" s="56" t="s">
        <v>34</v>
      </c>
      <c r="G233" s="63">
        <f t="shared" ref="G233:G234" si="39">H233/E233</f>
        <v>0</v>
      </c>
      <c r="H233" s="63">
        <v>0</v>
      </c>
      <c r="J233" s="57" t="s">
        <v>14</v>
      </c>
    </row>
    <row r="234" spans="1:10" x14ac:dyDescent="0.3">
      <c r="A234" s="8" t="s">
        <v>1225</v>
      </c>
      <c r="B234" s="8">
        <v>1503050</v>
      </c>
      <c r="C234" s="8">
        <v>3.3</v>
      </c>
      <c r="D234" s="9" t="s">
        <v>226</v>
      </c>
      <c r="E234" s="59">
        <v>12</v>
      </c>
      <c r="F234" s="56" t="s">
        <v>34</v>
      </c>
      <c r="G234" s="63">
        <f t="shared" si="39"/>
        <v>0</v>
      </c>
      <c r="H234" s="63">
        <v>0</v>
      </c>
      <c r="J234" s="57" t="s">
        <v>14</v>
      </c>
    </row>
    <row r="235" spans="1:10" x14ac:dyDescent="0.3">
      <c r="A235" s="8" t="s">
        <v>1226</v>
      </c>
      <c r="B235" s="8">
        <v>1503050</v>
      </c>
      <c r="C235" s="8">
        <v>3.5</v>
      </c>
      <c r="D235" s="9" t="s">
        <v>2800</v>
      </c>
      <c r="E235" s="59">
        <v>12</v>
      </c>
      <c r="F235" s="56" t="s">
        <v>34</v>
      </c>
      <c r="G235" s="63">
        <f t="shared" ref="G235" si="40">SUM(G233:G234)</f>
        <v>0</v>
      </c>
      <c r="H235" s="63">
        <f>SUM(H230:H234)</f>
        <v>0</v>
      </c>
      <c r="J235" s="57"/>
    </row>
    <row r="236" spans="1:10" x14ac:dyDescent="0.3">
      <c r="A236" s="8" t="s">
        <v>1227</v>
      </c>
      <c r="B236" s="8">
        <v>1503050</v>
      </c>
      <c r="C236" s="8">
        <v>3.6</v>
      </c>
      <c r="D236" s="9" t="s">
        <v>229</v>
      </c>
      <c r="E236" s="59">
        <v>12</v>
      </c>
      <c r="F236" s="59" t="s">
        <v>34</v>
      </c>
      <c r="G236" s="63">
        <v>0</v>
      </c>
      <c r="H236" s="63">
        <v>0</v>
      </c>
      <c r="J236" s="57"/>
    </row>
    <row r="237" spans="1:10" x14ac:dyDescent="0.3">
      <c r="A237" s="8" t="s">
        <v>1228</v>
      </c>
      <c r="B237" s="8">
        <v>1503050</v>
      </c>
      <c r="C237" s="8">
        <v>3.7</v>
      </c>
      <c r="D237" s="152" t="s">
        <v>231</v>
      </c>
      <c r="E237" s="59">
        <v>12</v>
      </c>
      <c r="F237" s="56" t="s">
        <v>34</v>
      </c>
      <c r="G237" s="63">
        <f t="shared" ref="G237:G238" si="41">H237/E237</f>
        <v>0</v>
      </c>
      <c r="H237" s="63">
        <v>0</v>
      </c>
      <c r="J237" s="57"/>
    </row>
    <row r="238" spans="1:10" x14ac:dyDescent="0.3">
      <c r="A238" s="13"/>
      <c r="B238" s="13"/>
      <c r="C238" s="13"/>
      <c r="D238" s="155" t="s">
        <v>1229</v>
      </c>
      <c r="E238" s="193">
        <v>12</v>
      </c>
      <c r="F238" s="189" t="s">
        <v>34</v>
      </c>
      <c r="G238" s="190">
        <f t="shared" si="41"/>
        <v>0</v>
      </c>
      <c r="H238" s="63">
        <v>0</v>
      </c>
      <c r="J238" s="57"/>
    </row>
    <row r="239" spans="1:10" x14ac:dyDescent="0.3">
      <c r="A239" s="13" t="s">
        <v>1230</v>
      </c>
      <c r="B239" s="13">
        <v>1503050</v>
      </c>
      <c r="C239" s="146"/>
      <c r="D239" s="179" t="s">
        <v>2801</v>
      </c>
      <c r="E239" s="59"/>
      <c r="F239" s="56"/>
      <c r="G239" s="63"/>
      <c r="H239" s="188"/>
      <c r="J239" s="57"/>
    </row>
    <row r="240" spans="1:10" x14ac:dyDescent="0.3">
      <c r="A240" s="8" t="s">
        <v>1231</v>
      </c>
      <c r="B240" s="8">
        <v>1503050</v>
      </c>
      <c r="C240" s="146">
        <v>3.1</v>
      </c>
      <c r="D240" s="167" t="s">
        <v>2802</v>
      </c>
      <c r="E240" s="194">
        <v>12</v>
      </c>
      <c r="F240" s="194" t="s">
        <v>34</v>
      </c>
      <c r="G240" s="196">
        <v>0</v>
      </c>
      <c r="H240" s="63">
        <v>0</v>
      </c>
      <c r="J240" s="57"/>
    </row>
    <row r="241" spans="1:10" x14ac:dyDescent="0.3">
      <c r="A241" s="8" t="s">
        <v>1232</v>
      </c>
      <c r="B241" s="8">
        <v>1503050</v>
      </c>
      <c r="C241" s="146">
        <v>3.1</v>
      </c>
      <c r="D241" s="168" t="s">
        <v>236</v>
      </c>
      <c r="E241" s="59">
        <v>12</v>
      </c>
      <c r="F241" s="56" t="s">
        <v>34</v>
      </c>
      <c r="G241" s="63">
        <f t="shared" ref="G241:G242" si="42">H241/E241</f>
        <v>0</v>
      </c>
      <c r="H241" s="63">
        <v>0</v>
      </c>
      <c r="J241" s="57"/>
    </row>
    <row r="242" spans="1:10" ht="12.75" customHeight="1" x14ac:dyDescent="0.3">
      <c r="A242" s="8" t="s">
        <v>1233</v>
      </c>
      <c r="B242" s="8">
        <v>1503050</v>
      </c>
      <c r="C242" s="8">
        <v>3.1</v>
      </c>
      <c r="D242" s="169" t="s">
        <v>238</v>
      </c>
      <c r="E242" s="59">
        <v>12</v>
      </c>
      <c r="F242" s="56" t="s">
        <v>34</v>
      </c>
      <c r="G242" s="63">
        <f t="shared" si="42"/>
        <v>0</v>
      </c>
      <c r="H242" s="63">
        <v>0</v>
      </c>
      <c r="J242" s="57"/>
    </row>
    <row r="243" spans="1:10" ht="12.75" customHeight="1" x14ac:dyDescent="0.3">
      <c r="A243" s="8" t="s">
        <v>1234</v>
      </c>
      <c r="B243" s="8">
        <v>1503050</v>
      </c>
      <c r="C243" s="8">
        <v>3.2</v>
      </c>
      <c r="D243" s="9" t="s">
        <v>240</v>
      </c>
      <c r="E243" s="59">
        <v>12</v>
      </c>
      <c r="F243" s="56" t="s">
        <v>34</v>
      </c>
      <c r="G243" s="63">
        <f t="shared" ref="G243" si="43">SUM(G241:G242)</f>
        <v>0</v>
      </c>
      <c r="H243" s="63">
        <f>SUM(H240:H242)</f>
        <v>0</v>
      </c>
      <c r="J243" s="57"/>
    </row>
    <row r="244" spans="1:10" x14ac:dyDescent="0.3">
      <c r="A244" s="8" t="s">
        <v>1235</v>
      </c>
      <c r="B244" s="8">
        <v>1503050</v>
      </c>
      <c r="C244" s="8">
        <v>3.3</v>
      </c>
      <c r="D244" s="9" t="s">
        <v>242</v>
      </c>
      <c r="E244" s="59">
        <v>12</v>
      </c>
      <c r="F244" s="59" t="s">
        <v>34</v>
      </c>
      <c r="G244" s="63">
        <v>0</v>
      </c>
      <c r="H244" s="63">
        <v>0</v>
      </c>
      <c r="J244" s="57"/>
    </row>
    <row r="245" spans="1:10" x14ac:dyDescent="0.3">
      <c r="A245" s="8" t="s">
        <v>1236</v>
      </c>
      <c r="B245" s="8">
        <v>1503050</v>
      </c>
      <c r="C245" s="8">
        <v>3.5</v>
      </c>
      <c r="D245" s="9" t="s">
        <v>2803</v>
      </c>
      <c r="E245" s="59">
        <v>12</v>
      </c>
      <c r="F245" s="56" t="s">
        <v>34</v>
      </c>
      <c r="G245" s="63">
        <f t="shared" ref="G245:G246" si="44">H245/E245</f>
        <v>0</v>
      </c>
      <c r="H245" s="63">
        <v>0</v>
      </c>
      <c r="J245" s="57"/>
    </row>
    <row r="246" spans="1:10" x14ac:dyDescent="0.3">
      <c r="A246" s="8" t="s">
        <v>1237</v>
      </c>
      <c r="B246" s="8">
        <v>1503050</v>
      </c>
      <c r="C246" s="8">
        <v>3.6</v>
      </c>
      <c r="D246" s="172" t="s">
        <v>245</v>
      </c>
      <c r="E246" s="59">
        <v>12</v>
      </c>
      <c r="F246" s="56" t="s">
        <v>34</v>
      </c>
      <c r="G246" s="63">
        <f t="shared" si="44"/>
        <v>0</v>
      </c>
      <c r="H246" s="63">
        <v>0</v>
      </c>
      <c r="J246" s="57"/>
    </row>
    <row r="247" spans="1:10" x14ac:dyDescent="0.3">
      <c r="A247" s="8" t="s">
        <v>1238</v>
      </c>
      <c r="B247" s="8">
        <v>1503050</v>
      </c>
      <c r="C247" s="146">
        <v>3.7</v>
      </c>
      <c r="D247" s="168" t="s">
        <v>247</v>
      </c>
      <c r="E247" s="59">
        <v>12</v>
      </c>
      <c r="F247" s="56" t="s">
        <v>34</v>
      </c>
      <c r="G247" s="63">
        <f t="shared" ref="G247" si="45">SUM(G245:G246)</f>
        <v>0</v>
      </c>
      <c r="H247" s="63">
        <f>SUM(H244:H246)</f>
        <v>0</v>
      </c>
      <c r="J247" s="57"/>
    </row>
    <row r="248" spans="1:10" ht="12.75" customHeight="1" x14ac:dyDescent="0.3">
      <c r="A248" s="13"/>
      <c r="B248" s="13"/>
      <c r="C248" s="147"/>
      <c r="D248" s="173" t="s">
        <v>1239</v>
      </c>
      <c r="E248" s="193">
        <v>12</v>
      </c>
      <c r="F248" s="193" t="s">
        <v>34</v>
      </c>
      <c r="G248" s="190">
        <v>0</v>
      </c>
      <c r="H248" s="63">
        <v>0</v>
      </c>
      <c r="J248" s="57"/>
    </row>
    <row r="249" spans="1:10" x14ac:dyDescent="0.3">
      <c r="A249" s="13" t="s">
        <v>1240</v>
      </c>
      <c r="B249" s="13">
        <v>1503050</v>
      </c>
      <c r="C249" s="147"/>
      <c r="D249" s="179" t="s">
        <v>2804</v>
      </c>
      <c r="E249" s="56"/>
      <c r="F249" s="56"/>
      <c r="G249" s="63"/>
      <c r="H249" s="63"/>
      <c r="J249" s="57"/>
    </row>
    <row r="250" spans="1:10" x14ac:dyDescent="0.3">
      <c r="A250" s="8" t="s">
        <v>1241</v>
      </c>
      <c r="B250" s="8">
        <v>1503050</v>
      </c>
      <c r="C250" s="146">
        <v>3.1</v>
      </c>
      <c r="D250" s="170" t="s">
        <v>2805</v>
      </c>
      <c r="E250" s="194">
        <v>12</v>
      </c>
      <c r="F250" s="195" t="s">
        <v>34</v>
      </c>
      <c r="G250" s="196">
        <f t="shared" ref="G250:G251" si="46">H250/E250</f>
        <v>0</v>
      </c>
      <c r="H250" s="63">
        <v>0</v>
      </c>
      <c r="J250" s="57"/>
    </row>
    <row r="251" spans="1:10" x14ac:dyDescent="0.3">
      <c r="A251" s="8" t="s">
        <v>1242</v>
      </c>
      <c r="B251" s="8">
        <v>1503050</v>
      </c>
      <c r="C251" s="146">
        <v>3.1</v>
      </c>
      <c r="D251" s="171" t="s">
        <v>252</v>
      </c>
      <c r="E251" s="59">
        <v>12</v>
      </c>
      <c r="F251" s="56" t="s">
        <v>34</v>
      </c>
      <c r="G251" s="63">
        <f t="shared" si="46"/>
        <v>0</v>
      </c>
      <c r="H251" s="63">
        <v>0</v>
      </c>
      <c r="J251" s="57"/>
    </row>
    <row r="252" spans="1:10" x14ac:dyDescent="0.3">
      <c r="A252" s="8" t="s">
        <v>1243</v>
      </c>
      <c r="B252" s="8">
        <v>1503050</v>
      </c>
      <c r="C252" s="8">
        <v>3.1</v>
      </c>
      <c r="D252" s="166" t="s">
        <v>254</v>
      </c>
      <c r="E252" s="59">
        <v>12</v>
      </c>
      <c r="F252" s="56" t="s">
        <v>34</v>
      </c>
      <c r="G252" s="63">
        <f t="shared" ref="G252:H252" si="47">SUM(G250:G251)</f>
        <v>0</v>
      </c>
      <c r="H252" s="63">
        <f t="shared" si="47"/>
        <v>0</v>
      </c>
      <c r="J252" s="57"/>
    </row>
    <row r="253" spans="1:10" x14ac:dyDescent="0.3">
      <c r="A253" s="8" t="s">
        <v>1244</v>
      </c>
      <c r="B253" s="8">
        <v>1503050</v>
      </c>
      <c r="C253" s="8">
        <v>3.2</v>
      </c>
      <c r="D253" s="60" t="s">
        <v>256</v>
      </c>
      <c r="E253" s="59">
        <v>12</v>
      </c>
      <c r="F253" s="59" t="s">
        <v>34</v>
      </c>
      <c r="G253" s="63">
        <v>0</v>
      </c>
      <c r="H253" s="63">
        <v>0</v>
      </c>
      <c r="J253" s="57"/>
    </row>
    <row r="254" spans="1:10" x14ac:dyDescent="0.3">
      <c r="A254" s="8" t="s">
        <v>1245</v>
      </c>
      <c r="B254" s="8">
        <v>1503050</v>
      </c>
      <c r="C254" s="8">
        <v>3.3</v>
      </c>
      <c r="D254" s="9" t="s">
        <v>258</v>
      </c>
      <c r="E254" s="59">
        <v>12</v>
      </c>
      <c r="F254" s="56" t="s">
        <v>34</v>
      </c>
      <c r="G254" s="63">
        <f t="shared" ref="G254:G255" si="48">H254/E254</f>
        <v>0</v>
      </c>
      <c r="H254" s="63">
        <v>0</v>
      </c>
      <c r="J254" s="57"/>
    </row>
    <row r="255" spans="1:10" x14ac:dyDescent="0.3">
      <c r="A255" s="8" t="s">
        <v>1246</v>
      </c>
      <c r="B255" s="8">
        <v>1503050</v>
      </c>
      <c r="C255" s="8">
        <v>3.5</v>
      </c>
      <c r="D255" s="9" t="s">
        <v>2806</v>
      </c>
      <c r="E255" s="59">
        <v>12</v>
      </c>
      <c r="F255" s="56" t="s">
        <v>34</v>
      </c>
      <c r="G255" s="63">
        <f t="shared" si="48"/>
        <v>0</v>
      </c>
      <c r="H255" s="63">
        <v>0</v>
      </c>
      <c r="J255" s="57"/>
    </row>
    <row r="256" spans="1:10" x14ac:dyDescent="0.3">
      <c r="A256" s="8" t="s">
        <v>1247</v>
      </c>
      <c r="B256" s="8">
        <v>1503050</v>
      </c>
      <c r="C256" s="8">
        <v>3.6</v>
      </c>
      <c r="D256" s="172" t="s">
        <v>261</v>
      </c>
      <c r="E256" s="59">
        <v>12</v>
      </c>
      <c r="F256" s="56" t="s">
        <v>34</v>
      </c>
      <c r="G256" s="63">
        <f t="shared" ref="G256" si="49">SUM(G254:G255)</f>
        <v>0</v>
      </c>
      <c r="H256" s="63">
        <f>SUM(H253:H255)</f>
        <v>0</v>
      </c>
      <c r="J256" s="57"/>
    </row>
    <row r="257" spans="1:10" ht="12.75" customHeight="1" x14ac:dyDescent="0.3">
      <c r="A257" s="8" t="s">
        <v>1248</v>
      </c>
      <c r="B257" s="8">
        <v>1503050</v>
      </c>
      <c r="C257" s="146">
        <v>3.7</v>
      </c>
      <c r="D257" s="168" t="s">
        <v>263</v>
      </c>
      <c r="E257" s="59">
        <v>12</v>
      </c>
      <c r="F257" s="56" t="s">
        <v>34</v>
      </c>
      <c r="G257" s="63">
        <v>0</v>
      </c>
      <c r="H257" s="63">
        <v>0</v>
      </c>
      <c r="J257" s="57"/>
    </row>
    <row r="258" spans="1:10" x14ac:dyDescent="0.3">
      <c r="A258" s="13"/>
      <c r="B258" s="13"/>
      <c r="C258" s="147"/>
      <c r="D258" s="173" t="s">
        <v>1249</v>
      </c>
      <c r="E258" s="193">
        <v>12</v>
      </c>
      <c r="F258" s="189" t="s">
        <v>34</v>
      </c>
      <c r="G258" s="190">
        <f>G256+G247+G243+G239+G235</f>
        <v>0</v>
      </c>
      <c r="H258" s="63">
        <f>H256+H247+H243+H239+H235</f>
        <v>0</v>
      </c>
      <c r="J258" s="57" t="s">
        <v>14</v>
      </c>
    </row>
    <row r="259" spans="1:10" x14ac:dyDescent="0.3">
      <c r="A259" s="13" t="s">
        <v>1250</v>
      </c>
      <c r="B259" s="13">
        <v>1503050</v>
      </c>
      <c r="C259" s="147"/>
      <c r="D259" s="179" t="s">
        <v>266</v>
      </c>
      <c r="E259" s="56"/>
      <c r="F259" s="56"/>
      <c r="G259" s="63"/>
      <c r="H259" s="63"/>
      <c r="J259" s="57" t="s">
        <v>14</v>
      </c>
    </row>
    <row r="260" spans="1:10" x14ac:dyDescent="0.3">
      <c r="A260" s="8" t="s">
        <v>1251</v>
      </c>
      <c r="B260" s="8">
        <v>1503050</v>
      </c>
      <c r="C260" s="146">
        <v>3.1</v>
      </c>
      <c r="D260" s="170" t="s">
        <v>2807</v>
      </c>
      <c r="E260" s="194">
        <v>12</v>
      </c>
      <c r="F260" s="194" t="s">
        <v>34</v>
      </c>
      <c r="G260" s="196">
        <v>0</v>
      </c>
      <c r="H260" s="63">
        <v>0</v>
      </c>
      <c r="J260" s="57" t="s">
        <v>14</v>
      </c>
    </row>
    <row r="261" spans="1:10" x14ac:dyDescent="0.3">
      <c r="A261" s="8" t="s">
        <v>1252</v>
      </c>
      <c r="B261" s="8">
        <v>1503050</v>
      </c>
      <c r="C261" s="146">
        <v>3.1</v>
      </c>
      <c r="D261" s="171" t="s">
        <v>269</v>
      </c>
      <c r="E261" s="59">
        <v>12</v>
      </c>
      <c r="F261" s="59" t="s">
        <v>34</v>
      </c>
      <c r="G261" s="63">
        <v>0</v>
      </c>
      <c r="H261" s="63">
        <v>0</v>
      </c>
      <c r="J261" s="57" t="s">
        <v>14</v>
      </c>
    </row>
    <row r="262" spans="1:10" x14ac:dyDescent="0.3">
      <c r="A262" s="8" t="s">
        <v>1253</v>
      </c>
      <c r="B262" s="8">
        <v>1503050</v>
      </c>
      <c r="C262" s="146">
        <v>3.1</v>
      </c>
      <c r="D262" s="171" t="s">
        <v>271</v>
      </c>
      <c r="E262" s="59">
        <v>12</v>
      </c>
      <c r="F262" s="59" t="s">
        <v>34</v>
      </c>
      <c r="G262" s="63">
        <v>0</v>
      </c>
      <c r="H262" s="63">
        <v>0</v>
      </c>
      <c r="J262" s="57"/>
    </row>
    <row r="263" spans="1:10" x14ac:dyDescent="0.3">
      <c r="A263" s="8" t="s">
        <v>1254</v>
      </c>
      <c r="B263" s="8">
        <v>1503050</v>
      </c>
      <c r="C263" s="8">
        <v>3.2</v>
      </c>
      <c r="D263" s="174" t="s">
        <v>273</v>
      </c>
      <c r="E263" s="59">
        <v>12</v>
      </c>
      <c r="F263" s="59" t="s">
        <v>34</v>
      </c>
      <c r="G263" s="63">
        <v>0</v>
      </c>
      <c r="H263" s="63">
        <v>0</v>
      </c>
      <c r="J263" s="57" t="s">
        <v>14</v>
      </c>
    </row>
    <row r="264" spans="1:10" x14ac:dyDescent="0.3">
      <c r="A264" s="8" t="s">
        <v>1255</v>
      </c>
      <c r="B264" s="8">
        <v>1503050</v>
      </c>
      <c r="C264" s="8">
        <v>3.3</v>
      </c>
      <c r="D264" s="9" t="s">
        <v>275</v>
      </c>
      <c r="E264" s="59">
        <v>12</v>
      </c>
      <c r="F264" s="59" t="s">
        <v>34</v>
      </c>
      <c r="G264" s="63">
        <v>0</v>
      </c>
      <c r="H264" s="63">
        <v>0</v>
      </c>
      <c r="J264" s="57" t="s">
        <v>14</v>
      </c>
    </row>
    <row r="265" spans="1:10" ht="12.75" customHeight="1" x14ac:dyDescent="0.3">
      <c r="A265" s="8" t="s">
        <v>1256</v>
      </c>
      <c r="B265" s="8">
        <v>1503050</v>
      </c>
      <c r="C265" s="8">
        <v>3.5</v>
      </c>
      <c r="D265" s="9" t="s">
        <v>2808</v>
      </c>
      <c r="E265" s="59">
        <v>12</v>
      </c>
      <c r="F265" s="59" t="s">
        <v>34</v>
      </c>
      <c r="G265" s="63">
        <v>0</v>
      </c>
      <c r="H265" s="63">
        <v>0</v>
      </c>
      <c r="J265" s="57"/>
    </row>
    <row r="266" spans="1:10" x14ac:dyDescent="0.3">
      <c r="A266" s="8" t="s">
        <v>1257</v>
      </c>
      <c r="B266" s="8">
        <v>1503050</v>
      </c>
      <c r="C266" s="8">
        <v>3.6</v>
      </c>
      <c r="D266" s="172" t="s">
        <v>278</v>
      </c>
      <c r="E266" s="59">
        <v>12</v>
      </c>
      <c r="F266" s="56" t="s">
        <v>34</v>
      </c>
      <c r="G266" s="63">
        <f t="shared" ref="G266:G267" si="50">H266/E266</f>
        <v>0</v>
      </c>
      <c r="H266" s="63">
        <v>0</v>
      </c>
      <c r="J266" s="57"/>
    </row>
    <row r="267" spans="1:10" ht="12.75" customHeight="1" x14ac:dyDescent="0.3">
      <c r="A267" s="8" t="s">
        <v>1258</v>
      </c>
      <c r="B267" s="8">
        <v>1503050</v>
      </c>
      <c r="C267" s="146">
        <v>3.7</v>
      </c>
      <c r="D267" s="168" t="s">
        <v>280</v>
      </c>
      <c r="E267" s="59">
        <v>12</v>
      </c>
      <c r="F267" s="56" t="s">
        <v>34</v>
      </c>
      <c r="G267" s="63">
        <f t="shared" si="50"/>
        <v>0</v>
      </c>
      <c r="H267" s="63">
        <v>0</v>
      </c>
      <c r="J267" s="57"/>
    </row>
    <row r="268" spans="1:10" x14ac:dyDescent="0.3">
      <c r="A268" s="13"/>
      <c r="B268" s="13"/>
      <c r="C268" s="147"/>
      <c r="D268" s="175" t="s">
        <v>1259</v>
      </c>
      <c r="E268" s="59">
        <v>12</v>
      </c>
      <c r="F268" s="56" t="s">
        <v>34</v>
      </c>
      <c r="G268" s="63">
        <f t="shared" ref="G268" si="51">SUM(G266:G267)</f>
        <v>0</v>
      </c>
      <c r="H268" s="63">
        <f>SUM(H260:H267)</f>
        <v>0</v>
      </c>
      <c r="J268" s="57"/>
    </row>
    <row r="269" spans="1:10" x14ac:dyDescent="0.3">
      <c r="A269" s="13" t="s">
        <v>1179</v>
      </c>
      <c r="B269" s="13">
        <v>1503050</v>
      </c>
      <c r="C269" s="147" t="s">
        <v>14</v>
      </c>
      <c r="D269" s="173" t="s">
        <v>282</v>
      </c>
      <c r="E269" s="193">
        <v>12</v>
      </c>
      <c r="F269" s="193" t="s">
        <v>34</v>
      </c>
      <c r="G269" s="190">
        <v>0</v>
      </c>
      <c r="H269" s="63">
        <v>0</v>
      </c>
      <c r="J269" s="57"/>
    </row>
    <row r="270" spans="1:10" x14ac:dyDescent="0.3">
      <c r="A270" s="13" t="s">
        <v>1260</v>
      </c>
      <c r="B270" s="13"/>
      <c r="C270" s="147" t="s">
        <v>14</v>
      </c>
      <c r="D270" s="185" t="s">
        <v>284</v>
      </c>
      <c r="E270" s="56"/>
      <c r="F270" s="56"/>
      <c r="G270" s="63"/>
      <c r="H270" s="63"/>
      <c r="J270" s="57"/>
    </row>
    <row r="271" spans="1:10" x14ac:dyDescent="0.3">
      <c r="A271" s="13" t="s">
        <v>1261</v>
      </c>
      <c r="B271" s="13">
        <v>1503050</v>
      </c>
      <c r="C271" s="147"/>
      <c r="D271" s="163" t="s">
        <v>2809</v>
      </c>
      <c r="E271" s="194">
        <v>12</v>
      </c>
      <c r="F271" s="195" t="s">
        <v>34</v>
      </c>
      <c r="G271" s="196">
        <f t="shared" ref="G271:G272" si="52">H271/E271</f>
        <v>0</v>
      </c>
      <c r="H271" s="63">
        <v>0</v>
      </c>
      <c r="J271" s="57"/>
    </row>
    <row r="272" spans="1:10" x14ac:dyDescent="0.3">
      <c r="A272" s="8" t="s">
        <v>1262</v>
      </c>
      <c r="B272" s="8">
        <v>1503050</v>
      </c>
      <c r="C272" s="146">
        <v>3.1</v>
      </c>
      <c r="D272" s="170" t="s">
        <v>2810</v>
      </c>
      <c r="E272" s="59">
        <v>12</v>
      </c>
      <c r="F272" s="56" t="s">
        <v>34</v>
      </c>
      <c r="G272" s="63">
        <f t="shared" si="52"/>
        <v>0</v>
      </c>
      <c r="H272" s="63">
        <v>0</v>
      </c>
      <c r="J272" s="57"/>
    </row>
    <row r="273" spans="1:10" x14ac:dyDescent="0.3">
      <c r="A273" s="8" t="s">
        <v>1263</v>
      </c>
      <c r="B273" s="8">
        <v>1503050</v>
      </c>
      <c r="C273" s="146">
        <v>3.1</v>
      </c>
      <c r="D273" s="171" t="s">
        <v>2811</v>
      </c>
      <c r="E273" s="59">
        <v>12</v>
      </c>
      <c r="F273" s="56" t="s">
        <v>34</v>
      </c>
      <c r="G273" s="63">
        <f t="shared" ref="G273:H273" si="53">SUM(G271:G272)</f>
        <v>0</v>
      </c>
      <c r="H273" s="63">
        <f t="shared" si="53"/>
        <v>0</v>
      </c>
      <c r="J273" s="57"/>
    </row>
    <row r="274" spans="1:10" ht="12.75" customHeight="1" x14ac:dyDescent="0.3">
      <c r="A274" s="8" t="s">
        <v>1264</v>
      </c>
      <c r="B274" s="8">
        <v>1503050</v>
      </c>
      <c r="C274" s="8">
        <v>3.1</v>
      </c>
      <c r="D274" s="166" t="s">
        <v>289</v>
      </c>
      <c r="E274" s="59">
        <v>12</v>
      </c>
      <c r="F274" s="59" t="s">
        <v>34</v>
      </c>
      <c r="G274" s="63">
        <v>0</v>
      </c>
      <c r="H274" s="63">
        <v>0</v>
      </c>
      <c r="J274" s="57"/>
    </row>
    <row r="275" spans="1:10" x14ac:dyDescent="0.3">
      <c r="A275" s="8" t="s">
        <v>1265</v>
      </c>
      <c r="B275" s="8">
        <v>1503050</v>
      </c>
      <c r="C275" s="8">
        <v>3.2</v>
      </c>
      <c r="D275" s="60" t="s">
        <v>291</v>
      </c>
      <c r="E275" s="59">
        <v>12</v>
      </c>
      <c r="F275" s="56" t="s">
        <v>34</v>
      </c>
      <c r="G275" s="63">
        <f t="shared" ref="G275:G276" si="54">H275/E275</f>
        <v>0</v>
      </c>
      <c r="H275" s="63">
        <v>0</v>
      </c>
      <c r="J275" s="57"/>
    </row>
    <row r="276" spans="1:10" ht="12.75" customHeight="1" x14ac:dyDescent="0.3">
      <c r="A276" s="8" t="s">
        <v>1266</v>
      </c>
      <c r="B276" s="8">
        <v>1503050</v>
      </c>
      <c r="C276" s="8">
        <v>3.3</v>
      </c>
      <c r="D276" s="9" t="s">
        <v>2812</v>
      </c>
      <c r="E276" s="59">
        <v>12</v>
      </c>
      <c r="F276" s="56" t="s">
        <v>34</v>
      </c>
      <c r="G276" s="63">
        <f t="shared" si="54"/>
        <v>0</v>
      </c>
      <c r="H276" s="63">
        <v>0</v>
      </c>
      <c r="J276" s="57"/>
    </row>
    <row r="277" spans="1:10" x14ac:dyDescent="0.3">
      <c r="A277" s="8" t="s">
        <v>1267</v>
      </c>
      <c r="B277" s="8">
        <v>1503050</v>
      </c>
      <c r="C277" s="8">
        <v>3.5</v>
      </c>
      <c r="D277" s="172" t="s">
        <v>2813</v>
      </c>
      <c r="E277" s="59">
        <v>12</v>
      </c>
      <c r="F277" s="56" t="s">
        <v>34</v>
      </c>
      <c r="G277" s="63">
        <f t="shared" ref="G277" si="55">SUM(G275:G276)</f>
        <v>0</v>
      </c>
      <c r="H277" s="63">
        <f>SUM(H274:H276)</f>
        <v>0</v>
      </c>
      <c r="J277" s="57"/>
    </row>
    <row r="278" spans="1:10" x14ac:dyDescent="0.3">
      <c r="A278" s="8" t="s">
        <v>1268</v>
      </c>
      <c r="B278" s="8">
        <v>1503050</v>
      </c>
      <c r="C278" s="146">
        <v>3.6</v>
      </c>
      <c r="D278" s="168" t="s">
        <v>295</v>
      </c>
      <c r="E278" s="59">
        <v>12</v>
      </c>
      <c r="F278" s="59" t="s">
        <v>34</v>
      </c>
      <c r="G278" s="63">
        <v>0</v>
      </c>
      <c r="H278" s="63">
        <v>0</v>
      </c>
      <c r="J278" s="57"/>
    </row>
    <row r="279" spans="1:10" x14ac:dyDescent="0.3">
      <c r="A279" s="8" t="s">
        <v>1269</v>
      </c>
      <c r="B279" s="8">
        <v>1503050</v>
      </c>
      <c r="C279" s="146">
        <v>3.7</v>
      </c>
      <c r="D279" s="168" t="s">
        <v>297</v>
      </c>
      <c r="E279" s="59">
        <v>12</v>
      </c>
      <c r="F279" s="56" t="s">
        <v>34</v>
      </c>
      <c r="G279" s="63">
        <f t="shared" ref="G279:G280" si="56">H279/E279</f>
        <v>0</v>
      </c>
      <c r="H279" s="63">
        <v>0</v>
      </c>
      <c r="J279" s="57"/>
    </row>
    <row r="280" spans="1:10" x14ac:dyDescent="0.3">
      <c r="A280" s="13"/>
      <c r="B280" s="13"/>
      <c r="C280" s="147"/>
      <c r="D280" s="173" t="s">
        <v>3115</v>
      </c>
      <c r="E280" s="193">
        <v>12</v>
      </c>
      <c r="F280" s="189" t="s">
        <v>34</v>
      </c>
      <c r="G280" s="190">
        <f t="shared" si="56"/>
        <v>0</v>
      </c>
      <c r="H280" s="63">
        <v>0</v>
      </c>
      <c r="J280" s="57"/>
    </row>
    <row r="281" spans="1:10" x14ac:dyDescent="0.3">
      <c r="A281" s="13" t="s">
        <v>1270</v>
      </c>
      <c r="B281" s="13">
        <v>1503050</v>
      </c>
      <c r="C281" s="146"/>
      <c r="D281" s="179" t="s">
        <v>2815</v>
      </c>
      <c r="E281" s="59"/>
      <c r="F281" s="56"/>
      <c r="G281" s="63"/>
      <c r="H281" s="63"/>
      <c r="J281" s="57"/>
    </row>
    <row r="282" spans="1:10" ht="12.75" customHeight="1" x14ac:dyDescent="0.3">
      <c r="A282" s="8" t="s">
        <v>1271</v>
      </c>
      <c r="B282" s="8">
        <v>1503050</v>
      </c>
      <c r="C282" s="8">
        <v>3.1</v>
      </c>
      <c r="D282" s="53" t="s">
        <v>2816</v>
      </c>
      <c r="E282" s="194">
        <v>12</v>
      </c>
      <c r="F282" s="195" t="s">
        <v>34</v>
      </c>
      <c r="G282" s="196">
        <f>G281+G277+G273+G268</f>
        <v>0</v>
      </c>
      <c r="H282" s="63">
        <f>H281+H277+H273+H268</f>
        <v>0</v>
      </c>
      <c r="J282" s="57" t="s">
        <v>14</v>
      </c>
    </row>
    <row r="283" spans="1:10" ht="12.75" customHeight="1" x14ac:dyDescent="0.3">
      <c r="A283" s="8" t="s">
        <v>1272</v>
      </c>
      <c r="B283" s="8">
        <v>1503050</v>
      </c>
      <c r="C283" s="8">
        <v>3.1</v>
      </c>
      <c r="D283" s="152" t="s">
        <v>301</v>
      </c>
      <c r="E283" s="8">
        <v>12</v>
      </c>
      <c r="F283" s="8" t="s">
        <v>34</v>
      </c>
      <c r="G283" s="20">
        <f>G282+G258</f>
        <v>0</v>
      </c>
      <c r="H283" s="20">
        <f>H282+H258</f>
        <v>0</v>
      </c>
    </row>
    <row r="284" spans="1:10" ht="12.75" customHeight="1" x14ac:dyDescent="0.3">
      <c r="A284" s="8" t="s">
        <v>1273</v>
      </c>
      <c r="B284" s="8">
        <v>1503050</v>
      </c>
      <c r="C284" s="8">
        <v>3.1</v>
      </c>
      <c r="D284" s="9" t="s">
        <v>303</v>
      </c>
      <c r="E284" s="8">
        <v>12</v>
      </c>
      <c r="F284" s="8" t="s">
        <v>34</v>
      </c>
      <c r="G284" s="20">
        <f>G283+G228</f>
        <v>0</v>
      </c>
      <c r="H284" s="20">
        <f>H283+H228</f>
        <v>0</v>
      </c>
    </row>
    <row r="285" spans="1:10" x14ac:dyDescent="0.3">
      <c r="A285" s="8" t="s">
        <v>1274</v>
      </c>
      <c r="B285" s="8">
        <v>1503050</v>
      </c>
      <c r="C285" s="8">
        <v>3.2</v>
      </c>
      <c r="D285" s="152" t="s">
        <v>305</v>
      </c>
      <c r="E285" s="8">
        <v>12</v>
      </c>
      <c r="F285" s="8" t="s">
        <v>34</v>
      </c>
      <c r="G285" s="20">
        <v>0</v>
      </c>
      <c r="H285" s="20">
        <v>0</v>
      </c>
    </row>
    <row r="286" spans="1:10" x14ac:dyDescent="0.3">
      <c r="A286" s="8" t="s">
        <v>1275</v>
      </c>
      <c r="B286" s="8">
        <v>1503050</v>
      </c>
      <c r="C286" s="8">
        <v>3.3</v>
      </c>
      <c r="D286" s="152" t="s">
        <v>2817</v>
      </c>
      <c r="E286" s="8">
        <v>12</v>
      </c>
      <c r="F286" s="8" t="s">
        <v>34</v>
      </c>
      <c r="G286" s="20">
        <v>0</v>
      </c>
      <c r="H286" s="20">
        <v>0</v>
      </c>
    </row>
    <row r="287" spans="1:10" x14ac:dyDescent="0.3">
      <c r="A287" s="8" t="s">
        <v>1276</v>
      </c>
      <c r="B287" s="8">
        <v>1503050</v>
      </c>
      <c r="C287" s="8">
        <v>3.5</v>
      </c>
      <c r="D287" s="152" t="s">
        <v>2818</v>
      </c>
      <c r="E287" s="8">
        <v>12</v>
      </c>
      <c r="F287" s="8" t="s">
        <v>34</v>
      </c>
      <c r="G287" s="20">
        <v>0</v>
      </c>
      <c r="H287" s="20">
        <v>0</v>
      </c>
    </row>
    <row r="288" spans="1:10" x14ac:dyDescent="0.3">
      <c r="A288" s="8" t="s">
        <v>1277</v>
      </c>
      <c r="B288" s="8">
        <v>1503050</v>
      </c>
      <c r="C288" s="8">
        <v>3.6</v>
      </c>
      <c r="D288" s="152" t="s">
        <v>309</v>
      </c>
      <c r="E288" s="8">
        <v>12</v>
      </c>
      <c r="F288" s="8" t="s">
        <v>34</v>
      </c>
      <c r="G288" s="20">
        <v>0</v>
      </c>
      <c r="H288" s="20">
        <v>0</v>
      </c>
    </row>
    <row r="289" spans="1:8" x14ac:dyDescent="0.3">
      <c r="A289" s="8" t="s">
        <v>1278</v>
      </c>
      <c r="B289" s="8">
        <v>1503050</v>
      </c>
      <c r="C289" s="8">
        <v>3.7</v>
      </c>
      <c r="D289" s="152" t="s">
        <v>2819</v>
      </c>
      <c r="E289" s="8">
        <v>12</v>
      </c>
      <c r="F289" s="8" t="s">
        <v>34</v>
      </c>
      <c r="G289" s="20">
        <v>0</v>
      </c>
      <c r="H289" s="20">
        <v>0</v>
      </c>
    </row>
    <row r="290" spans="1:8" x14ac:dyDescent="0.3">
      <c r="A290" s="13"/>
      <c r="B290" s="13"/>
      <c r="C290" s="13"/>
      <c r="D290" s="155" t="s">
        <v>1279</v>
      </c>
      <c r="E290" s="157">
        <v>12</v>
      </c>
      <c r="F290" s="157" t="s">
        <v>34</v>
      </c>
      <c r="G290" s="201">
        <v>0</v>
      </c>
      <c r="H290" s="20">
        <v>0</v>
      </c>
    </row>
    <row r="291" spans="1:8" x14ac:dyDescent="0.3">
      <c r="A291" s="13" t="s">
        <v>1280</v>
      </c>
      <c r="B291" s="13">
        <v>1503050</v>
      </c>
      <c r="C291" s="147"/>
      <c r="D291" s="177" t="s">
        <v>2820</v>
      </c>
      <c r="E291" s="8"/>
      <c r="F291" s="8"/>
      <c r="G291" s="20"/>
      <c r="H291" s="20"/>
    </row>
    <row r="292" spans="1:8" x14ac:dyDescent="0.3">
      <c r="A292" s="8" t="s">
        <v>1281</v>
      </c>
      <c r="B292" s="8">
        <v>1503050</v>
      </c>
      <c r="C292" s="146">
        <v>3.1</v>
      </c>
      <c r="D292" s="165" t="s">
        <v>2821</v>
      </c>
      <c r="E292" s="149">
        <v>12</v>
      </c>
      <c r="F292" s="149" t="s">
        <v>34</v>
      </c>
      <c r="G292" s="191">
        <v>0</v>
      </c>
      <c r="H292" s="20">
        <v>0</v>
      </c>
    </row>
    <row r="293" spans="1:8" x14ac:dyDescent="0.3">
      <c r="A293" s="8" t="s">
        <v>1282</v>
      </c>
      <c r="B293" s="8">
        <v>1503050</v>
      </c>
      <c r="C293" s="146">
        <v>3.1</v>
      </c>
      <c r="D293" s="165" t="s">
        <v>315</v>
      </c>
      <c r="E293" s="8">
        <v>12</v>
      </c>
      <c r="F293" s="8" t="s">
        <v>34</v>
      </c>
      <c r="G293" s="20">
        <v>0</v>
      </c>
      <c r="H293" s="20">
        <v>0</v>
      </c>
    </row>
    <row r="294" spans="1:8" x14ac:dyDescent="0.3">
      <c r="A294" s="8" t="s">
        <v>1283</v>
      </c>
      <c r="B294" s="8">
        <v>1503050</v>
      </c>
      <c r="C294" s="8">
        <v>3.1</v>
      </c>
      <c r="D294" s="150" t="s">
        <v>317</v>
      </c>
      <c r="E294" s="8">
        <v>12</v>
      </c>
      <c r="F294" s="8" t="s">
        <v>34</v>
      </c>
      <c r="G294" s="20">
        <v>0</v>
      </c>
      <c r="H294" s="20">
        <v>0</v>
      </c>
    </row>
    <row r="295" spans="1:8" x14ac:dyDescent="0.3">
      <c r="A295" s="8" t="s">
        <v>1284</v>
      </c>
      <c r="B295" s="8">
        <v>1503050</v>
      </c>
      <c r="C295" s="8">
        <v>3.2</v>
      </c>
      <c r="D295" s="178" t="s">
        <v>319</v>
      </c>
      <c r="E295" s="8">
        <v>12</v>
      </c>
      <c r="F295" s="8" t="s">
        <v>34</v>
      </c>
      <c r="G295" s="20">
        <v>0</v>
      </c>
      <c r="H295" s="20">
        <v>0</v>
      </c>
    </row>
    <row r="296" spans="1:8" x14ac:dyDescent="0.3">
      <c r="A296" s="8" t="s">
        <v>1285</v>
      </c>
      <c r="B296" s="8">
        <v>1503050</v>
      </c>
      <c r="C296" s="8">
        <v>3.3</v>
      </c>
      <c r="D296" s="152" t="s">
        <v>321</v>
      </c>
      <c r="E296" s="8">
        <v>12</v>
      </c>
      <c r="F296" s="8" t="s">
        <v>34</v>
      </c>
      <c r="G296" s="20">
        <v>0</v>
      </c>
      <c r="H296" s="20">
        <v>0</v>
      </c>
    </row>
    <row r="297" spans="1:8" x14ac:dyDescent="0.3">
      <c r="A297" s="8" t="s">
        <v>1286</v>
      </c>
      <c r="B297" s="8">
        <v>1503050</v>
      </c>
      <c r="C297" s="8">
        <v>3.5</v>
      </c>
      <c r="D297" s="152" t="s">
        <v>2822</v>
      </c>
      <c r="E297" s="8">
        <v>12</v>
      </c>
      <c r="F297" s="8" t="s">
        <v>34</v>
      </c>
      <c r="G297" s="20">
        <v>0</v>
      </c>
      <c r="H297" s="20">
        <v>0</v>
      </c>
    </row>
    <row r="298" spans="1:8" x14ac:dyDescent="0.3">
      <c r="A298" s="8" t="s">
        <v>1287</v>
      </c>
      <c r="B298" s="8">
        <v>1503050</v>
      </c>
      <c r="C298" s="8">
        <v>3.6</v>
      </c>
      <c r="D298" s="152" t="s">
        <v>324</v>
      </c>
      <c r="E298" s="8">
        <v>12</v>
      </c>
      <c r="F298" s="8" t="s">
        <v>34</v>
      </c>
      <c r="G298" s="20">
        <v>0</v>
      </c>
      <c r="H298" s="20">
        <v>0</v>
      </c>
    </row>
    <row r="299" spans="1:8" x14ac:dyDescent="0.3">
      <c r="A299" s="8" t="s">
        <v>1288</v>
      </c>
      <c r="B299" s="8">
        <v>1503050</v>
      </c>
      <c r="C299" s="8">
        <v>3.7</v>
      </c>
      <c r="D299" s="152" t="s">
        <v>2823</v>
      </c>
      <c r="E299" s="8">
        <v>12</v>
      </c>
      <c r="F299" s="8" t="s">
        <v>34</v>
      </c>
      <c r="G299" s="20">
        <v>0</v>
      </c>
      <c r="H299" s="20">
        <v>0</v>
      </c>
    </row>
    <row r="300" spans="1:8" x14ac:dyDescent="0.3">
      <c r="A300" s="13"/>
      <c r="B300" s="13"/>
      <c r="C300" s="13"/>
      <c r="D300" s="155" t="s">
        <v>1289</v>
      </c>
      <c r="E300" s="157">
        <v>12</v>
      </c>
      <c r="F300" s="157" t="s">
        <v>34</v>
      </c>
      <c r="G300" s="201">
        <v>0</v>
      </c>
      <c r="H300" s="20">
        <v>0</v>
      </c>
    </row>
    <row r="301" spans="1:8" x14ac:dyDescent="0.3">
      <c r="A301" s="13" t="s">
        <v>1290</v>
      </c>
      <c r="B301" s="13">
        <v>1503050</v>
      </c>
      <c r="C301" s="146"/>
      <c r="D301" s="179" t="s">
        <v>2824</v>
      </c>
      <c r="E301" s="8"/>
      <c r="F301" s="8"/>
      <c r="G301" s="20"/>
      <c r="H301" s="20"/>
    </row>
    <row r="302" spans="1:8" x14ac:dyDescent="0.3">
      <c r="A302" s="8" t="s">
        <v>1291</v>
      </c>
      <c r="B302" s="8">
        <v>1503050</v>
      </c>
      <c r="C302" s="146">
        <v>3.1</v>
      </c>
      <c r="D302" s="180" t="s">
        <v>2825</v>
      </c>
      <c r="E302" s="149">
        <v>12</v>
      </c>
      <c r="F302" s="149" t="s">
        <v>34</v>
      </c>
      <c r="G302" s="191">
        <v>0</v>
      </c>
      <c r="H302" s="20">
        <v>0</v>
      </c>
    </row>
    <row r="303" spans="1:8" x14ac:dyDescent="0.3">
      <c r="A303" s="8" t="s">
        <v>1292</v>
      </c>
      <c r="B303" s="8">
        <v>1503050</v>
      </c>
      <c r="C303" s="146">
        <v>3.1</v>
      </c>
      <c r="D303" s="181" t="s">
        <v>330</v>
      </c>
      <c r="E303" s="8">
        <v>12</v>
      </c>
      <c r="F303" s="8" t="s">
        <v>34</v>
      </c>
      <c r="G303" s="20">
        <v>0</v>
      </c>
      <c r="H303" s="20">
        <v>0</v>
      </c>
    </row>
    <row r="304" spans="1:8" x14ac:dyDescent="0.3">
      <c r="A304" s="8" t="s">
        <v>1293</v>
      </c>
      <c r="B304" s="8">
        <v>1503050</v>
      </c>
      <c r="C304" s="8">
        <v>3.1</v>
      </c>
      <c r="D304" s="53" t="s">
        <v>332</v>
      </c>
      <c r="E304" s="8">
        <v>12</v>
      </c>
      <c r="F304" s="8" t="s">
        <v>34</v>
      </c>
      <c r="G304" s="20">
        <v>0</v>
      </c>
      <c r="H304" s="20">
        <v>0</v>
      </c>
    </row>
    <row r="305" spans="1:8" x14ac:dyDescent="0.3">
      <c r="A305" s="8" t="s">
        <v>1294</v>
      </c>
      <c r="B305" s="8">
        <v>1503050</v>
      </c>
      <c r="C305" s="8">
        <v>3.2</v>
      </c>
      <c r="D305" s="152" t="s">
        <v>334</v>
      </c>
      <c r="E305" s="8">
        <v>12</v>
      </c>
      <c r="F305" s="8" t="s">
        <v>34</v>
      </c>
      <c r="G305" s="20">
        <v>0</v>
      </c>
      <c r="H305" s="20">
        <v>0</v>
      </c>
    </row>
    <row r="306" spans="1:8" x14ac:dyDescent="0.3">
      <c r="A306" s="8" t="s">
        <v>1295</v>
      </c>
      <c r="B306" s="8">
        <v>1503050</v>
      </c>
      <c r="C306" s="8">
        <v>3.3</v>
      </c>
      <c r="D306" s="152" t="s">
        <v>336</v>
      </c>
      <c r="E306" s="8">
        <v>12</v>
      </c>
      <c r="F306" s="8" t="s">
        <v>34</v>
      </c>
      <c r="G306" s="20">
        <v>0</v>
      </c>
      <c r="H306" s="20">
        <v>0</v>
      </c>
    </row>
    <row r="307" spans="1:8" x14ac:dyDescent="0.3">
      <c r="A307" s="8" t="s">
        <v>1296</v>
      </c>
      <c r="B307" s="8">
        <v>1503050</v>
      </c>
      <c r="C307" s="8">
        <v>3.5</v>
      </c>
      <c r="D307" s="152" t="s">
        <v>2826</v>
      </c>
      <c r="E307" s="8">
        <v>12</v>
      </c>
      <c r="F307" s="8" t="s">
        <v>34</v>
      </c>
      <c r="G307" s="20">
        <v>0</v>
      </c>
      <c r="H307" s="20">
        <v>0</v>
      </c>
    </row>
    <row r="308" spans="1:8" x14ac:dyDescent="0.3">
      <c r="A308" s="8" t="s">
        <v>1297</v>
      </c>
      <c r="B308" s="8">
        <v>1503050</v>
      </c>
      <c r="C308" s="8">
        <v>3.6</v>
      </c>
      <c r="D308" s="152" t="s">
        <v>339</v>
      </c>
      <c r="E308" s="8">
        <v>12</v>
      </c>
      <c r="F308" s="8" t="s">
        <v>34</v>
      </c>
      <c r="G308" s="20">
        <v>0</v>
      </c>
      <c r="H308" s="20">
        <v>0</v>
      </c>
    </row>
    <row r="309" spans="1:8" x14ac:dyDescent="0.3">
      <c r="A309" s="8" t="s">
        <v>1298</v>
      </c>
      <c r="B309" s="8">
        <v>1503050</v>
      </c>
      <c r="C309" s="8">
        <v>3.7</v>
      </c>
      <c r="D309" s="152" t="s">
        <v>341</v>
      </c>
      <c r="E309" s="8">
        <v>12</v>
      </c>
      <c r="F309" s="8" t="s">
        <v>34</v>
      </c>
      <c r="G309" s="20">
        <v>0</v>
      </c>
      <c r="H309" s="20">
        <v>0</v>
      </c>
    </row>
    <row r="310" spans="1:8" x14ac:dyDescent="0.3">
      <c r="A310" s="13"/>
      <c r="B310" s="13"/>
      <c r="C310" s="13"/>
      <c r="D310" s="153" t="s">
        <v>1299</v>
      </c>
      <c r="E310" s="8">
        <v>12</v>
      </c>
      <c r="F310" s="8" t="s">
        <v>34</v>
      </c>
      <c r="G310" s="20">
        <v>0</v>
      </c>
      <c r="H310" s="20">
        <v>0</v>
      </c>
    </row>
    <row r="311" spans="1:8" x14ac:dyDescent="0.3">
      <c r="A311" s="13" t="s">
        <v>1260</v>
      </c>
      <c r="B311" s="13">
        <v>1503050</v>
      </c>
      <c r="C311" s="13" t="s">
        <v>14</v>
      </c>
      <c r="D311" s="153" t="s">
        <v>343</v>
      </c>
      <c r="E311" s="8">
        <v>12</v>
      </c>
      <c r="F311" s="8" t="s">
        <v>34</v>
      </c>
      <c r="G311" s="20">
        <v>0</v>
      </c>
      <c r="H311" s="20">
        <v>0</v>
      </c>
    </row>
    <row r="312" spans="1:8" x14ac:dyDescent="0.3">
      <c r="A312" s="214" t="s">
        <v>2827</v>
      </c>
      <c r="B312" s="214"/>
      <c r="C312" s="214"/>
      <c r="D312" s="215"/>
      <c r="E312" s="157">
        <v>12</v>
      </c>
      <c r="F312" s="157" t="s">
        <v>34</v>
      </c>
      <c r="G312" s="201">
        <v>0</v>
      </c>
      <c r="H312" s="20">
        <v>0</v>
      </c>
    </row>
    <row r="313" spans="1:8" x14ac:dyDescent="0.3">
      <c r="A313" s="212" t="s">
        <v>2828</v>
      </c>
      <c r="B313" s="212"/>
      <c r="C313" s="212"/>
      <c r="D313" s="213"/>
      <c r="E313" s="8"/>
      <c r="F313" s="8"/>
      <c r="G313" s="20"/>
      <c r="H313" s="205"/>
    </row>
    <row r="314" spans="1:8" x14ac:dyDescent="0.3">
      <c r="A314" s="160" t="s">
        <v>1104</v>
      </c>
      <c r="B314" s="160"/>
      <c r="C314" s="161" t="s">
        <v>14</v>
      </c>
      <c r="D314" s="182" t="s">
        <v>2829</v>
      </c>
      <c r="E314" s="8"/>
      <c r="F314" s="8"/>
      <c r="G314" s="20"/>
      <c r="H314" s="20"/>
    </row>
    <row r="315" spans="1:8" x14ac:dyDescent="0.3">
      <c r="A315" s="13" t="s">
        <v>3116</v>
      </c>
      <c r="B315" s="13">
        <v>1503060</v>
      </c>
      <c r="C315" s="147"/>
      <c r="D315" s="177" t="s">
        <v>2830</v>
      </c>
      <c r="E315" s="8"/>
      <c r="F315" s="8"/>
      <c r="G315" s="20"/>
      <c r="H315" s="20"/>
    </row>
    <row r="316" spans="1:8" x14ac:dyDescent="0.3">
      <c r="A316" s="8" t="s">
        <v>3117</v>
      </c>
      <c r="B316" s="8">
        <v>1503060</v>
      </c>
      <c r="C316" s="146">
        <v>3.1</v>
      </c>
      <c r="D316" s="181" t="s">
        <v>346</v>
      </c>
      <c r="E316" s="149">
        <v>12</v>
      </c>
      <c r="F316" s="149" t="s">
        <v>34</v>
      </c>
      <c r="G316" s="191">
        <v>0</v>
      </c>
      <c r="H316" s="20">
        <v>0</v>
      </c>
    </row>
    <row r="317" spans="1:8" x14ac:dyDescent="0.3">
      <c r="A317" s="8" t="s">
        <v>3118</v>
      </c>
      <c r="B317" s="8">
        <v>1503060</v>
      </c>
      <c r="C317" s="146">
        <v>3.2</v>
      </c>
      <c r="D317" s="181" t="s">
        <v>348</v>
      </c>
      <c r="E317" s="8">
        <v>12</v>
      </c>
      <c r="F317" s="8" t="s">
        <v>34</v>
      </c>
      <c r="G317" s="20">
        <v>0</v>
      </c>
      <c r="H317" s="20">
        <v>0</v>
      </c>
    </row>
    <row r="318" spans="1:8" x14ac:dyDescent="0.3">
      <c r="A318" s="13"/>
      <c r="B318" s="13"/>
      <c r="C318" s="147"/>
      <c r="D318" s="183" t="s">
        <v>3119</v>
      </c>
      <c r="E318" s="8"/>
      <c r="F318" s="8"/>
      <c r="G318" s="20"/>
      <c r="H318" s="20"/>
    </row>
    <row r="319" spans="1:8" x14ac:dyDescent="0.3">
      <c r="A319" s="13" t="s">
        <v>3120</v>
      </c>
      <c r="B319" s="13">
        <v>1503060</v>
      </c>
      <c r="C319" s="146"/>
      <c r="D319" s="177" t="s">
        <v>2831</v>
      </c>
      <c r="E319" s="8"/>
      <c r="F319" s="8"/>
      <c r="G319" s="20"/>
      <c r="H319" s="20"/>
    </row>
    <row r="320" spans="1:8" x14ac:dyDescent="0.3">
      <c r="A320" s="8" t="s">
        <v>3121</v>
      </c>
      <c r="B320" s="8">
        <v>1503060</v>
      </c>
      <c r="C320" s="146">
        <v>3.1</v>
      </c>
      <c r="D320" s="181" t="s">
        <v>352</v>
      </c>
      <c r="E320" s="8">
        <v>12</v>
      </c>
      <c r="F320" s="8" t="s">
        <v>34</v>
      </c>
      <c r="G320" s="20">
        <v>0</v>
      </c>
      <c r="H320" s="20">
        <v>0</v>
      </c>
    </row>
    <row r="321" spans="1:8" x14ac:dyDescent="0.3">
      <c r="A321" s="8" t="s">
        <v>3122</v>
      </c>
      <c r="B321" s="8">
        <v>1503060</v>
      </c>
      <c r="C321" s="146">
        <v>3.2</v>
      </c>
      <c r="D321" s="181" t="s">
        <v>354</v>
      </c>
      <c r="E321" s="8">
        <v>12</v>
      </c>
      <c r="F321" s="8" t="s">
        <v>34</v>
      </c>
      <c r="G321" s="20">
        <v>0</v>
      </c>
      <c r="H321" s="20">
        <v>0</v>
      </c>
    </row>
    <row r="322" spans="1:8" x14ac:dyDescent="0.3">
      <c r="A322" s="13"/>
      <c r="B322" s="13"/>
      <c r="C322" s="147"/>
      <c r="D322" s="183" t="s">
        <v>3123</v>
      </c>
      <c r="E322" s="8"/>
      <c r="F322" s="8"/>
      <c r="G322" s="20"/>
      <c r="H322" s="20"/>
    </row>
    <row r="323" spans="1:8" x14ac:dyDescent="0.3">
      <c r="A323" s="13" t="s">
        <v>3124</v>
      </c>
      <c r="B323" s="13">
        <v>1503060</v>
      </c>
      <c r="C323" s="147"/>
      <c r="D323" s="177" t="s">
        <v>2832</v>
      </c>
      <c r="E323" s="8"/>
      <c r="F323" s="8"/>
      <c r="G323" s="20"/>
      <c r="H323" s="20"/>
    </row>
    <row r="324" spans="1:8" x14ac:dyDescent="0.3">
      <c r="A324" s="8" t="s">
        <v>3125</v>
      </c>
      <c r="B324" s="8">
        <v>1503060</v>
      </c>
      <c r="C324" s="146">
        <v>3.1</v>
      </c>
      <c r="D324" s="184" t="s">
        <v>2833</v>
      </c>
      <c r="E324" s="8">
        <v>12</v>
      </c>
      <c r="F324" s="8" t="s">
        <v>34</v>
      </c>
      <c r="G324" s="20">
        <v>0</v>
      </c>
      <c r="H324" s="20">
        <v>0</v>
      </c>
    </row>
    <row r="325" spans="1:8" x14ac:dyDescent="0.3">
      <c r="A325" s="8" t="s">
        <v>3126</v>
      </c>
      <c r="B325" s="8">
        <v>1503060</v>
      </c>
      <c r="C325" s="146">
        <v>3.2</v>
      </c>
      <c r="D325" s="184" t="s">
        <v>2834</v>
      </c>
      <c r="E325" s="8">
        <v>12</v>
      </c>
      <c r="F325" s="8" t="s">
        <v>34</v>
      </c>
      <c r="G325" s="20">
        <v>0</v>
      </c>
      <c r="H325" s="20">
        <v>0</v>
      </c>
    </row>
    <row r="326" spans="1:8" x14ac:dyDescent="0.3">
      <c r="A326" s="13"/>
      <c r="B326" s="13"/>
      <c r="C326" s="147"/>
      <c r="D326" s="183" t="s">
        <v>3127</v>
      </c>
      <c r="E326" s="8"/>
      <c r="F326" s="8"/>
      <c r="G326" s="20"/>
      <c r="H326" s="20"/>
    </row>
    <row r="327" spans="1:8" x14ac:dyDescent="0.3">
      <c r="A327" s="13" t="s">
        <v>3128</v>
      </c>
      <c r="B327" s="13">
        <v>1503060</v>
      </c>
      <c r="C327" s="146"/>
      <c r="D327" s="177" t="s">
        <v>2835</v>
      </c>
      <c r="E327" s="8"/>
      <c r="F327" s="8"/>
      <c r="G327" s="20"/>
      <c r="H327" s="20"/>
    </row>
    <row r="328" spans="1:8" x14ac:dyDescent="0.3">
      <c r="A328" s="8" t="s">
        <v>3129</v>
      </c>
      <c r="B328" s="8">
        <v>1503060</v>
      </c>
      <c r="C328" s="146">
        <v>3.1</v>
      </c>
      <c r="D328" s="181" t="s">
        <v>2836</v>
      </c>
      <c r="E328" s="8">
        <v>12</v>
      </c>
      <c r="F328" s="8" t="s">
        <v>34</v>
      </c>
      <c r="G328" s="20">
        <v>0</v>
      </c>
      <c r="H328" s="20">
        <v>0</v>
      </c>
    </row>
    <row r="329" spans="1:8" x14ac:dyDescent="0.3">
      <c r="A329" s="8" t="s">
        <v>3130</v>
      </c>
      <c r="B329" s="8">
        <v>1503060</v>
      </c>
      <c r="C329" s="146">
        <v>3.2</v>
      </c>
      <c r="D329" s="181" t="s">
        <v>363</v>
      </c>
      <c r="E329" s="8">
        <v>12</v>
      </c>
      <c r="F329" s="8" t="s">
        <v>34</v>
      </c>
      <c r="G329" s="20">
        <v>0</v>
      </c>
      <c r="H329" s="20">
        <v>0</v>
      </c>
    </row>
    <row r="330" spans="1:8" x14ac:dyDescent="0.3">
      <c r="A330" s="13"/>
      <c r="B330" s="13"/>
      <c r="C330" s="147"/>
      <c r="D330" s="176" t="s">
        <v>3131</v>
      </c>
      <c r="E330" s="8"/>
      <c r="F330" s="8"/>
      <c r="G330" s="20"/>
      <c r="H330" s="20"/>
    </row>
    <row r="331" spans="1:8" x14ac:dyDescent="0.3">
      <c r="A331" s="13" t="s">
        <v>3132</v>
      </c>
      <c r="B331" s="13">
        <v>1503060</v>
      </c>
      <c r="C331" s="147"/>
      <c r="D331" s="177" t="s">
        <v>2837</v>
      </c>
      <c r="E331" s="8"/>
      <c r="F331" s="8"/>
      <c r="G331" s="20"/>
      <c r="H331" s="20"/>
    </row>
    <row r="332" spans="1:8" x14ac:dyDescent="0.3">
      <c r="A332" s="13" t="s">
        <v>3133</v>
      </c>
      <c r="B332" s="13">
        <v>1503060</v>
      </c>
      <c r="C332" s="146"/>
      <c r="D332" s="177" t="s">
        <v>2838</v>
      </c>
      <c r="E332" s="8"/>
      <c r="F332" s="8"/>
      <c r="G332" s="20"/>
      <c r="H332" s="20"/>
    </row>
    <row r="333" spans="1:8" x14ac:dyDescent="0.3">
      <c r="A333" s="8" t="s">
        <v>3134</v>
      </c>
      <c r="B333" s="8">
        <v>1503060</v>
      </c>
      <c r="C333" s="146">
        <v>3.1</v>
      </c>
      <c r="D333" s="181" t="s">
        <v>368</v>
      </c>
      <c r="E333" s="8">
        <v>12</v>
      </c>
      <c r="F333" s="8" t="s">
        <v>34</v>
      </c>
      <c r="G333" s="20">
        <v>0</v>
      </c>
      <c r="H333" s="20">
        <v>0</v>
      </c>
    </row>
    <row r="334" spans="1:8" x14ac:dyDescent="0.3">
      <c r="A334" s="8" t="s">
        <v>3135</v>
      </c>
      <c r="B334" s="8">
        <v>1503060</v>
      </c>
      <c r="C334" s="146">
        <v>3.2</v>
      </c>
      <c r="D334" s="181" t="s">
        <v>370</v>
      </c>
      <c r="E334" s="8">
        <v>12</v>
      </c>
      <c r="F334" s="8" t="s">
        <v>34</v>
      </c>
      <c r="G334" s="20">
        <v>0</v>
      </c>
      <c r="H334" s="20">
        <v>0</v>
      </c>
    </row>
    <row r="335" spans="1:8" x14ac:dyDescent="0.3">
      <c r="A335" s="13"/>
      <c r="B335" s="13"/>
      <c r="C335" s="147"/>
      <c r="D335" s="183" t="s">
        <v>3136</v>
      </c>
      <c r="E335" s="8"/>
      <c r="F335" s="8"/>
      <c r="G335" s="20"/>
      <c r="H335" s="20"/>
    </row>
    <row r="336" spans="1:8" x14ac:dyDescent="0.3">
      <c r="A336" s="13" t="s">
        <v>3137</v>
      </c>
      <c r="B336" s="13">
        <v>1503060</v>
      </c>
      <c r="C336" s="146"/>
      <c r="D336" s="177" t="s">
        <v>2839</v>
      </c>
      <c r="E336" s="8"/>
      <c r="F336" s="8"/>
      <c r="G336" s="20"/>
      <c r="H336" s="20"/>
    </row>
    <row r="337" spans="1:8" x14ac:dyDescent="0.3">
      <c r="A337" s="8" t="s">
        <v>3138</v>
      </c>
      <c r="B337" s="8">
        <v>1503060</v>
      </c>
      <c r="C337" s="146">
        <v>3.1</v>
      </c>
      <c r="D337" s="181" t="s">
        <v>374</v>
      </c>
      <c r="E337" s="8">
        <v>12</v>
      </c>
      <c r="F337" s="8" t="s">
        <v>34</v>
      </c>
      <c r="G337" s="20">
        <v>0</v>
      </c>
      <c r="H337" s="20">
        <v>0</v>
      </c>
    </row>
    <row r="338" spans="1:8" x14ac:dyDescent="0.3">
      <c r="A338" s="8" t="s">
        <v>3139</v>
      </c>
      <c r="B338" s="8">
        <v>1503060</v>
      </c>
      <c r="C338" s="146">
        <v>3.2</v>
      </c>
      <c r="D338" s="181" t="s">
        <v>2840</v>
      </c>
      <c r="E338" s="8">
        <v>12</v>
      </c>
      <c r="F338" s="8" t="s">
        <v>34</v>
      </c>
      <c r="G338" s="20">
        <v>0</v>
      </c>
      <c r="H338" s="20">
        <v>0</v>
      </c>
    </row>
    <row r="339" spans="1:8" x14ac:dyDescent="0.3">
      <c r="A339" s="13"/>
      <c r="B339" s="13"/>
      <c r="C339" s="147"/>
      <c r="D339" s="176" t="s">
        <v>3140</v>
      </c>
      <c r="E339" s="8">
        <v>12</v>
      </c>
      <c r="F339" s="8" t="s">
        <v>34</v>
      </c>
      <c r="G339" s="20">
        <v>0</v>
      </c>
      <c r="H339" s="20">
        <v>0</v>
      </c>
    </row>
    <row r="340" spans="1:8" x14ac:dyDescent="0.3">
      <c r="A340" s="13" t="s">
        <v>1300</v>
      </c>
      <c r="B340" s="13">
        <v>1503060</v>
      </c>
      <c r="C340" s="13"/>
      <c r="D340" s="154" t="s">
        <v>2841</v>
      </c>
      <c r="E340" s="8"/>
      <c r="F340" s="8"/>
      <c r="G340" s="20"/>
      <c r="H340" s="20"/>
    </row>
    <row r="341" spans="1:8" x14ac:dyDescent="0.3">
      <c r="A341" s="13" t="s">
        <v>1104</v>
      </c>
      <c r="B341" s="13">
        <v>1503060</v>
      </c>
      <c r="C341" s="13" t="s">
        <v>14</v>
      </c>
      <c r="D341" s="155" t="s">
        <v>2842</v>
      </c>
      <c r="E341" s="8">
        <v>12</v>
      </c>
      <c r="F341" s="8" t="s">
        <v>34</v>
      </c>
      <c r="G341" s="20">
        <v>0</v>
      </c>
      <c r="H341" s="20">
        <v>0</v>
      </c>
    </row>
    <row r="342" spans="1:8" x14ac:dyDescent="0.3">
      <c r="A342" s="13" t="s">
        <v>1175</v>
      </c>
      <c r="B342" s="13">
        <v>1503060</v>
      </c>
      <c r="C342" s="147" t="s">
        <v>14</v>
      </c>
      <c r="D342" s="185" t="s">
        <v>2843</v>
      </c>
      <c r="E342" s="8"/>
      <c r="F342" s="8"/>
      <c r="G342" s="20"/>
      <c r="H342" s="20"/>
    </row>
    <row r="343" spans="1:8" x14ac:dyDescent="0.3">
      <c r="A343" s="13" t="s">
        <v>1176</v>
      </c>
      <c r="B343" s="13">
        <v>1503060</v>
      </c>
      <c r="C343" s="147" t="s">
        <v>14</v>
      </c>
      <c r="D343" s="185" t="s">
        <v>2844</v>
      </c>
      <c r="E343" s="8"/>
      <c r="F343" s="8"/>
      <c r="G343" s="20"/>
      <c r="H343" s="20"/>
    </row>
    <row r="344" spans="1:8" x14ac:dyDescent="0.3">
      <c r="A344" s="13" t="s">
        <v>1177</v>
      </c>
      <c r="B344" s="13">
        <v>1503060</v>
      </c>
      <c r="C344" s="147" t="s">
        <v>14</v>
      </c>
      <c r="D344" s="185" t="s">
        <v>2784</v>
      </c>
      <c r="E344" s="8"/>
      <c r="F344" s="8"/>
      <c r="G344" s="20"/>
      <c r="H344" s="20"/>
    </row>
    <row r="345" spans="1:8" x14ac:dyDescent="0.3">
      <c r="A345" s="13" t="s">
        <v>1178</v>
      </c>
      <c r="B345" s="13">
        <v>1503060</v>
      </c>
      <c r="C345" s="147"/>
      <c r="D345" s="185" t="s">
        <v>2785</v>
      </c>
      <c r="E345" s="8"/>
      <c r="F345" s="8"/>
      <c r="G345" s="20"/>
      <c r="H345" s="20"/>
    </row>
    <row r="346" spans="1:8" x14ac:dyDescent="0.3">
      <c r="A346" s="13" t="s">
        <v>1179</v>
      </c>
      <c r="B346" s="13">
        <v>1503060</v>
      </c>
      <c r="C346" s="147" t="s">
        <v>14</v>
      </c>
      <c r="D346" s="186" t="s">
        <v>2845</v>
      </c>
      <c r="E346" s="8"/>
      <c r="F346" s="8"/>
      <c r="G346" s="20"/>
      <c r="H346" s="20"/>
    </row>
    <row r="347" spans="1:8" x14ac:dyDescent="0.3">
      <c r="A347" s="13" t="s">
        <v>1260</v>
      </c>
      <c r="B347" s="13">
        <v>1503060</v>
      </c>
      <c r="C347" s="147" t="s">
        <v>14</v>
      </c>
      <c r="D347" s="182" t="s">
        <v>284</v>
      </c>
      <c r="E347" s="8"/>
      <c r="F347" s="8"/>
      <c r="G347" s="20"/>
      <c r="H347" s="20"/>
    </row>
    <row r="348" spans="1:8" x14ac:dyDescent="0.3">
      <c r="A348" s="13" t="s">
        <v>1301</v>
      </c>
      <c r="B348" s="13">
        <v>1503060</v>
      </c>
      <c r="C348" s="147"/>
      <c r="D348" s="177" t="s">
        <v>2846</v>
      </c>
      <c r="E348" s="8"/>
      <c r="F348" s="8"/>
      <c r="G348" s="20"/>
      <c r="H348" s="20"/>
    </row>
    <row r="349" spans="1:8" x14ac:dyDescent="0.3">
      <c r="A349" s="8" t="s">
        <v>1302</v>
      </c>
      <c r="B349" s="8">
        <v>1503060</v>
      </c>
      <c r="C349" s="146">
        <v>3.1</v>
      </c>
      <c r="D349" s="165" t="s">
        <v>2847</v>
      </c>
      <c r="E349" s="8">
        <v>12</v>
      </c>
      <c r="F349" s="8" t="s">
        <v>34</v>
      </c>
      <c r="G349" s="20">
        <v>0</v>
      </c>
      <c r="H349" s="20">
        <v>0</v>
      </c>
    </row>
    <row r="350" spans="1:8" x14ac:dyDescent="0.3">
      <c r="A350" s="8" t="s">
        <v>1303</v>
      </c>
      <c r="B350" s="8">
        <v>1503060</v>
      </c>
      <c r="C350" s="146">
        <v>3.2</v>
      </c>
      <c r="D350" s="184" t="s">
        <v>382</v>
      </c>
      <c r="E350" s="8">
        <v>12</v>
      </c>
      <c r="F350" s="8" t="s">
        <v>34</v>
      </c>
      <c r="G350" s="20">
        <v>0</v>
      </c>
      <c r="H350" s="20">
        <v>0</v>
      </c>
    </row>
    <row r="351" spans="1:8" x14ac:dyDescent="0.3">
      <c r="A351" s="13"/>
      <c r="B351" s="13"/>
      <c r="C351" s="147"/>
      <c r="D351" s="183" t="s">
        <v>3141</v>
      </c>
      <c r="E351" s="8"/>
      <c r="F351" s="8"/>
      <c r="G351" s="20"/>
      <c r="H351" s="20"/>
    </row>
    <row r="352" spans="1:8" x14ac:dyDescent="0.3">
      <c r="A352" s="13" t="s">
        <v>1304</v>
      </c>
      <c r="B352" s="13">
        <v>1503060</v>
      </c>
      <c r="C352" s="146"/>
      <c r="D352" s="177" t="s">
        <v>2849</v>
      </c>
      <c r="E352" s="8"/>
      <c r="F352" s="8"/>
      <c r="G352" s="20"/>
      <c r="H352" s="20"/>
    </row>
    <row r="353" spans="1:8" x14ac:dyDescent="0.3">
      <c r="A353" s="8" t="s">
        <v>1305</v>
      </c>
      <c r="B353" s="8">
        <v>1503060</v>
      </c>
      <c r="C353" s="146">
        <v>3.1</v>
      </c>
      <c r="D353" s="181" t="s">
        <v>385</v>
      </c>
      <c r="E353" s="8">
        <v>12</v>
      </c>
      <c r="F353" s="8" t="s">
        <v>34</v>
      </c>
      <c r="G353" s="20">
        <v>0</v>
      </c>
      <c r="H353" s="20">
        <v>0</v>
      </c>
    </row>
    <row r="354" spans="1:8" x14ac:dyDescent="0.3">
      <c r="A354" s="8" t="s">
        <v>1306</v>
      </c>
      <c r="B354" s="8">
        <v>1503060</v>
      </c>
      <c r="C354" s="146">
        <v>3.2</v>
      </c>
      <c r="D354" s="181" t="s">
        <v>2850</v>
      </c>
      <c r="E354" s="8">
        <v>12</v>
      </c>
      <c r="F354" s="8" t="s">
        <v>34</v>
      </c>
      <c r="G354" s="20">
        <v>0</v>
      </c>
      <c r="H354" s="20">
        <v>0</v>
      </c>
    </row>
    <row r="355" spans="1:8" x14ac:dyDescent="0.3">
      <c r="A355" s="13"/>
      <c r="B355" s="13"/>
      <c r="C355" s="147"/>
      <c r="D355" s="183" t="s">
        <v>1307</v>
      </c>
      <c r="E355" s="8"/>
      <c r="F355" s="8"/>
      <c r="G355" s="20"/>
      <c r="H355" s="20"/>
    </row>
    <row r="356" spans="1:8" x14ac:dyDescent="0.3">
      <c r="A356" s="13" t="s">
        <v>1308</v>
      </c>
      <c r="B356" s="13">
        <v>1503060</v>
      </c>
      <c r="C356" s="147"/>
      <c r="D356" s="177" t="s">
        <v>2851</v>
      </c>
      <c r="E356" s="8"/>
      <c r="F356" s="8"/>
      <c r="G356" s="20"/>
      <c r="H356" s="20"/>
    </row>
    <row r="357" spans="1:8" x14ac:dyDescent="0.3">
      <c r="A357" s="8" t="s">
        <v>1309</v>
      </c>
      <c r="B357" s="8">
        <v>1503060</v>
      </c>
      <c r="C357" s="146">
        <v>3.1</v>
      </c>
      <c r="D357" s="165" t="s">
        <v>390</v>
      </c>
      <c r="E357" s="8">
        <v>12</v>
      </c>
      <c r="F357" s="8" t="s">
        <v>34</v>
      </c>
      <c r="G357" s="20">
        <v>0</v>
      </c>
      <c r="H357" s="20">
        <v>0</v>
      </c>
    </row>
    <row r="358" spans="1:8" x14ac:dyDescent="0.3">
      <c r="A358" s="8" t="s">
        <v>1310</v>
      </c>
      <c r="B358" s="8">
        <v>1503060</v>
      </c>
      <c r="C358" s="146">
        <v>3.2</v>
      </c>
      <c r="D358" s="184" t="s">
        <v>2852</v>
      </c>
      <c r="E358" s="8">
        <v>12</v>
      </c>
      <c r="F358" s="8" t="s">
        <v>34</v>
      </c>
      <c r="G358" s="20">
        <v>0</v>
      </c>
      <c r="H358" s="20">
        <v>0</v>
      </c>
    </row>
    <row r="359" spans="1:8" x14ac:dyDescent="0.3">
      <c r="A359" s="13"/>
      <c r="B359" s="13"/>
      <c r="C359" s="147"/>
      <c r="D359" s="183" t="s">
        <v>1311</v>
      </c>
      <c r="E359" s="8">
        <v>12</v>
      </c>
      <c r="F359" s="8" t="s">
        <v>34</v>
      </c>
      <c r="G359" s="20">
        <v>0</v>
      </c>
      <c r="H359" s="20">
        <v>0</v>
      </c>
    </row>
    <row r="360" spans="1:8" x14ac:dyDescent="0.3">
      <c r="A360" s="13" t="s">
        <v>1312</v>
      </c>
      <c r="B360" s="13">
        <v>1503060</v>
      </c>
      <c r="C360" s="146"/>
      <c r="D360" s="177" t="s">
        <v>2853</v>
      </c>
      <c r="E360" s="8"/>
      <c r="F360" s="8"/>
      <c r="G360" s="20"/>
      <c r="H360" s="20"/>
    </row>
    <row r="361" spans="1:8" x14ac:dyDescent="0.3">
      <c r="A361" s="8" t="s">
        <v>1313</v>
      </c>
      <c r="B361" s="8">
        <v>1503060</v>
      </c>
      <c r="C361" s="146">
        <v>3.1</v>
      </c>
      <c r="D361" s="181" t="s">
        <v>395</v>
      </c>
      <c r="E361" s="8">
        <v>12</v>
      </c>
      <c r="F361" s="8" t="s">
        <v>34</v>
      </c>
      <c r="G361" s="20">
        <v>0</v>
      </c>
      <c r="H361" s="20">
        <v>0</v>
      </c>
    </row>
    <row r="362" spans="1:8" x14ac:dyDescent="0.3">
      <c r="A362" s="8" t="s">
        <v>1314</v>
      </c>
      <c r="B362" s="8">
        <v>1503060</v>
      </c>
      <c r="C362" s="146">
        <v>3.2</v>
      </c>
      <c r="D362" s="181" t="s">
        <v>2854</v>
      </c>
      <c r="E362" s="8">
        <v>12</v>
      </c>
      <c r="F362" s="8" t="s">
        <v>34</v>
      </c>
      <c r="G362" s="20">
        <v>0</v>
      </c>
      <c r="H362" s="20">
        <v>0</v>
      </c>
    </row>
    <row r="363" spans="1:8" x14ac:dyDescent="0.3">
      <c r="A363" s="13"/>
      <c r="B363" s="13"/>
      <c r="C363" s="13"/>
      <c r="D363" s="187" t="s">
        <v>1315</v>
      </c>
      <c r="E363" s="8">
        <v>12</v>
      </c>
      <c r="F363" s="8" t="s">
        <v>34</v>
      </c>
      <c r="G363" s="20">
        <v>0</v>
      </c>
      <c r="H363" s="20">
        <v>0</v>
      </c>
    </row>
    <row r="364" spans="1:8" x14ac:dyDescent="0.3">
      <c r="A364" s="13" t="s">
        <v>1260</v>
      </c>
      <c r="B364" s="13">
        <v>1503060</v>
      </c>
      <c r="C364" s="13" t="s">
        <v>14</v>
      </c>
      <c r="D364" s="153" t="s">
        <v>2855</v>
      </c>
      <c r="E364" s="8">
        <v>12</v>
      </c>
      <c r="F364" s="8" t="s">
        <v>34</v>
      </c>
      <c r="G364" s="20">
        <v>0</v>
      </c>
      <c r="H364" s="20">
        <v>0</v>
      </c>
    </row>
    <row r="365" spans="1:8" x14ac:dyDescent="0.3">
      <c r="A365" s="214" t="s">
        <v>2856</v>
      </c>
      <c r="B365" s="214"/>
      <c r="C365" s="214"/>
      <c r="D365" s="215"/>
      <c r="E365" s="8">
        <v>12</v>
      </c>
      <c r="F365" s="8" t="s">
        <v>34</v>
      </c>
      <c r="G365" s="20">
        <v>0</v>
      </c>
      <c r="H365" s="20">
        <v>0</v>
      </c>
    </row>
    <row r="366" spans="1:8" x14ac:dyDescent="0.3">
      <c r="A366" s="214" t="s">
        <v>2857</v>
      </c>
      <c r="B366" s="214"/>
      <c r="C366" s="214"/>
      <c r="D366" s="215"/>
      <c r="E366" s="8">
        <v>12</v>
      </c>
      <c r="F366" s="8" t="s">
        <v>34</v>
      </c>
      <c r="G366" s="20">
        <v>0</v>
      </c>
      <c r="H366" s="20">
        <v>0</v>
      </c>
    </row>
  </sheetData>
  <mergeCells count="5">
    <mergeCell ref="A313:D313"/>
    <mergeCell ref="A365:D365"/>
    <mergeCell ref="A366:D366"/>
    <mergeCell ref="A9:D9"/>
    <mergeCell ref="A312:D3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59999389629810485"/>
  </sheetPr>
  <dimension ref="A1:G160"/>
  <sheetViews>
    <sheetView workbookViewId="0">
      <selection activeCell="D4" sqref="D4"/>
    </sheetView>
  </sheetViews>
  <sheetFormatPr defaultColWidth="9.1796875" defaultRowHeight="13" x14ac:dyDescent="0.3"/>
  <cols>
    <col min="1" max="1" width="6.26953125" style="49" customWidth="1"/>
    <col min="2" max="2" width="15.7265625" style="49" customWidth="1"/>
    <col min="3" max="3" width="50.7265625" style="18" customWidth="1"/>
    <col min="4" max="4" width="11.7265625" style="50" customWidth="1"/>
    <col min="5" max="5" width="6.7265625" style="49" customWidth="1"/>
    <col min="6" max="6" width="11.7265625" style="18" customWidth="1"/>
    <col min="7" max="7" width="13.7265625" style="18" customWidth="1"/>
    <col min="8" max="16384" width="9.1796875" style="18"/>
  </cols>
  <sheetData>
    <row r="1" spans="1:7" x14ac:dyDescent="0.3">
      <c r="A1" s="21"/>
      <c r="B1" s="22"/>
      <c r="C1" s="79" t="s">
        <v>0</v>
      </c>
      <c r="D1" s="23"/>
      <c r="E1" s="22"/>
      <c r="F1" s="24"/>
      <c r="G1" s="25"/>
    </row>
    <row r="2" spans="1:7" x14ac:dyDescent="0.3">
      <c r="A2" s="26"/>
      <c r="B2" s="17"/>
      <c r="C2" s="81" t="s">
        <v>1</v>
      </c>
      <c r="D2" s="27"/>
      <c r="E2" s="17"/>
      <c r="F2" s="16"/>
      <c r="G2" s="28"/>
    </row>
    <row r="3" spans="1:7" x14ac:dyDescent="0.3">
      <c r="A3" s="26"/>
      <c r="B3" s="17"/>
      <c r="C3" s="81" t="s">
        <v>398</v>
      </c>
      <c r="D3" s="27"/>
      <c r="E3" s="17"/>
      <c r="F3" s="16"/>
      <c r="G3" s="28"/>
    </row>
    <row r="4" spans="1:7" x14ac:dyDescent="0.3">
      <c r="A4" s="26"/>
      <c r="B4" s="17"/>
      <c r="C4" s="81" t="s">
        <v>3</v>
      </c>
      <c r="D4" s="27"/>
      <c r="E4" s="17"/>
      <c r="F4" s="16"/>
      <c r="G4" s="28"/>
    </row>
    <row r="5" spans="1:7" x14ac:dyDescent="0.3">
      <c r="A5" s="219" t="s">
        <v>1316</v>
      </c>
      <c r="B5" s="220"/>
      <c r="C5" s="220"/>
      <c r="D5" s="27"/>
      <c r="E5" s="17"/>
      <c r="F5" s="16"/>
      <c r="G5" s="28"/>
    </row>
    <row r="6" spans="1:7" x14ac:dyDescent="0.3">
      <c r="A6" s="219" t="s">
        <v>400</v>
      </c>
      <c r="B6" s="220"/>
      <c r="C6" s="220"/>
      <c r="D6" s="27"/>
      <c r="E6" s="17"/>
      <c r="F6" s="16"/>
      <c r="G6" s="28"/>
    </row>
    <row r="7" spans="1:7" x14ac:dyDescent="0.3">
      <c r="A7" s="221" t="s">
        <v>1317</v>
      </c>
      <c r="B7" s="222"/>
      <c r="C7" s="222"/>
      <c r="D7" s="29"/>
      <c r="E7" s="30"/>
      <c r="F7" s="31"/>
      <c r="G7" s="32"/>
    </row>
    <row r="8" spans="1:7" x14ac:dyDescent="0.3">
      <c r="A8" s="223"/>
      <c r="B8" s="224"/>
      <c r="C8" s="224"/>
      <c r="D8" s="18"/>
      <c r="E8" s="18"/>
    </row>
    <row r="9" spans="1:7" x14ac:dyDescent="0.3">
      <c r="A9" s="33"/>
      <c r="B9" s="33"/>
      <c r="C9" s="33"/>
      <c r="D9" s="34"/>
      <c r="E9" s="8"/>
      <c r="F9" s="19"/>
      <c r="G9" s="19"/>
    </row>
    <row r="10" spans="1:7" ht="26" x14ac:dyDescent="0.3">
      <c r="A10" s="35" t="s">
        <v>402</v>
      </c>
      <c r="B10" s="84" t="s">
        <v>403</v>
      </c>
      <c r="C10" s="36" t="s">
        <v>404</v>
      </c>
      <c r="D10" s="37" t="s">
        <v>405</v>
      </c>
      <c r="E10" s="38" t="s">
        <v>406</v>
      </c>
      <c r="F10" s="38" t="s">
        <v>27</v>
      </c>
      <c r="G10" s="84" t="s">
        <v>7</v>
      </c>
    </row>
    <row r="11" spans="1:7" ht="39" x14ac:dyDescent="0.3">
      <c r="A11" s="39" t="s">
        <v>1318</v>
      </c>
      <c r="B11" s="40" t="s">
        <v>408</v>
      </c>
      <c r="C11" s="40" t="s">
        <v>409</v>
      </c>
      <c r="D11" s="41">
        <v>10000</v>
      </c>
      <c r="E11" s="42" t="s">
        <v>410</v>
      </c>
      <c r="F11" s="43">
        <v>0</v>
      </c>
      <c r="G11" s="44">
        <f>D11*F11</f>
        <v>0</v>
      </c>
    </row>
    <row r="12" spans="1:7" ht="39" x14ac:dyDescent="0.3">
      <c r="A12" s="39" t="s">
        <v>1319</v>
      </c>
      <c r="B12" s="40" t="s">
        <v>412</v>
      </c>
      <c r="C12" s="40" t="s">
        <v>413</v>
      </c>
      <c r="D12" s="45">
        <v>500</v>
      </c>
      <c r="E12" s="46" t="s">
        <v>414</v>
      </c>
      <c r="F12" s="43">
        <v>0</v>
      </c>
      <c r="G12" s="44">
        <f t="shared" ref="G12:G75" si="0">D12*F12</f>
        <v>0</v>
      </c>
    </row>
    <row r="13" spans="1:7" ht="39" x14ac:dyDescent="0.3">
      <c r="A13" s="39" t="s">
        <v>1320</v>
      </c>
      <c r="B13" s="40" t="s">
        <v>416</v>
      </c>
      <c r="C13" s="40" t="s">
        <v>417</v>
      </c>
      <c r="D13" s="45">
        <v>1000</v>
      </c>
      <c r="E13" s="46" t="s">
        <v>414</v>
      </c>
      <c r="F13" s="43">
        <v>0</v>
      </c>
      <c r="G13" s="44">
        <f t="shared" si="0"/>
        <v>0</v>
      </c>
    </row>
    <row r="14" spans="1:7" ht="26" x14ac:dyDescent="0.3">
      <c r="A14" s="39" t="s">
        <v>1321</v>
      </c>
      <c r="B14" s="40" t="s">
        <v>419</v>
      </c>
      <c r="C14" s="40" t="s">
        <v>420</v>
      </c>
      <c r="D14" s="45">
        <v>50000</v>
      </c>
      <c r="E14" s="46" t="s">
        <v>421</v>
      </c>
      <c r="F14" s="43">
        <v>0</v>
      </c>
      <c r="G14" s="44">
        <f t="shared" si="0"/>
        <v>0</v>
      </c>
    </row>
    <row r="15" spans="1:7" ht="52" x14ac:dyDescent="0.3">
      <c r="A15" s="39" t="s">
        <v>1322</v>
      </c>
      <c r="B15" s="40" t="s">
        <v>423</v>
      </c>
      <c r="C15" s="40" t="s">
        <v>424</v>
      </c>
      <c r="D15" s="45">
        <v>200000</v>
      </c>
      <c r="E15" s="46" t="s">
        <v>410</v>
      </c>
      <c r="F15" s="43">
        <v>0</v>
      </c>
      <c r="G15" s="44">
        <f t="shared" si="0"/>
        <v>0</v>
      </c>
    </row>
    <row r="16" spans="1:7" ht="91" x14ac:dyDescent="0.3">
      <c r="A16" s="39" t="s">
        <v>1323</v>
      </c>
      <c r="B16" s="40" t="s">
        <v>426</v>
      </c>
      <c r="C16" s="40" t="s">
        <v>427</v>
      </c>
      <c r="D16" s="45">
        <v>100</v>
      </c>
      <c r="E16" s="46" t="s">
        <v>428</v>
      </c>
      <c r="F16" s="43">
        <v>0</v>
      </c>
      <c r="G16" s="44">
        <f t="shared" si="0"/>
        <v>0</v>
      </c>
    </row>
    <row r="17" spans="1:7" ht="91" x14ac:dyDescent="0.3">
      <c r="A17" s="39" t="s">
        <v>1324</v>
      </c>
      <c r="B17" s="40" t="s">
        <v>430</v>
      </c>
      <c r="C17" s="40" t="s">
        <v>431</v>
      </c>
      <c r="D17" s="45">
        <v>100</v>
      </c>
      <c r="E17" s="46" t="s">
        <v>428</v>
      </c>
      <c r="F17" s="43">
        <v>0</v>
      </c>
      <c r="G17" s="44">
        <f t="shared" si="0"/>
        <v>0</v>
      </c>
    </row>
    <row r="18" spans="1:7" ht="91" x14ac:dyDescent="0.3">
      <c r="A18" s="39" t="s">
        <v>1325</v>
      </c>
      <c r="B18" s="40" t="s">
        <v>433</v>
      </c>
      <c r="C18" s="40" t="s">
        <v>434</v>
      </c>
      <c r="D18" s="45">
        <v>100</v>
      </c>
      <c r="E18" s="46" t="s">
        <v>428</v>
      </c>
      <c r="F18" s="43">
        <v>0</v>
      </c>
      <c r="G18" s="44">
        <f t="shared" si="0"/>
        <v>0</v>
      </c>
    </row>
    <row r="19" spans="1:7" ht="65" x14ac:dyDescent="0.3">
      <c r="A19" s="39" t="s">
        <v>1326</v>
      </c>
      <c r="B19" s="40" t="s">
        <v>436</v>
      </c>
      <c r="C19" s="40" t="s">
        <v>437</v>
      </c>
      <c r="D19" s="45">
        <v>100</v>
      </c>
      <c r="E19" s="46" t="s">
        <v>428</v>
      </c>
      <c r="F19" s="43">
        <v>0</v>
      </c>
      <c r="G19" s="44">
        <f t="shared" si="0"/>
        <v>0</v>
      </c>
    </row>
    <row r="20" spans="1:7" ht="91" x14ac:dyDescent="0.3">
      <c r="A20" s="39" t="s">
        <v>1327</v>
      </c>
      <c r="B20" s="40" t="s">
        <v>439</v>
      </c>
      <c r="C20" s="40" t="s">
        <v>440</v>
      </c>
      <c r="D20" s="45">
        <v>200</v>
      </c>
      <c r="E20" s="46" t="s">
        <v>428</v>
      </c>
      <c r="F20" s="43">
        <v>0</v>
      </c>
      <c r="G20" s="44">
        <f t="shared" si="0"/>
        <v>0</v>
      </c>
    </row>
    <row r="21" spans="1:7" ht="91" x14ac:dyDescent="0.3">
      <c r="A21" s="39" t="s">
        <v>1328</v>
      </c>
      <c r="B21" s="40" t="s">
        <v>442</v>
      </c>
      <c r="C21" s="40" t="s">
        <v>443</v>
      </c>
      <c r="D21" s="45">
        <v>200</v>
      </c>
      <c r="E21" s="46" t="s">
        <v>428</v>
      </c>
      <c r="F21" s="43">
        <v>0</v>
      </c>
      <c r="G21" s="44">
        <f t="shared" si="0"/>
        <v>0</v>
      </c>
    </row>
    <row r="22" spans="1:7" ht="91" x14ac:dyDescent="0.3">
      <c r="A22" s="39" t="s">
        <v>1329</v>
      </c>
      <c r="B22" s="40" t="s">
        <v>445</v>
      </c>
      <c r="C22" s="40" t="s">
        <v>446</v>
      </c>
      <c r="D22" s="45">
        <v>25</v>
      </c>
      <c r="E22" s="46" t="s">
        <v>428</v>
      </c>
      <c r="F22" s="43">
        <v>0</v>
      </c>
      <c r="G22" s="44">
        <f t="shared" si="0"/>
        <v>0</v>
      </c>
    </row>
    <row r="23" spans="1:7" ht="91" x14ac:dyDescent="0.3">
      <c r="A23" s="39" t="s">
        <v>1330</v>
      </c>
      <c r="B23" s="40" t="s">
        <v>448</v>
      </c>
      <c r="C23" s="40" t="s">
        <v>449</v>
      </c>
      <c r="D23" s="45">
        <v>25</v>
      </c>
      <c r="E23" s="46" t="s">
        <v>428</v>
      </c>
      <c r="F23" s="43">
        <v>0</v>
      </c>
      <c r="G23" s="44">
        <f t="shared" si="0"/>
        <v>0</v>
      </c>
    </row>
    <row r="24" spans="1:7" ht="65" x14ac:dyDescent="0.3">
      <c r="A24" s="39" t="s">
        <v>1331</v>
      </c>
      <c r="B24" s="40" t="s">
        <v>451</v>
      </c>
      <c r="C24" s="40" t="s">
        <v>452</v>
      </c>
      <c r="D24" s="45">
        <v>10</v>
      </c>
      <c r="E24" s="46" t="s">
        <v>428</v>
      </c>
      <c r="F24" s="43">
        <v>0</v>
      </c>
      <c r="G24" s="44">
        <f t="shared" si="0"/>
        <v>0</v>
      </c>
    </row>
    <row r="25" spans="1:7" ht="195" x14ac:dyDescent="0.3">
      <c r="A25" s="39" t="s">
        <v>1332</v>
      </c>
      <c r="B25" s="40" t="s">
        <v>454</v>
      </c>
      <c r="C25" s="40" t="s">
        <v>455</v>
      </c>
      <c r="D25" s="45">
        <v>50</v>
      </c>
      <c r="E25" s="46" t="s">
        <v>414</v>
      </c>
      <c r="F25" s="43">
        <v>0</v>
      </c>
      <c r="G25" s="44">
        <f t="shared" si="0"/>
        <v>0</v>
      </c>
    </row>
    <row r="26" spans="1:7" ht="169" x14ac:dyDescent="0.3">
      <c r="A26" s="39" t="s">
        <v>1333</v>
      </c>
      <c r="B26" s="40" t="s">
        <v>457</v>
      </c>
      <c r="C26" s="40" t="s">
        <v>458</v>
      </c>
      <c r="D26" s="45">
        <v>50</v>
      </c>
      <c r="E26" s="46" t="s">
        <v>428</v>
      </c>
      <c r="F26" s="43">
        <v>0</v>
      </c>
      <c r="G26" s="44">
        <f t="shared" si="0"/>
        <v>0</v>
      </c>
    </row>
    <row r="27" spans="1:7" ht="169" x14ac:dyDescent="0.3">
      <c r="A27" s="39" t="s">
        <v>1334</v>
      </c>
      <c r="B27" s="40" t="s">
        <v>460</v>
      </c>
      <c r="C27" s="40" t="s">
        <v>458</v>
      </c>
      <c r="D27" s="45">
        <v>60</v>
      </c>
      <c r="E27" s="46" t="s">
        <v>428</v>
      </c>
      <c r="F27" s="43">
        <v>0</v>
      </c>
      <c r="G27" s="44">
        <f t="shared" si="0"/>
        <v>0</v>
      </c>
    </row>
    <row r="28" spans="1:7" ht="169" x14ac:dyDescent="0.3">
      <c r="A28" s="39" t="s">
        <v>1335</v>
      </c>
      <c r="B28" s="40" t="s">
        <v>462</v>
      </c>
      <c r="C28" s="40" t="s">
        <v>463</v>
      </c>
      <c r="D28" s="45">
        <v>15</v>
      </c>
      <c r="E28" s="46" t="s">
        <v>428</v>
      </c>
      <c r="F28" s="43">
        <v>0</v>
      </c>
      <c r="G28" s="44">
        <f t="shared" si="0"/>
        <v>0</v>
      </c>
    </row>
    <row r="29" spans="1:7" ht="182" x14ac:dyDescent="0.3">
      <c r="A29" s="39" t="s">
        <v>1336</v>
      </c>
      <c r="B29" s="40" t="s">
        <v>465</v>
      </c>
      <c r="C29" s="40" t="s">
        <v>466</v>
      </c>
      <c r="D29" s="45">
        <v>5000</v>
      </c>
      <c r="E29" s="46" t="s">
        <v>428</v>
      </c>
      <c r="F29" s="43">
        <v>0</v>
      </c>
      <c r="G29" s="44">
        <f t="shared" si="0"/>
        <v>0</v>
      </c>
    </row>
    <row r="30" spans="1:7" ht="156" x14ac:dyDescent="0.3">
      <c r="A30" s="39" t="s">
        <v>1337</v>
      </c>
      <c r="B30" s="40" t="s">
        <v>468</v>
      </c>
      <c r="C30" s="40" t="s">
        <v>469</v>
      </c>
      <c r="D30" s="45">
        <v>1000</v>
      </c>
      <c r="E30" s="46" t="s">
        <v>410</v>
      </c>
      <c r="F30" s="43">
        <v>0</v>
      </c>
      <c r="G30" s="44">
        <f t="shared" si="0"/>
        <v>0</v>
      </c>
    </row>
    <row r="31" spans="1:7" ht="143" x14ac:dyDescent="0.3">
      <c r="A31" s="39" t="s">
        <v>1338</v>
      </c>
      <c r="B31" s="40" t="s">
        <v>471</v>
      </c>
      <c r="C31" s="40" t="s">
        <v>472</v>
      </c>
      <c r="D31" s="45">
        <v>850</v>
      </c>
      <c r="E31" s="46" t="s">
        <v>410</v>
      </c>
      <c r="F31" s="43">
        <v>0</v>
      </c>
      <c r="G31" s="44">
        <f t="shared" si="0"/>
        <v>0</v>
      </c>
    </row>
    <row r="32" spans="1:7" ht="78" x14ac:dyDescent="0.3">
      <c r="A32" s="39" t="s">
        <v>1339</v>
      </c>
      <c r="B32" s="40" t="s">
        <v>474</v>
      </c>
      <c r="C32" s="40" t="s">
        <v>475</v>
      </c>
      <c r="D32" s="45">
        <v>25</v>
      </c>
      <c r="E32" s="46" t="s">
        <v>414</v>
      </c>
      <c r="F32" s="43">
        <v>0</v>
      </c>
      <c r="G32" s="44">
        <f t="shared" si="0"/>
        <v>0</v>
      </c>
    </row>
    <row r="33" spans="1:7" ht="78" x14ac:dyDescent="0.3">
      <c r="A33" s="39" t="s">
        <v>1340</v>
      </c>
      <c r="B33" s="40" t="s">
        <v>477</v>
      </c>
      <c r="C33" s="40" t="s">
        <v>478</v>
      </c>
      <c r="D33" s="45">
        <v>50</v>
      </c>
      <c r="E33" s="46" t="s">
        <v>428</v>
      </c>
      <c r="F33" s="43">
        <v>0</v>
      </c>
      <c r="G33" s="44">
        <f t="shared" si="0"/>
        <v>0</v>
      </c>
    </row>
    <row r="34" spans="1:7" ht="91" x14ac:dyDescent="0.3">
      <c r="A34" s="39" t="s">
        <v>1341</v>
      </c>
      <c r="B34" s="40" t="s">
        <v>480</v>
      </c>
      <c r="C34" s="40" t="s">
        <v>481</v>
      </c>
      <c r="D34" s="45">
        <v>5000</v>
      </c>
      <c r="E34" s="46" t="s">
        <v>410</v>
      </c>
      <c r="F34" s="43">
        <v>0</v>
      </c>
      <c r="G34" s="44">
        <f t="shared" si="0"/>
        <v>0</v>
      </c>
    </row>
    <row r="35" spans="1:7" ht="91" x14ac:dyDescent="0.3">
      <c r="A35" s="39" t="s">
        <v>1342</v>
      </c>
      <c r="B35" s="40" t="s">
        <v>483</v>
      </c>
      <c r="C35" s="40" t="s">
        <v>481</v>
      </c>
      <c r="D35" s="45">
        <v>100</v>
      </c>
      <c r="E35" s="46" t="s">
        <v>428</v>
      </c>
      <c r="F35" s="43">
        <v>0</v>
      </c>
      <c r="G35" s="44">
        <f t="shared" si="0"/>
        <v>0</v>
      </c>
    </row>
    <row r="36" spans="1:7" ht="52" x14ac:dyDescent="0.3">
      <c r="A36" s="39" t="s">
        <v>1343</v>
      </c>
      <c r="B36" s="40" t="s">
        <v>485</v>
      </c>
      <c r="C36" s="40" t="s">
        <v>486</v>
      </c>
      <c r="D36" s="45">
        <v>50</v>
      </c>
      <c r="E36" s="46" t="s">
        <v>414</v>
      </c>
      <c r="F36" s="43">
        <v>0</v>
      </c>
      <c r="G36" s="44">
        <f t="shared" si="0"/>
        <v>0</v>
      </c>
    </row>
    <row r="37" spans="1:7" ht="26" x14ac:dyDescent="0.3">
      <c r="A37" s="39" t="s">
        <v>1344</v>
      </c>
      <c r="B37" s="40" t="s">
        <v>488</v>
      </c>
      <c r="C37" s="40" t="s">
        <v>489</v>
      </c>
      <c r="D37" s="45">
        <v>50</v>
      </c>
      <c r="E37" s="46" t="s">
        <v>414</v>
      </c>
      <c r="F37" s="43">
        <v>0</v>
      </c>
      <c r="G37" s="44">
        <f t="shared" si="0"/>
        <v>0</v>
      </c>
    </row>
    <row r="38" spans="1:7" ht="91" x14ac:dyDescent="0.3">
      <c r="A38" s="39" t="s">
        <v>1345</v>
      </c>
      <c r="B38" s="40" t="s">
        <v>491</v>
      </c>
      <c r="C38" s="40" t="s">
        <v>492</v>
      </c>
      <c r="D38" s="45">
        <v>100</v>
      </c>
      <c r="E38" s="46" t="s">
        <v>428</v>
      </c>
      <c r="F38" s="43">
        <v>0</v>
      </c>
      <c r="G38" s="44">
        <f t="shared" si="0"/>
        <v>0</v>
      </c>
    </row>
    <row r="39" spans="1:7" ht="91" x14ac:dyDescent="0.3">
      <c r="A39" s="39" t="s">
        <v>1346</v>
      </c>
      <c r="B39" s="40" t="s">
        <v>494</v>
      </c>
      <c r="C39" s="40" t="s">
        <v>495</v>
      </c>
      <c r="D39" s="45">
        <v>1000</v>
      </c>
      <c r="E39" s="46" t="s">
        <v>421</v>
      </c>
      <c r="F39" s="43">
        <v>0</v>
      </c>
      <c r="G39" s="44">
        <f t="shared" si="0"/>
        <v>0</v>
      </c>
    </row>
    <row r="40" spans="1:7" ht="91" x14ac:dyDescent="0.3">
      <c r="A40" s="39" t="s">
        <v>1347</v>
      </c>
      <c r="B40" s="40" t="s">
        <v>497</v>
      </c>
      <c r="C40" s="40" t="s">
        <v>498</v>
      </c>
      <c r="D40" s="45">
        <v>100</v>
      </c>
      <c r="E40" s="46" t="s">
        <v>499</v>
      </c>
      <c r="F40" s="43">
        <v>0</v>
      </c>
      <c r="G40" s="44">
        <f t="shared" si="0"/>
        <v>0</v>
      </c>
    </row>
    <row r="41" spans="1:7" ht="26" x14ac:dyDescent="0.3">
      <c r="A41" s="39" t="s">
        <v>1348</v>
      </c>
      <c r="B41" s="40" t="s">
        <v>501</v>
      </c>
      <c r="C41" s="40" t="s">
        <v>502</v>
      </c>
      <c r="D41" s="45">
        <v>3000</v>
      </c>
      <c r="E41" s="46" t="s">
        <v>410</v>
      </c>
      <c r="F41" s="43">
        <v>0</v>
      </c>
      <c r="G41" s="44">
        <f t="shared" si="0"/>
        <v>0</v>
      </c>
    </row>
    <row r="42" spans="1:7" ht="52" x14ac:dyDescent="0.3">
      <c r="A42" s="39" t="s">
        <v>1349</v>
      </c>
      <c r="B42" s="40" t="s">
        <v>504</v>
      </c>
      <c r="C42" s="40" t="s">
        <v>505</v>
      </c>
      <c r="D42" s="45">
        <v>125</v>
      </c>
      <c r="E42" s="46" t="s">
        <v>499</v>
      </c>
      <c r="F42" s="43">
        <v>0</v>
      </c>
      <c r="G42" s="44">
        <f t="shared" si="0"/>
        <v>0</v>
      </c>
    </row>
    <row r="43" spans="1:7" ht="130" x14ac:dyDescent="0.3">
      <c r="A43" s="39" t="s">
        <v>1350</v>
      </c>
      <c r="B43" s="40" t="s">
        <v>507</v>
      </c>
      <c r="C43" s="40" t="s">
        <v>508</v>
      </c>
      <c r="D43" s="45">
        <v>8500</v>
      </c>
      <c r="E43" s="46" t="s">
        <v>410</v>
      </c>
      <c r="F43" s="43">
        <v>0</v>
      </c>
      <c r="G43" s="44">
        <f t="shared" si="0"/>
        <v>0</v>
      </c>
    </row>
    <row r="44" spans="1:7" ht="65" x14ac:dyDescent="0.3">
      <c r="A44" s="39" t="s">
        <v>1351</v>
      </c>
      <c r="B44" s="40" t="s">
        <v>510</v>
      </c>
      <c r="C44" s="40" t="s">
        <v>511</v>
      </c>
      <c r="D44" s="45">
        <v>50</v>
      </c>
      <c r="E44" s="46" t="s">
        <v>414</v>
      </c>
      <c r="F44" s="43">
        <v>0</v>
      </c>
      <c r="G44" s="44">
        <f t="shared" si="0"/>
        <v>0</v>
      </c>
    </row>
    <row r="45" spans="1:7" ht="195" x14ac:dyDescent="0.3">
      <c r="A45" s="39" t="s">
        <v>1352</v>
      </c>
      <c r="B45" s="40" t="s">
        <v>513</v>
      </c>
      <c r="C45" s="40" t="s">
        <v>514</v>
      </c>
      <c r="D45" s="45">
        <v>200</v>
      </c>
      <c r="E45" s="46" t="s">
        <v>515</v>
      </c>
      <c r="F45" s="43">
        <v>0</v>
      </c>
      <c r="G45" s="44">
        <f t="shared" si="0"/>
        <v>0</v>
      </c>
    </row>
    <row r="46" spans="1:7" ht="104" x14ac:dyDescent="0.3">
      <c r="A46" s="39" t="s">
        <v>1353</v>
      </c>
      <c r="B46" s="40" t="s">
        <v>517</v>
      </c>
      <c r="C46" s="40" t="s">
        <v>518</v>
      </c>
      <c r="D46" s="45">
        <v>10000</v>
      </c>
      <c r="E46" s="46" t="s">
        <v>421</v>
      </c>
      <c r="F46" s="43">
        <v>0</v>
      </c>
      <c r="G46" s="44">
        <f t="shared" si="0"/>
        <v>0</v>
      </c>
    </row>
    <row r="47" spans="1:7" ht="104" x14ac:dyDescent="0.3">
      <c r="A47" s="39" t="s">
        <v>1354</v>
      </c>
      <c r="B47" s="40" t="s">
        <v>520</v>
      </c>
      <c r="C47" s="40" t="s">
        <v>521</v>
      </c>
      <c r="D47" s="45">
        <v>10000</v>
      </c>
      <c r="E47" s="46" t="s">
        <v>421</v>
      </c>
      <c r="F47" s="43">
        <v>0</v>
      </c>
      <c r="G47" s="44">
        <f t="shared" si="0"/>
        <v>0</v>
      </c>
    </row>
    <row r="48" spans="1:7" ht="104" x14ac:dyDescent="0.3">
      <c r="A48" s="39" t="s">
        <v>1355</v>
      </c>
      <c r="B48" s="40" t="s">
        <v>523</v>
      </c>
      <c r="C48" s="40" t="s">
        <v>521</v>
      </c>
      <c r="D48" s="45">
        <v>4000</v>
      </c>
      <c r="E48" s="46" t="s">
        <v>421</v>
      </c>
      <c r="F48" s="43">
        <v>0</v>
      </c>
      <c r="G48" s="44">
        <f t="shared" si="0"/>
        <v>0</v>
      </c>
    </row>
    <row r="49" spans="1:7" ht="130" x14ac:dyDescent="0.3">
      <c r="A49" s="39" t="s">
        <v>1356</v>
      </c>
      <c r="B49" s="40" t="s">
        <v>525</v>
      </c>
      <c r="C49" s="40" t="s">
        <v>526</v>
      </c>
      <c r="D49" s="45">
        <v>10000</v>
      </c>
      <c r="E49" s="46" t="s">
        <v>421</v>
      </c>
      <c r="F49" s="43">
        <v>0</v>
      </c>
      <c r="G49" s="44">
        <f t="shared" si="0"/>
        <v>0</v>
      </c>
    </row>
    <row r="50" spans="1:7" ht="78" x14ac:dyDescent="0.3">
      <c r="A50" s="39" t="s">
        <v>1357</v>
      </c>
      <c r="B50" s="40" t="s">
        <v>528</v>
      </c>
      <c r="C50" s="40" t="s">
        <v>529</v>
      </c>
      <c r="D50" s="45">
        <v>5000</v>
      </c>
      <c r="E50" s="46" t="s">
        <v>421</v>
      </c>
      <c r="F50" s="43">
        <v>0</v>
      </c>
      <c r="G50" s="44">
        <f t="shared" si="0"/>
        <v>0</v>
      </c>
    </row>
    <row r="51" spans="1:7" ht="104" x14ac:dyDescent="0.3">
      <c r="A51" s="39" t="s">
        <v>1358</v>
      </c>
      <c r="B51" s="40" t="s">
        <v>531</v>
      </c>
      <c r="C51" s="40" t="s">
        <v>532</v>
      </c>
      <c r="D51" s="45">
        <v>5000</v>
      </c>
      <c r="E51" s="46" t="s">
        <v>421</v>
      </c>
      <c r="F51" s="43">
        <v>0</v>
      </c>
      <c r="G51" s="44">
        <f t="shared" si="0"/>
        <v>0</v>
      </c>
    </row>
    <row r="52" spans="1:7" ht="104" x14ac:dyDescent="0.3">
      <c r="A52" s="39" t="s">
        <v>1359</v>
      </c>
      <c r="B52" s="40" t="s">
        <v>534</v>
      </c>
      <c r="C52" s="40" t="s">
        <v>535</v>
      </c>
      <c r="D52" s="45">
        <v>10</v>
      </c>
      <c r="E52" s="46" t="s">
        <v>428</v>
      </c>
      <c r="F52" s="43">
        <v>0</v>
      </c>
      <c r="G52" s="44">
        <f t="shared" si="0"/>
        <v>0</v>
      </c>
    </row>
    <row r="53" spans="1:7" ht="117" x14ac:dyDescent="0.3">
      <c r="A53" s="39" t="s">
        <v>1360</v>
      </c>
      <c r="B53" s="40" t="s">
        <v>537</v>
      </c>
      <c r="C53" s="40" t="s">
        <v>538</v>
      </c>
      <c r="D53" s="45">
        <v>5000</v>
      </c>
      <c r="E53" s="46" t="s">
        <v>421</v>
      </c>
      <c r="F53" s="43">
        <v>0</v>
      </c>
      <c r="G53" s="44">
        <f t="shared" si="0"/>
        <v>0</v>
      </c>
    </row>
    <row r="54" spans="1:7" ht="39" x14ac:dyDescent="0.3">
      <c r="A54" s="39" t="s">
        <v>1361</v>
      </c>
      <c r="B54" s="40" t="s">
        <v>540</v>
      </c>
      <c r="C54" s="40" t="s">
        <v>541</v>
      </c>
      <c r="D54" s="45">
        <v>50</v>
      </c>
      <c r="E54" s="46" t="s">
        <v>428</v>
      </c>
      <c r="F54" s="43">
        <v>0</v>
      </c>
      <c r="G54" s="44">
        <f t="shared" si="0"/>
        <v>0</v>
      </c>
    </row>
    <row r="55" spans="1:7" ht="65" x14ac:dyDescent="0.3">
      <c r="A55" s="39" t="s">
        <v>1362</v>
      </c>
      <c r="B55" s="40" t="s">
        <v>543</v>
      </c>
      <c r="C55" s="40" t="s">
        <v>544</v>
      </c>
      <c r="D55" s="45">
        <v>100</v>
      </c>
      <c r="E55" s="46" t="s">
        <v>428</v>
      </c>
      <c r="F55" s="43">
        <v>0</v>
      </c>
      <c r="G55" s="44">
        <f t="shared" si="0"/>
        <v>0</v>
      </c>
    </row>
    <row r="56" spans="1:7" ht="130" x14ac:dyDescent="0.3">
      <c r="A56" s="39" t="s">
        <v>1363</v>
      </c>
      <c r="B56" s="40" t="s">
        <v>546</v>
      </c>
      <c r="C56" s="40" t="s">
        <v>547</v>
      </c>
      <c r="D56" s="45">
        <v>10000</v>
      </c>
      <c r="E56" s="46" t="s">
        <v>548</v>
      </c>
      <c r="F56" s="43">
        <v>0</v>
      </c>
      <c r="G56" s="44">
        <f t="shared" si="0"/>
        <v>0</v>
      </c>
    </row>
    <row r="57" spans="1:7" ht="104" x14ac:dyDescent="0.3">
      <c r="A57" s="39" t="s">
        <v>1364</v>
      </c>
      <c r="B57" s="40" t="s">
        <v>550</v>
      </c>
      <c r="C57" s="40" t="s">
        <v>551</v>
      </c>
      <c r="D57" s="45">
        <v>10</v>
      </c>
      <c r="E57" s="46" t="s">
        <v>428</v>
      </c>
      <c r="F57" s="43">
        <v>0</v>
      </c>
      <c r="G57" s="44">
        <f t="shared" si="0"/>
        <v>0</v>
      </c>
    </row>
    <row r="58" spans="1:7" ht="91" x14ac:dyDescent="0.3">
      <c r="A58" s="39" t="s">
        <v>1365</v>
      </c>
      <c r="B58" s="40" t="s">
        <v>553</v>
      </c>
      <c r="C58" s="40" t="s">
        <v>554</v>
      </c>
      <c r="D58" s="45">
        <v>2000</v>
      </c>
      <c r="E58" s="46" t="s">
        <v>548</v>
      </c>
      <c r="F58" s="43">
        <v>0</v>
      </c>
      <c r="G58" s="44">
        <f t="shared" si="0"/>
        <v>0</v>
      </c>
    </row>
    <row r="59" spans="1:7" ht="78" x14ac:dyDescent="0.3">
      <c r="A59" s="39" t="s">
        <v>1366</v>
      </c>
      <c r="B59" s="40" t="s">
        <v>556</v>
      </c>
      <c r="C59" s="40" t="s">
        <v>557</v>
      </c>
      <c r="D59" s="45">
        <v>9</v>
      </c>
      <c r="E59" s="46" t="s">
        <v>558</v>
      </c>
      <c r="F59" s="43">
        <v>0</v>
      </c>
      <c r="G59" s="44">
        <f t="shared" si="0"/>
        <v>0</v>
      </c>
    </row>
    <row r="60" spans="1:7" ht="65" x14ac:dyDescent="0.3">
      <c r="A60" s="39" t="s">
        <v>1367</v>
      </c>
      <c r="B60" s="40" t="s">
        <v>560</v>
      </c>
      <c r="C60" s="40" t="s">
        <v>561</v>
      </c>
      <c r="D60" s="45">
        <v>9</v>
      </c>
      <c r="E60" s="46" t="s">
        <v>558</v>
      </c>
      <c r="F60" s="43">
        <v>0</v>
      </c>
      <c r="G60" s="44">
        <f t="shared" si="0"/>
        <v>0</v>
      </c>
    </row>
    <row r="61" spans="1:7" ht="78" x14ac:dyDescent="0.3">
      <c r="A61" s="39" t="s">
        <v>1368</v>
      </c>
      <c r="B61" s="40" t="s">
        <v>563</v>
      </c>
      <c r="C61" s="40" t="s">
        <v>564</v>
      </c>
      <c r="D61" s="45">
        <v>25000</v>
      </c>
      <c r="E61" s="46" t="s">
        <v>548</v>
      </c>
      <c r="F61" s="43">
        <v>0</v>
      </c>
      <c r="G61" s="44">
        <f t="shared" si="0"/>
        <v>0</v>
      </c>
    </row>
    <row r="62" spans="1:7" ht="65.25" customHeight="1" x14ac:dyDescent="0.3">
      <c r="A62" s="39" t="s">
        <v>1369</v>
      </c>
      <c r="B62" s="40" t="s">
        <v>566</v>
      </c>
      <c r="C62" s="40" t="s">
        <v>567</v>
      </c>
      <c r="D62" s="45">
        <v>25000</v>
      </c>
      <c r="E62" s="46" t="s">
        <v>548</v>
      </c>
      <c r="F62" s="43">
        <v>0</v>
      </c>
      <c r="G62" s="44">
        <f t="shared" si="0"/>
        <v>0</v>
      </c>
    </row>
    <row r="63" spans="1:7" ht="52" x14ac:dyDescent="0.3">
      <c r="A63" s="39" t="s">
        <v>1370</v>
      </c>
      <c r="B63" s="40" t="s">
        <v>569</v>
      </c>
      <c r="C63" s="40" t="s">
        <v>570</v>
      </c>
      <c r="D63" s="45">
        <v>200000</v>
      </c>
      <c r="E63" s="46" t="s">
        <v>548</v>
      </c>
      <c r="F63" s="43">
        <v>0</v>
      </c>
      <c r="G63" s="44">
        <f t="shared" si="0"/>
        <v>0</v>
      </c>
    </row>
    <row r="64" spans="1:7" ht="65" x14ac:dyDescent="0.3">
      <c r="A64" s="39" t="s">
        <v>1371</v>
      </c>
      <c r="B64" s="40" t="s">
        <v>572</v>
      </c>
      <c r="C64" s="40" t="s">
        <v>573</v>
      </c>
      <c r="D64" s="45">
        <v>800000</v>
      </c>
      <c r="E64" s="46" t="s">
        <v>548</v>
      </c>
      <c r="F64" s="43">
        <v>0</v>
      </c>
      <c r="G64" s="44">
        <f t="shared" si="0"/>
        <v>0</v>
      </c>
    </row>
    <row r="65" spans="1:7" ht="65" x14ac:dyDescent="0.3">
      <c r="A65" s="39" t="s">
        <v>1372</v>
      </c>
      <c r="B65" s="40" t="s">
        <v>575</v>
      </c>
      <c r="C65" s="40" t="s">
        <v>576</v>
      </c>
      <c r="D65" s="45">
        <v>20000</v>
      </c>
      <c r="E65" s="46" t="s">
        <v>548</v>
      </c>
      <c r="F65" s="43">
        <v>0</v>
      </c>
      <c r="G65" s="44">
        <f t="shared" si="0"/>
        <v>0</v>
      </c>
    </row>
    <row r="66" spans="1:7" ht="39" x14ac:dyDescent="0.3">
      <c r="A66" s="39" t="s">
        <v>1373</v>
      </c>
      <c r="B66" s="40" t="s">
        <v>578</v>
      </c>
      <c r="C66" s="40" t="s">
        <v>579</v>
      </c>
      <c r="D66" s="45">
        <v>10000</v>
      </c>
      <c r="E66" s="46" t="s">
        <v>548</v>
      </c>
      <c r="F66" s="43">
        <v>0</v>
      </c>
      <c r="G66" s="44">
        <f t="shared" si="0"/>
        <v>0</v>
      </c>
    </row>
    <row r="67" spans="1:7" ht="52" x14ac:dyDescent="0.3">
      <c r="A67" s="39" t="s">
        <v>1374</v>
      </c>
      <c r="B67" s="40" t="s">
        <v>581</v>
      </c>
      <c r="C67" s="40" t="s">
        <v>582</v>
      </c>
      <c r="D67" s="45">
        <v>500</v>
      </c>
      <c r="E67" s="46" t="s">
        <v>583</v>
      </c>
      <c r="F67" s="43">
        <v>0</v>
      </c>
      <c r="G67" s="44">
        <f t="shared" si="0"/>
        <v>0</v>
      </c>
    </row>
    <row r="68" spans="1:7" ht="52" x14ac:dyDescent="0.3">
      <c r="A68" s="39" t="s">
        <v>1375</v>
      </c>
      <c r="B68" s="40" t="s">
        <v>585</v>
      </c>
      <c r="C68" s="40" t="s">
        <v>586</v>
      </c>
      <c r="D68" s="45">
        <v>100</v>
      </c>
      <c r="E68" s="46" t="s">
        <v>583</v>
      </c>
      <c r="F68" s="43">
        <v>0</v>
      </c>
      <c r="G68" s="44">
        <f t="shared" si="0"/>
        <v>0</v>
      </c>
    </row>
    <row r="69" spans="1:7" ht="78" x14ac:dyDescent="0.3">
      <c r="A69" s="39" t="s">
        <v>1376</v>
      </c>
      <c r="B69" s="40" t="s">
        <v>588</v>
      </c>
      <c r="C69" s="40" t="s">
        <v>589</v>
      </c>
      <c r="D69" s="45">
        <v>100</v>
      </c>
      <c r="E69" s="46" t="s">
        <v>583</v>
      </c>
      <c r="F69" s="43">
        <v>0</v>
      </c>
      <c r="G69" s="44">
        <f t="shared" si="0"/>
        <v>0</v>
      </c>
    </row>
    <row r="70" spans="1:7" ht="26" x14ac:dyDescent="0.3">
      <c r="A70" s="39" t="s">
        <v>1377</v>
      </c>
      <c r="B70" s="40" t="s">
        <v>591</v>
      </c>
      <c r="C70" s="40" t="s">
        <v>592</v>
      </c>
      <c r="D70" s="45">
        <v>10000</v>
      </c>
      <c r="E70" s="46" t="s">
        <v>583</v>
      </c>
      <c r="F70" s="43">
        <v>0</v>
      </c>
      <c r="G70" s="44">
        <f t="shared" si="0"/>
        <v>0</v>
      </c>
    </row>
    <row r="71" spans="1:7" ht="260" x14ac:dyDescent="0.3">
      <c r="A71" s="39" t="s">
        <v>1378</v>
      </c>
      <c r="B71" s="12" t="s">
        <v>594</v>
      </c>
      <c r="C71" s="12" t="s">
        <v>595</v>
      </c>
      <c r="D71" s="45">
        <v>4</v>
      </c>
      <c r="E71" s="46" t="s">
        <v>428</v>
      </c>
      <c r="F71" s="43">
        <v>0</v>
      </c>
      <c r="G71" s="44">
        <f t="shared" si="0"/>
        <v>0</v>
      </c>
    </row>
    <row r="72" spans="1:7" ht="104" x14ac:dyDescent="0.3">
      <c r="A72" s="39" t="s">
        <v>1379</v>
      </c>
      <c r="B72" s="12" t="s">
        <v>597</v>
      </c>
      <c r="C72" s="4" t="s">
        <v>598</v>
      </c>
      <c r="D72" s="45">
        <v>4</v>
      </c>
      <c r="E72" s="46" t="s">
        <v>428</v>
      </c>
      <c r="F72" s="43">
        <v>0</v>
      </c>
      <c r="G72" s="44">
        <f t="shared" si="0"/>
        <v>0</v>
      </c>
    </row>
    <row r="73" spans="1:7" ht="91" x14ac:dyDescent="0.3">
      <c r="A73" s="39" t="s">
        <v>1380</v>
      </c>
      <c r="B73" s="12" t="s">
        <v>600</v>
      </c>
      <c r="C73" s="47" t="s">
        <v>601</v>
      </c>
      <c r="D73" s="45">
        <v>4</v>
      </c>
      <c r="E73" s="46" t="s">
        <v>428</v>
      </c>
      <c r="F73" s="43">
        <v>0</v>
      </c>
      <c r="G73" s="44">
        <f t="shared" si="0"/>
        <v>0</v>
      </c>
    </row>
    <row r="74" spans="1:7" ht="78" x14ac:dyDescent="0.3">
      <c r="A74" s="39" t="s">
        <v>1381</v>
      </c>
      <c r="B74" s="12" t="s">
        <v>603</v>
      </c>
      <c r="C74" s="12" t="s">
        <v>604</v>
      </c>
      <c r="D74" s="45">
        <v>4</v>
      </c>
      <c r="E74" s="46" t="s">
        <v>428</v>
      </c>
      <c r="F74" s="43">
        <v>0</v>
      </c>
      <c r="G74" s="44">
        <f t="shared" si="0"/>
        <v>0</v>
      </c>
    </row>
    <row r="75" spans="1:7" ht="78" x14ac:dyDescent="0.3">
      <c r="A75" s="39" t="s">
        <v>1382</v>
      </c>
      <c r="B75" s="12" t="s">
        <v>606</v>
      </c>
      <c r="C75" s="12" t="s">
        <v>607</v>
      </c>
      <c r="D75" s="45">
        <v>4</v>
      </c>
      <c r="E75" s="46" t="s">
        <v>428</v>
      </c>
      <c r="F75" s="43">
        <v>0</v>
      </c>
      <c r="G75" s="44">
        <f t="shared" si="0"/>
        <v>0</v>
      </c>
    </row>
    <row r="76" spans="1:7" ht="65" x14ac:dyDescent="0.3">
      <c r="A76" s="39" t="s">
        <v>1383</v>
      </c>
      <c r="B76" s="12" t="s">
        <v>609</v>
      </c>
      <c r="C76" s="12" t="s">
        <v>610</v>
      </c>
      <c r="D76" s="45">
        <v>2</v>
      </c>
      <c r="E76" s="46" t="s">
        <v>428</v>
      </c>
      <c r="F76" s="43">
        <v>0</v>
      </c>
      <c r="G76" s="44">
        <f t="shared" ref="G76:G135" si="1">D76*F76</f>
        <v>0</v>
      </c>
    </row>
    <row r="77" spans="1:7" ht="65" x14ac:dyDescent="0.3">
      <c r="A77" s="39" t="s">
        <v>1384</v>
      </c>
      <c r="B77" s="12" t="s">
        <v>612</v>
      </c>
      <c r="C77" s="12" t="s">
        <v>613</v>
      </c>
      <c r="D77" s="45">
        <v>1</v>
      </c>
      <c r="E77" s="46" t="s">
        <v>428</v>
      </c>
      <c r="F77" s="43">
        <v>0</v>
      </c>
      <c r="G77" s="44">
        <f t="shared" si="1"/>
        <v>0</v>
      </c>
    </row>
    <row r="78" spans="1:7" ht="260" x14ac:dyDescent="0.3">
      <c r="A78" s="39" t="s">
        <v>1385</v>
      </c>
      <c r="B78" s="12" t="s">
        <v>615</v>
      </c>
      <c r="C78" s="12" t="s">
        <v>595</v>
      </c>
      <c r="D78" s="45">
        <v>4</v>
      </c>
      <c r="E78" s="46" t="s">
        <v>428</v>
      </c>
      <c r="F78" s="43">
        <v>0</v>
      </c>
      <c r="G78" s="44">
        <f t="shared" si="1"/>
        <v>0</v>
      </c>
    </row>
    <row r="79" spans="1:7" ht="104" x14ac:dyDescent="0.3">
      <c r="A79" s="39" t="s">
        <v>1386</v>
      </c>
      <c r="B79" s="12" t="s">
        <v>617</v>
      </c>
      <c r="C79" s="4" t="s">
        <v>598</v>
      </c>
      <c r="D79" s="45">
        <v>4</v>
      </c>
      <c r="E79" s="46" t="s">
        <v>428</v>
      </c>
      <c r="F79" s="43">
        <v>0</v>
      </c>
      <c r="G79" s="44">
        <f t="shared" si="1"/>
        <v>0</v>
      </c>
    </row>
    <row r="80" spans="1:7" ht="91" x14ac:dyDescent="0.3">
      <c r="A80" s="39" t="s">
        <v>1387</v>
      </c>
      <c r="B80" s="12" t="s">
        <v>619</v>
      </c>
      <c r="C80" s="47" t="s">
        <v>601</v>
      </c>
      <c r="D80" s="45">
        <v>4</v>
      </c>
      <c r="E80" s="46" t="s">
        <v>428</v>
      </c>
      <c r="F80" s="43">
        <v>0</v>
      </c>
      <c r="G80" s="44">
        <f t="shared" si="1"/>
        <v>0</v>
      </c>
    </row>
    <row r="81" spans="1:7" ht="78" x14ac:dyDescent="0.3">
      <c r="A81" s="39" t="s">
        <v>1388</v>
      </c>
      <c r="B81" s="12" t="s">
        <v>621</v>
      </c>
      <c r="C81" s="12" t="s">
        <v>604</v>
      </c>
      <c r="D81" s="45">
        <v>4</v>
      </c>
      <c r="E81" s="46" t="s">
        <v>428</v>
      </c>
      <c r="F81" s="43">
        <v>0</v>
      </c>
      <c r="G81" s="44">
        <f t="shared" si="1"/>
        <v>0</v>
      </c>
    </row>
    <row r="82" spans="1:7" ht="78" x14ac:dyDescent="0.3">
      <c r="A82" s="39" t="s">
        <v>1389</v>
      </c>
      <c r="B82" s="12" t="s">
        <v>623</v>
      </c>
      <c r="C82" s="12" t="s">
        <v>607</v>
      </c>
      <c r="D82" s="45">
        <v>4</v>
      </c>
      <c r="E82" s="46" t="s">
        <v>428</v>
      </c>
      <c r="F82" s="43">
        <v>0</v>
      </c>
      <c r="G82" s="44">
        <f t="shared" si="1"/>
        <v>0</v>
      </c>
    </row>
    <row r="83" spans="1:7" ht="65" x14ac:dyDescent="0.3">
      <c r="A83" s="39" t="s">
        <v>1390</v>
      </c>
      <c r="B83" s="12" t="s">
        <v>625</v>
      </c>
      <c r="C83" s="12" t="s">
        <v>610</v>
      </c>
      <c r="D83" s="45">
        <v>2</v>
      </c>
      <c r="E83" s="46" t="s">
        <v>428</v>
      </c>
      <c r="F83" s="43">
        <v>0</v>
      </c>
      <c r="G83" s="44">
        <f t="shared" si="1"/>
        <v>0</v>
      </c>
    </row>
    <row r="84" spans="1:7" ht="65" x14ac:dyDescent="0.3">
      <c r="A84" s="39" t="s">
        <v>1391</v>
      </c>
      <c r="B84" s="12" t="s">
        <v>627</v>
      </c>
      <c r="C84" s="12" t="s">
        <v>628</v>
      </c>
      <c r="D84" s="45">
        <v>1</v>
      </c>
      <c r="E84" s="46" t="s">
        <v>428</v>
      </c>
      <c r="F84" s="43">
        <v>0</v>
      </c>
      <c r="G84" s="44">
        <f t="shared" si="1"/>
        <v>0</v>
      </c>
    </row>
    <row r="85" spans="1:7" ht="260" x14ac:dyDescent="0.3">
      <c r="A85" s="39" t="s">
        <v>1392</v>
      </c>
      <c r="B85" s="12" t="s">
        <v>630</v>
      </c>
      <c r="C85" s="12" t="s">
        <v>595</v>
      </c>
      <c r="D85" s="45">
        <v>4</v>
      </c>
      <c r="E85" s="46" t="s">
        <v>428</v>
      </c>
      <c r="F85" s="43">
        <v>0</v>
      </c>
      <c r="G85" s="44">
        <f t="shared" si="1"/>
        <v>0</v>
      </c>
    </row>
    <row r="86" spans="1:7" ht="104" x14ac:dyDescent="0.3">
      <c r="A86" s="39" t="s">
        <v>1393</v>
      </c>
      <c r="B86" s="12" t="s">
        <v>632</v>
      </c>
      <c r="C86" s="4" t="s">
        <v>598</v>
      </c>
      <c r="D86" s="45">
        <v>4</v>
      </c>
      <c r="E86" s="46" t="s">
        <v>428</v>
      </c>
      <c r="F86" s="43">
        <v>0</v>
      </c>
      <c r="G86" s="44">
        <f t="shared" si="1"/>
        <v>0</v>
      </c>
    </row>
    <row r="87" spans="1:7" ht="91" x14ac:dyDescent="0.3">
      <c r="A87" s="39" t="s">
        <v>1394</v>
      </c>
      <c r="B87" s="12" t="s">
        <v>634</v>
      </c>
      <c r="C87" s="47" t="s">
        <v>601</v>
      </c>
      <c r="D87" s="45">
        <v>4</v>
      </c>
      <c r="E87" s="46" t="s">
        <v>428</v>
      </c>
      <c r="F87" s="43">
        <v>0</v>
      </c>
      <c r="G87" s="44">
        <f t="shared" si="1"/>
        <v>0</v>
      </c>
    </row>
    <row r="88" spans="1:7" ht="78" x14ac:dyDescent="0.3">
      <c r="A88" s="39" t="s">
        <v>1395</v>
      </c>
      <c r="B88" s="12" t="s">
        <v>636</v>
      </c>
      <c r="C88" s="12" t="s">
        <v>604</v>
      </c>
      <c r="D88" s="45">
        <v>4</v>
      </c>
      <c r="E88" s="46" t="s">
        <v>428</v>
      </c>
      <c r="F88" s="43">
        <v>0</v>
      </c>
      <c r="G88" s="44">
        <f t="shared" si="1"/>
        <v>0</v>
      </c>
    </row>
    <row r="89" spans="1:7" ht="78" x14ac:dyDescent="0.3">
      <c r="A89" s="39" t="s">
        <v>1396</v>
      </c>
      <c r="B89" s="12" t="s">
        <v>638</v>
      </c>
      <c r="C89" s="12" t="s">
        <v>607</v>
      </c>
      <c r="D89" s="45">
        <v>4</v>
      </c>
      <c r="E89" s="46" t="s">
        <v>428</v>
      </c>
      <c r="F89" s="43">
        <v>0</v>
      </c>
      <c r="G89" s="44">
        <f t="shared" si="1"/>
        <v>0</v>
      </c>
    </row>
    <row r="90" spans="1:7" ht="65" x14ac:dyDescent="0.3">
      <c r="A90" s="39" t="s">
        <v>1397</v>
      </c>
      <c r="B90" s="12" t="s">
        <v>640</v>
      </c>
      <c r="C90" s="12" t="s">
        <v>610</v>
      </c>
      <c r="D90" s="45">
        <v>2</v>
      </c>
      <c r="E90" s="46" t="s">
        <v>428</v>
      </c>
      <c r="F90" s="43">
        <v>0</v>
      </c>
      <c r="G90" s="44">
        <f t="shared" si="1"/>
        <v>0</v>
      </c>
    </row>
    <row r="91" spans="1:7" ht="65" x14ac:dyDescent="0.3">
      <c r="A91" s="39" t="s">
        <v>1398</v>
      </c>
      <c r="B91" s="12" t="s">
        <v>642</v>
      </c>
      <c r="C91" s="12" t="s">
        <v>628</v>
      </c>
      <c r="D91" s="45">
        <v>1</v>
      </c>
      <c r="E91" s="46" t="s">
        <v>428</v>
      </c>
      <c r="F91" s="43">
        <v>0</v>
      </c>
      <c r="G91" s="44">
        <f t="shared" si="1"/>
        <v>0</v>
      </c>
    </row>
    <row r="92" spans="1:7" ht="260" x14ac:dyDescent="0.3">
      <c r="A92" s="39" t="s">
        <v>1399</v>
      </c>
      <c r="B92" s="12" t="s">
        <v>644</v>
      </c>
      <c r="C92" s="12" t="s">
        <v>595</v>
      </c>
      <c r="D92" s="45">
        <v>4</v>
      </c>
      <c r="E92" s="46" t="s">
        <v>428</v>
      </c>
      <c r="F92" s="43">
        <v>0</v>
      </c>
      <c r="G92" s="44">
        <f t="shared" si="1"/>
        <v>0</v>
      </c>
    </row>
    <row r="93" spans="1:7" ht="104" x14ac:dyDescent="0.3">
      <c r="A93" s="39" t="s">
        <v>1400</v>
      </c>
      <c r="B93" s="12" t="s">
        <v>646</v>
      </c>
      <c r="C93" s="4" t="s">
        <v>598</v>
      </c>
      <c r="D93" s="45">
        <v>4</v>
      </c>
      <c r="E93" s="46" t="s">
        <v>428</v>
      </c>
      <c r="F93" s="43">
        <v>0</v>
      </c>
      <c r="G93" s="44">
        <f t="shared" si="1"/>
        <v>0</v>
      </c>
    </row>
    <row r="94" spans="1:7" ht="91" x14ac:dyDescent="0.3">
      <c r="A94" s="39" t="s">
        <v>1401</v>
      </c>
      <c r="B94" s="12" t="s">
        <v>648</v>
      </c>
      <c r="C94" s="47" t="s">
        <v>601</v>
      </c>
      <c r="D94" s="45">
        <v>4</v>
      </c>
      <c r="E94" s="46" t="s">
        <v>428</v>
      </c>
      <c r="F94" s="43">
        <v>0</v>
      </c>
      <c r="G94" s="44">
        <f t="shared" si="1"/>
        <v>0</v>
      </c>
    </row>
    <row r="95" spans="1:7" ht="78" x14ac:dyDescent="0.3">
      <c r="A95" s="39" t="s">
        <v>1402</v>
      </c>
      <c r="B95" s="12" t="s">
        <v>650</v>
      </c>
      <c r="C95" s="12" t="s">
        <v>604</v>
      </c>
      <c r="D95" s="45">
        <v>4</v>
      </c>
      <c r="E95" s="46" t="s">
        <v>428</v>
      </c>
      <c r="F95" s="43">
        <v>0</v>
      </c>
      <c r="G95" s="44">
        <f t="shared" si="1"/>
        <v>0</v>
      </c>
    </row>
    <row r="96" spans="1:7" ht="78" x14ac:dyDescent="0.3">
      <c r="A96" s="39" t="s">
        <v>1403</v>
      </c>
      <c r="B96" s="12" t="s">
        <v>652</v>
      </c>
      <c r="C96" s="12" t="s">
        <v>607</v>
      </c>
      <c r="D96" s="45">
        <v>4</v>
      </c>
      <c r="E96" s="46" t="s">
        <v>428</v>
      </c>
      <c r="F96" s="43">
        <v>0</v>
      </c>
      <c r="G96" s="44">
        <f t="shared" si="1"/>
        <v>0</v>
      </c>
    </row>
    <row r="97" spans="1:7" ht="65" x14ac:dyDescent="0.3">
      <c r="A97" s="39" t="s">
        <v>1404</v>
      </c>
      <c r="B97" s="12" t="s">
        <v>654</v>
      </c>
      <c r="C97" s="12" t="s">
        <v>610</v>
      </c>
      <c r="D97" s="45">
        <v>2</v>
      </c>
      <c r="E97" s="46" t="s">
        <v>428</v>
      </c>
      <c r="F97" s="43">
        <v>0</v>
      </c>
      <c r="G97" s="44">
        <f t="shared" si="1"/>
        <v>0</v>
      </c>
    </row>
    <row r="98" spans="1:7" ht="65" x14ac:dyDescent="0.3">
      <c r="A98" s="39" t="s">
        <v>1405</v>
      </c>
      <c r="B98" s="12" t="s">
        <v>656</v>
      </c>
      <c r="C98" s="12" t="s">
        <v>628</v>
      </c>
      <c r="D98" s="45">
        <v>1</v>
      </c>
      <c r="E98" s="46" t="s">
        <v>428</v>
      </c>
      <c r="F98" s="43">
        <v>0</v>
      </c>
      <c r="G98" s="44">
        <f t="shared" si="1"/>
        <v>0</v>
      </c>
    </row>
    <row r="99" spans="1:7" ht="260" x14ac:dyDescent="0.3">
      <c r="A99" s="39" t="s">
        <v>1406</v>
      </c>
      <c r="B99" s="12" t="s">
        <v>658</v>
      </c>
      <c r="C99" s="12" t="s">
        <v>595</v>
      </c>
      <c r="D99" s="45">
        <v>4</v>
      </c>
      <c r="E99" s="46" t="s">
        <v>428</v>
      </c>
      <c r="F99" s="43">
        <v>0</v>
      </c>
      <c r="G99" s="44">
        <f t="shared" si="1"/>
        <v>0</v>
      </c>
    </row>
    <row r="100" spans="1:7" ht="104" x14ac:dyDescent="0.3">
      <c r="A100" s="39" t="s">
        <v>1407</v>
      </c>
      <c r="B100" s="12" t="s">
        <v>660</v>
      </c>
      <c r="C100" s="4" t="s">
        <v>598</v>
      </c>
      <c r="D100" s="45">
        <v>4</v>
      </c>
      <c r="E100" s="46" t="s">
        <v>428</v>
      </c>
      <c r="F100" s="43">
        <v>0</v>
      </c>
      <c r="G100" s="44">
        <f t="shared" si="1"/>
        <v>0</v>
      </c>
    </row>
    <row r="101" spans="1:7" ht="91" x14ac:dyDescent="0.3">
      <c r="A101" s="39" t="s">
        <v>1408</v>
      </c>
      <c r="B101" s="12" t="s">
        <v>662</v>
      </c>
      <c r="C101" s="47" t="s">
        <v>601</v>
      </c>
      <c r="D101" s="45">
        <v>4</v>
      </c>
      <c r="E101" s="46" t="s">
        <v>428</v>
      </c>
      <c r="F101" s="43">
        <v>0</v>
      </c>
      <c r="G101" s="44">
        <f t="shared" si="1"/>
        <v>0</v>
      </c>
    </row>
    <row r="102" spans="1:7" ht="78" x14ac:dyDescent="0.3">
      <c r="A102" s="39" t="s">
        <v>1409</v>
      </c>
      <c r="B102" s="12" t="s">
        <v>664</v>
      </c>
      <c r="C102" s="12" t="s">
        <v>604</v>
      </c>
      <c r="D102" s="45">
        <v>4</v>
      </c>
      <c r="E102" s="46" t="s">
        <v>428</v>
      </c>
      <c r="F102" s="43">
        <v>0</v>
      </c>
      <c r="G102" s="44">
        <f t="shared" si="1"/>
        <v>0</v>
      </c>
    </row>
    <row r="103" spans="1:7" ht="78" x14ac:dyDescent="0.3">
      <c r="A103" s="39" t="s">
        <v>1410</v>
      </c>
      <c r="B103" s="12" t="s">
        <v>666</v>
      </c>
      <c r="C103" s="12" t="s">
        <v>607</v>
      </c>
      <c r="D103" s="45">
        <v>4</v>
      </c>
      <c r="E103" s="46" t="s">
        <v>428</v>
      </c>
      <c r="F103" s="43">
        <v>0</v>
      </c>
      <c r="G103" s="44">
        <f t="shared" si="1"/>
        <v>0</v>
      </c>
    </row>
    <row r="104" spans="1:7" ht="65" x14ac:dyDescent="0.3">
      <c r="A104" s="39" t="s">
        <v>1411</v>
      </c>
      <c r="B104" s="12" t="s">
        <v>668</v>
      </c>
      <c r="C104" s="12" t="s">
        <v>610</v>
      </c>
      <c r="D104" s="45">
        <v>2</v>
      </c>
      <c r="E104" s="46" t="s">
        <v>428</v>
      </c>
      <c r="F104" s="43">
        <v>0</v>
      </c>
      <c r="G104" s="44">
        <f t="shared" si="1"/>
        <v>0</v>
      </c>
    </row>
    <row r="105" spans="1:7" ht="65" x14ac:dyDescent="0.3">
      <c r="A105" s="39" t="s">
        <v>1412</v>
      </c>
      <c r="B105" s="12" t="s">
        <v>670</v>
      </c>
      <c r="C105" s="12" t="s">
        <v>628</v>
      </c>
      <c r="D105" s="45">
        <v>1</v>
      </c>
      <c r="E105" s="46" t="s">
        <v>428</v>
      </c>
      <c r="F105" s="43">
        <v>0</v>
      </c>
      <c r="G105" s="44">
        <f t="shared" si="1"/>
        <v>0</v>
      </c>
    </row>
    <row r="106" spans="1:7" ht="260" x14ac:dyDescent="0.3">
      <c r="A106" s="39" t="s">
        <v>1413</v>
      </c>
      <c r="B106" s="12" t="s">
        <v>672</v>
      </c>
      <c r="C106" s="12" t="s">
        <v>595</v>
      </c>
      <c r="D106" s="45">
        <v>4</v>
      </c>
      <c r="E106" s="46" t="s">
        <v>428</v>
      </c>
      <c r="F106" s="43">
        <v>0</v>
      </c>
      <c r="G106" s="44">
        <f t="shared" si="1"/>
        <v>0</v>
      </c>
    </row>
    <row r="107" spans="1:7" ht="104" x14ac:dyDescent="0.3">
      <c r="A107" s="39" t="s">
        <v>1414</v>
      </c>
      <c r="B107" s="12" t="s">
        <v>674</v>
      </c>
      <c r="C107" s="4" t="s">
        <v>598</v>
      </c>
      <c r="D107" s="45">
        <v>4</v>
      </c>
      <c r="E107" s="46" t="s">
        <v>428</v>
      </c>
      <c r="F107" s="43">
        <v>0</v>
      </c>
      <c r="G107" s="44">
        <f t="shared" si="1"/>
        <v>0</v>
      </c>
    </row>
    <row r="108" spans="1:7" ht="91" x14ac:dyDescent="0.3">
      <c r="A108" s="39" t="s">
        <v>1415</v>
      </c>
      <c r="B108" s="12" t="s">
        <v>676</v>
      </c>
      <c r="C108" s="47" t="s">
        <v>601</v>
      </c>
      <c r="D108" s="45">
        <v>4</v>
      </c>
      <c r="E108" s="46" t="s">
        <v>428</v>
      </c>
      <c r="F108" s="43">
        <v>0</v>
      </c>
      <c r="G108" s="44">
        <f t="shared" si="1"/>
        <v>0</v>
      </c>
    </row>
    <row r="109" spans="1:7" ht="78" x14ac:dyDescent="0.3">
      <c r="A109" s="39" t="s">
        <v>1416</v>
      </c>
      <c r="B109" s="12" t="s">
        <v>678</v>
      </c>
      <c r="C109" s="12" t="s">
        <v>604</v>
      </c>
      <c r="D109" s="45">
        <v>4</v>
      </c>
      <c r="E109" s="46" t="s">
        <v>428</v>
      </c>
      <c r="F109" s="43">
        <v>0</v>
      </c>
      <c r="G109" s="44">
        <f t="shared" si="1"/>
        <v>0</v>
      </c>
    </row>
    <row r="110" spans="1:7" ht="78" x14ac:dyDescent="0.3">
      <c r="A110" s="39" t="s">
        <v>1417</v>
      </c>
      <c r="B110" s="12" t="s">
        <v>680</v>
      </c>
      <c r="C110" s="12" t="s">
        <v>607</v>
      </c>
      <c r="D110" s="45">
        <v>4</v>
      </c>
      <c r="E110" s="46" t="s">
        <v>428</v>
      </c>
      <c r="F110" s="43">
        <v>0</v>
      </c>
      <c r="G110" s="44">
        <f t="shared" si="1"/>
        <v>0</v>
      </c>
    </row>
    <row r="111" spans="1:7" ht="65" x14ac:dyDescent="0.3">
      <c r="A111" s="39" t="s">
        <v>1418</v>
      </c>
      <c r="B111" s="12" t="s">
        <v>682</v>
      </c>
      <c r="C111" s="12" t="s">
        <v>610</v>
      </c>
      <c r="D111" s="45">
        <v>2</v>
      </c>
      <c r="E111" s="46" t="s">
        <v>428</v>
      </c>
      <c r="F111" s="43">
        <v>0</v>
      </c>
      <c r="G111" s="44">
        <f t="shared" si="1"/>
        <v>0</v>
      </c>
    </row>
    <row r="112" spans="1:7" ht="65" x14ac:dyDescent="0.3">
      <c r="A112" s="39" t="s">
        <v>1419</v>
      </c>
      <c r="B112" s="12" t="s">
        <v>684</v>
      </c>
      <c r="C112" s="12" t="s">
        <v>628</v>
      </c>
      <c r="D112" s="45">
        <v>1</v>
      </c>
      <c r="E112" s="46" t="s">
        <v>428</v>
      </c>
      <c r="F112" s="43">
        <v>0</v>
      </c>
      <c r="G112" s="44">
        <f t="shared" si="1"/>
        <v>0</v>
      </c>
    </row>
    <row r="113" spans="1:7" ht="117" x14ac:dyDescent="0.3">
      <c r="A113" s="39" t="s">
        <v>1420</v>
      </c>
      <c r="B113" s="12" t="s">
        <v>686</v>
      </c>
      <c r="C113" s="12" t="s">
        <v>687</v>
      </c>
      <c r="D113" s="45">
        <v>12</v>
      </c>
      <c r="E113" s="46" t="s">
        <v>428</v>
      </c>
      <c r="F113" s="43">
        <v>0</v>
      </c>
      <c r="G113" s="44">
        <f t="shared" si="1"/>
        <v>0</v>
      </c>
    </row>
    <row r="114" spans="1:7" ht="52" x14ac:dyDescent="0.3">
      <c r="A114" s="39" t="s">
        <v>1421</v>
      </c>
      <c r="B114" s="12" t="s">
        <v>689</v>
      </c>
      <c r="C114" s="40" t="s">
        <v>690</v>
      </c>
      <c r="D114" s="45">
        <v>10</v>
      </c>
      <c r="E114" s="46" t="s">
        <v>428</v>
      </c>
      <c r="F114" s="43">
        <v>0</v>
      </c>
      <c r="G114" s="44">
        <f t="shared" si="1"/>
        <v>0</v>
      </c>
    </row>
    <row r="115" spans="1:7" ht="65" x14ac:dyDescent="0.3">
      <c r="A115" s="39" t="s">
        <v>1422</v>
      </c>
      <c r="B115" s="12" t="s">
        <v>692</v>
      </c>
      <c r="C115" s="12" t="s">
        <v>693</v>
      </c>
      <c r="D115" s="45">
        <v>4</v>
      </c>
      <c r="E115" s="46" t="s">
        <v>428</v>
      </c>
      <c r="F115" s="43">
        <v>0</v>
      </c>
      <c r="G115" s="44">
        <f t="shared" si="1"/>
        <v>0</v>
      </c>
    </row>
    <row r="116" spans="1:7" ht="91" x14ac:dyDescent="0.3">
      <c r="A116" s="39" t="s">
        <v>1423</v>
      </c>
      <c r="B116" s="12" t="s">
        <v>695</v>
      </c>
      <c r="C116" s="12" t="s">
        <v>696</v>
      </c>
      <c r="D116" s="12">
        <v>6</v>
      </c>
      <c r="E116" s="11" t="s">
        <v>428</v>
      </c>
      <c r="F116" s="43">
        <v>0</v>
      </c>
      <c r="G116" s="44">
        <f t="shared" si="1"/>
        <v>0</v>
      </c>
    </row>
    <row r="117" spans="1:7" ht="91" x14ac:dyDescent="0.3">
      <c r="A117" s="39" t="s">
        <v>1424</v>
      </c>
      <c r="B117" s="12" t="s">
        <v>698</v>
      </c>
      <c r="C117" s="12" t="s">
        <v>699</v>
      </c>
      <c r="D117" s="12">
        <v>3</v>
      </c>
      <c r="E117" s="48" t="s">
        <v>428</v>
      </c>
      <c r="F117" s="43">
        <v>0</v>
      </c>
      <c r="G117" s="44">
        <f t="shared" si="1"/>
        <v>0</v>
      </c>
    </row>
    <row r="118" spans="1:7" ht="78" x14ac:dyDescent="0.3">
      <c r="A118" s="39" t="s">
        <v>1425</v>
      </c>
      <c r="B118" s="12" t="s">
        <v>701</v>
      </c>
      <c r="C118" s="12" t="s">
        <v>702</v>
      </c>
      <c r="D118" s="12">
        <v>2</v>
      </c>
      <c r="E118" s="48" t="s">
        <v>428</v>
      </c>
      <c r="F118" s="43">
        <v>0</v>
      </c>
      <c r="G118" s="44">
        <f t="shared" si="1"/>
        <v>0</v>
      </c>
    </row>
    <row r="119" spans="1:7" ht="78" x14ac:dyDescent="0.3">
      <c r="A119" s="39" t="s">
        <v>1426</v>
      </c>
      <c r="B119" s="12" t="s">
        <v>704</v>
      </c>
      <c r="C119" s="12" t="s">
        <v>705</v>
      </c>
      <c r="D119" s="45">
        <v>1</v>
      </c>
      <c r="E119" s="46" t="s">
        <v>428</v>
      </c>
      <c r="F119" s="43">
        <v>0</v>
      </c>
      <c r="G119" s="44">
        <f t="shared" si="1"/>
        <v>0</v>
      </c>
    </row>
    <row r="120" spans="1:7" ht="117" x14ac:dyDescent="0.3">
      <c r="A120" s="39" t="s">
        <v>1427</v>
      </c>
      <c r="B120" s="12" t="s">
        <v>707</v>
      </c>
      <c r="C120" s="12" t="s">
        <v>687</v>
      </c>
      <c r="D120" s="45">
        <v>12</v>
      </c>
      <c r="E120" s="46" t="s">
        <v>428</v>
      </c>
      <c r="F120" s="43">
        <v>0</v>
      </c>
      <c r="G120" s="44">
        <f t="shared" si="1"/>
        <v>0</v>
      </c>
    </row>
    <row r="121" spans="1:7" ht="52" x14ac:dyDescent="0.3">
      <c r="A121" s="39" t="s">
        <v>1428</v>
      </c>
      <c r="B121" s="40" t="s">
        <v>709</v>
      </c>
      <c r="C121" s="12" t="s">
        <v>690</v>
      </c>
      <c r="D121" s="45">
        <v>10</v>
      </c>
      <c r="E121" s="46" t="s">
        <v>428</v>
      </c>
      <c r="F121" s="43">
        <v>0</v>
      </c>
      <c r="G121" s="44">
        <f t="shared" si="1"/>
        <v>0</v>
      </c>
    </row>
    <row r="122" spans="1:7" ht="78" x14ac:dyDescent="0.3">
      <c r="A122" s="39" t="s">
        <v>1429</v>
      </c>
      <c r="B122" s="12" t="s">
        <v>711</v>
      </c>
      <c r="C122" s="12" t="s">
        <v>712</v>
      </c>
      <c r="D122" s="45">
        <v>4</v>
      </c>
      <c r="E122" s="46" t="s">
        <v>428</v>
      </c>
      <c r="F122" s="43">
        <v>0</v>
      </c>
      <c r="G122" s="44">
        <f t="shared" si="1"/>
        <v>0</v>
      </c>
    </row>
    <row r="123" spans="1:7" ht="91" x14ac:dyDescent="0.3">
      <c r="A123" s="39" t="s">
        <v>1430</v>
      </c>
      <c r="B123" s="12" t="s">
        <v>714</v>
      </c>
      <c r="C123" s="12" t="s">
        <v>715</v>
      </c>
      <c r="D123" s="45">
        <v>6</v>
      </c>
      <c r="E123" s="46" t="s">
        <v>428</v>
      </c>
      <c r="F123" s="43">
        <v>0</v>
      </c>
      <c r="G123" s="44">
        <f t="shared" si="1"/>
        <v>0</v>
      </c>
    </row>
    <row r="124" spans="1:7" ht="91" x14ac:dyDescent="0.3">
      <c r="A124" s="39" t="s">
        <v>1431</v>
      </c>
      <c r="B124" s="12" t="s">
        <v>717</v>
      </c>
      <c r="C124" s="12" t="s">
        <v>718</v>
      </c>
      <c r="D124" s="45">
        <v>3</v>
      </c>
      <c r="E124" s="46" t="s">
        <v>428</v>
      </c>
      <c r="F124" s="43">
        <v>0</v>
      </c>
      <c r="G124" s="44">
        <f t="shared" si="1"/>
        <v>0</v>
      </c>
    </row>
    <row r="125" spans="1:7" ht="78" x14ac:dyDescent="0.3">
      <c r="A125" s="39" t="s">
        <v>1432</v>
      </c>
      <c r="B125" s="12" t="s">
        <v>720</v>
      </c>
      <c r="C125" s="12" t="s">
        <v>721</v>
      </c>
      <c r="D125" s="45">
        <v>2</v>
      </c>
      <c r="E125" s="46" t="s">
        <v>428</v>
      </c>
      <c r="F125" s="43">
        <v>0</v>
      </c>
      <c r="G125" s="44">
        <f t="shared" si="1"/>
        <v>0</v>
      </c>
    </row>
    <row r="126" spans="1:7" ht="91" x14ac:dyDescent="0.3">
      <c r="A126" s="39" t="s">
        <v>1433</v>
      </c>
      <c r="B126" s="12" t="s">
        <v>723</v>
      </c>
      <c r="C126" s="12" t="s">
        <v>724</v>
      </c>
      <c r="D126" s="45">
        <v>1</v>
      </c>
      <c r="E126" s="46" t="s">
        <v>428</v>
      </c>
      <c r="F126" s="43">
        <v>0</v>
      </c>
      <c r="G126" s="44">
        <f t="shared" si="1"/>
        <v>0</v>
      </c>
    </row>
    <row r="127" spans="1:7" ht="221" x14ac:dyDescent="0.3">
      <c r="A127" s="39" t="s">
        <v>1434</v>
      </c>
      <c r="B127" s="12" t="s">
        <v>726</v>
      </c>
      <c r="C127" s="12" t="s">
        <v>727</v>
      </c>
      <c r="D127" s="45">
        <v>12</v>
      </c>
      <c r="E127" s="46" t="s">
        <v>428</v>
      </c>
      <c r="F127" s="43">
        <v>0</v>
      </c>
      <c r="G127" s="44">
        <f t="shared" si="1"/>
        <v>0</v>
      </c>
    </row>
    <row r="128" spans="1:7" ht="117" x14ac:dyDescent="0.3">
      <c r="A128" s="39" t="s">
        <v>1435</v>
      </c>
      <c r="B128" s="12" t="s">
        <v>729</v>
      </c>
      <c r="C128" s="12" t="s">
        <v>730</v>
      </c>
      <c r="D128" s="45">
        <v>12</v>
      </c>
      <c r="E128" s="46" t="s">
        <v>428</v>
      </c>
      <c r="F128" s="43">
        <v>0</v>
      </c>
      <c r="G128" s="44">
        <f t="shared" si="1"/>
        <v>0</v>
      </c>
    </row>
    <row r="129" spans="1:7" ht="52" x14ac:dyDescent="0.3">
      <c r="A129" s="39" t="s">
        <v>1436</v>
      </c>
      <c r="B129" s="12" t="s">
        <v>732</v>
      </c>
      <c r="C129" s="12" t="s">
        <v>733</v>
      </c>
      <c r="D129" s="45">
        <v>12</v>
      </c>
      <c r="E129" s="46" t="s">
        <v>428</v>
      </c>
      <c r="F129" s="43">
        <v>0</v>
      </c>
      <c r="G129" s="44">
        <f t="shared" si="1"/>
        <v>0</v>
      </c>
    </row>
    <row r="130" spans="1:7" ht="52.5" customHeight="1" x14ac:dyDescent="0.3">
      <c r="A130" s="39" t="s">
        <v>1437</v>
      </c>
      <c r="B130" s="12" t="s">
        <v>735</v>
      </c>
      <c r="C130" s="12" t="s">
        <v>693</v>
      </c>
      <c r="D130" s="45">
        <v>6</v>
      </c>
      <c r="E130" s="46" t="s">
        <v>428</v>
      </c>
      <c r="F130" s="43">
        <v>0</v>
      </c>
      <c r="G130" s="44">
        <f t="shared" si="1"/>
        <v>0</v>
      </c>
    </row>
    <row r="131" spans="1:7" ht="91" x14ac:dyDescent="0.3">
      <c r="A131" s="39" t="s">
        <v>1438</v>
      </c>
      <c r="B131" s="12" t="s">
        <v>737</v>
      </c>
      <c r="C131" s="12" t="s">
        <v>696</v>
      </c>
      <c r="D131" s="45">
        <v>4</v>
      </c>
      <c r="E131" s="46" t="s">
        <v>428</v>
      </c>
      <c r="F131" s="43">
        <v>0</v>
      </c>
      <c r="G131" s="44">
        <f t="shared" si="1"/>
        <v>0</v>
      </c>
    </row>
    <row r="132" spans="1:7" ht="91" x14ac:dyDescent="0.3">
      <c r="A132" s="39" t="s">
        <v>1439</v>
      </c>
      <c r="B132" s="12" t="s">
        <v>739</v>
      </c>
      <c r="C132" s="12" t="s">
        <v>740</v>
      </c>
      <c r="D132" s="45">
        <v>6</v>
      </c>
      <c r="E132" s="46" t="s">
        <v>428</v>
      </c>
      <c r="F132" s="43">
        <v>0</v>
      </c>
      <c r="G132" s="44">
        <f t="shared" si="1"/>
        <v>0</v>
      </c>
    </row>
    <row r="133" spans="1:7" ht="78" x14ac:dyDescent="0.3">
      <c r="A133" s="39" t="s">
        <v>1440</v>
      </c>
      <c r="B133" s="12" t="s">
        <v>742</v>
      </c>
      <c r="C133" s="12" t="s">
        <v>743</v>
      </c>
      <c r="D133" s="45">
        <v>2</v>
      </c>
      <c r="E133" s="46" t="s">
        <v>428</v>
      </c>
      <c r="F133" s="43">
        <v>0</v>
      </c>
      <c r="G133" s="44">
        <f t="shared" si="1"/>
        <v>0</v>
      </c>
    </row>
    <row r="134" spans="1:7" ht="65.25" customHeight="1" x14ac:dyDescent="0.3">
      <c r="A134" s="39" t="s">
        <v>1441</v>
      </c>
      <c r="B134" s="12" t="s">
        <v>745</v>
      </c>
      <c r="C134" s="12" t="s">
        <v>746</v>
      </c>
      <c r="D134" s="45">
        <v>1</v>
      </c>
      <c r="E134" s="46" t="s">
        <v>428</v>
      </c>
      <c r="F134" s="43">
        <v>0</v>
      </c>
      <c r="G134" s="44">
        <f t="shared" si="1"/>
        <v>0</v>
      </c>
    </row>
    <row r="135" spans="1:7" ht="109.5" customHeight="1" x14ac:dyDescent="0.3">
      <c r="A135" s="39" t="s">
        <v>1442</v>
      </c>
      <c r="B135" s="4" t="s">
        <v>748</v>
      </c>
      <c r="C135" s="4" t="s">
        <v>749</v>
      </c>
      <c r="D135" s="45">
        <v>12</v>
      </c>
      <c r="E135" s="46" t="s">
        <v>428</v>
      </c>
      <c r="F135" s="43">
        <v>0</v>
      </c>
      <c r="G135" s="44">
        <f t="shared" si="1"/>
        <v>0</v>
      </c>
    </row>
    <row r="136" spans="1:7" ht="109.5" customHeight="1" x14ac:dyDescent="0.3">
      <c r="A136" s="39" t="s">
        <v>1443</v>
      </c>
      <c r="B136" s="4" t="s">
        <v>751</v>
      </c>
      <c r="C136" s="4" t="s">
        <v>752</v>
      </c>
      <c r="D136" s="45">
        <f>G136-F136</f>
        <v>0</v>
      </c>
      <c r="E136" s="46" t="s">
        <v>515</v>
      </c>
      <c r="F136" s="43">
        <v>0</v>
      </c>
      <c r="G136" s="44">
        <v>0</v>
      </c>
    </row>
    <row r="137" spans="1:7" ht="109.5" customHeight="1" x14ac:dyDescent="0.3">
      <c r="A137" s="39" t="s">
        <v>1444</v>
      </c>
      <c r="B137" s="4" t="s">
        <v>754</v>
      </c>
      <c r="C137" s="4" t="s">
        <v>755</v>
      </c>
      <c r="D137" s="45">
        <f>G137-F137</f>
        <v>0</v>
      </c>
      <c r="E137" s="46" t="s">
        <v>428</v>
      </c>
      <c r="F137" s="43">
        <v>0</v>
      </c>
      <c r="G137" s="44">
        <v>0</v>
      </c>
    </row>
    <row r="138" spans="1:7" ht="109.5" customHeight="1" x14ac:dyDescent="0.3">
      <c r="A138" s="85" t="s">
        <v>1445</v>
      </c>
      <c r="B138" s="86" t="s">
        <v>757</v>
      </c>
      <c r="C138" s="87" t="s">
        <v>758</v>
      </c>
      <c r="D138" s="88">
        <v>180000</v>
      </c>
      <c r="E138" s="89" t="s">
        <v>421</v>
      </c>
      <c r="F138" s="90">
        <v>0</v>
      </c>
      <c r="G138" s="91">
        <v>0</v>
      </c>
    </row>
    <row r="139" spans="1:7" ht="15" customHeight="1" x14ac:dyDescent="0.3">
      <c r="A139" s="226" t="s">
        <v>1446</v>
      </c>
      <c r="B139" s="227"/>
      <c r="C139" s="227"/>
      <c r="D139" s="78"/>
      <c r="E139" s="78"/>
      <c r="F139" s="80"/>
      <c r="G139" s="20">
        <f>SUM(G11:G138)</f>
        <v>0</v>
      </c>
    </row>
    <row r="141" spans="1:7" ht="14.25" customHeight="1" x14ac:dyDescent="0.3"/>
    <row r="142" spans="1:7" ht="15" customHeight="1" x14ac:dyDescent="0.3"/>
    <row r="143" spans="1:7" ht="15" customHeight="1" x14ac:dyDescent="0.3"/>
    <row r="144" spans="1:7" ht="15" customHeight="1" x14ac:dyDescent="0.3"/>
    <row r="145" ht="15" customHeight="1" x14ac:dyDescent="0.3"/>
    <row r="146" ht="15" customHeight="1" x14ac:dyDescent="0.3"/>
    <row r="147" ht="15" customHeight="1" x14ac:dyDescent="0.3"/>
    <row r="148" ht="15" customHeight="1" x14ac:dyDescent="0.3"/>
    <row r="149" ht="15" customHeight="1" x14ac:dyDescent="0.3"/>
    <row r="150" ht="15" customHeight="1" x14ac:dyDescent="0.3"/>
    <row r="151" ht="15" customHeight="1" x14ac:dyDescent="0.3"/>
    <row r="152" ht="15" customHeight="1" x14ac:dyDescent="0.3"/>
    <row r="153" ht="15" customHeight="1" x14ac:dyDescent="0.3"/>
    <row r="154" ht="15" customHeight="1" x14ac:dyDescent="0.3"/>
    <row r="155" ht="15" customHeight="1" x14ac:dyDescent="0.3"/>
    <row r="156" ht="15" customHeight="1" x14ac:dyDescent="0.3"/>
    <row r="157" ht="15" customHeight="1" x14ac:dyDescent="0.3"/>
    <row r="158" ht="15" customHeight="1" x14ac:dyDescent="0.3"/>
    <row r="159" ht="15" customHeight="1" x14ac:dyDescent="0.3"/>
    <row r="160" ht="15" customHeight="1" x14ac:dyDescent="0.3"/>
  </sheetData>
  <mergeCells count="5">
    <mergeCell ref="A139:C139"/>
    <mergeCell ref="A5:C5"/>
    <mergeCell ref="A6:C6"/>
    <mergeCell ref="A7:C7"/>
    <mergeCell ref="A8:C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79998168889431442"/>
  </sheetPr>
  <dimension ref="A1:J366"/>
  <sheetViews>
    <sheetView workbookViewId="0">
      <selection activeCell="D363" sqref="D363"/>
    </sheetView>
  </sheetViews>
  <sheetFormatPr defaultColWidth="9.1796875" defaultRowHeight="13" x14ac:dyDescent="0.3"/>
  <cols>
    <col min="1" max="1" width="9.1796875" style="49"/>
    <col min="2" max="3" width="10.7265625" style="49" customWidth="1"/>
    <col min="4" max="4" width="62" style="18" customWidth="1"/>
    <col min="5" max="6" width="15.7265625" style="49" customWidth="1"/>
    <col min="7" max="8" width="15.7265625" style="74" customWidth="1"/>
    <col min="9" max="10" width="10.7265625" style="18" customWidth="1"/>
    <col min="11" max="11" width="9.81640625" style="18" customWidth="1"/>
    <col min="12" max="16384" width="9.1796875" style="18"/>
  </cols>
  <sheetData>
    <row r="1" spans="1:10" ht="15.75" customHeight="1" x14ac:dyDescent="0.3">
      <c r="A1" s="21"/>
      <c r="B1" s="22"/>
      <c r="C1" s="22"/>
      <c r="D1" s="79" t="s">
        <v>0</v>
      </c>
      <c r="E1" s="22"/>
      <c r="F1" s="22"/>
      <c r="G1" s="71"/>
      <c r="H1" s="75"/>
    </row>
    <row r="2" spans="1:10" ht="15.75" customHeight="1" x14ac:dyDescent="0.3">
      <c r="A2" s="26"/>
      <c r="B2" s="17"/>
      <c r="C2" s="17"/>
      <c r="D2" s="142" t="s">
        <v>1</v>
      </c>
      <c r="E2" s="17"/>
      <c r="F2" s="17"/>
      <c r="G2" s="72"/>
      <c r="H2" s="76"/>
    </row>
    <row r="3" spans="1:10" ht="15.75" customHeight="1" x14ac:dyDescent="0.3">
      <c r="A3" s="26"/>
      <c r="B3" s="17"/>
      <c r="C3" s="17"/>
      <c r="D3" s="143" t="s">
        <v>2</v>
      </c>
      <c r="E3" s="17"/>
      <c r="F3" s="17"/>
      <c r="G3" s="72"/>
      <c r="H3" s="76"/>
    </row>
    <row r="4" spans="1:10" ht="15.75" customHeight="1" x14ac:dyDescent="0.3">
      <c r="A4" s="26"/>
      <c r="B4" s="17"/>
      <c r="C4" s="17"/>
      <c r="D4" s="142" t="s">
        <v>3</v>
      </c>
      <c r="E4" s="17"/>
      <c r="F4" s="17"/>
      <c r="G4" s="72"/>
      <c r="H4" s="76"/>
    </row>
    <row r="5" spans="1:10" ht="15.75" customHeight="1" x14ac:dyDescent="0.3">
      <c r="A5" s="51" t="s">
        <v>18</v>
      </c>
      <c r="B5" s="52"/>
      <c r="C5" s="52"/>
      <c r="D5" s="52"/>
      <c r="E5" s="17"/>
      <c r="F5" s="17"/>
      <c r="G5" s="72"/>
      <c r="H5" s="76"/>
    </row>
    <row r="6" spans="1:10" ht="15.75" customHeight="1" x14ac:dyDescent="0.3">
      <c r="A6" s="51" t="s">
        <v>19</v>
      </c>
      <c r="B6" s="52"/>
      <c r="C6" s="52"/>
      <c r="D6" s="52"/>
      <c r="E6" s="17"/>
      <c r="F6" s="17"/>
      <c r="G6" s="72"/>
      <c r="H6" s="76"/>
    </row>
    <row r="7" spans="1:10" ht="15.75" customHeight="1" x14ac:dyDescent="0.3">
      <c r="A7" s="53" t="s">
        <v>1447</v>
      </c>
      <c r="B7" s="54"/>
      <c r="C7" s="54"/>
      <c r="D7" s="54"/>
      <c r="E7" s="30"/>
      <c r="F7" s="30"/>
      <c r="G7" s="73"/>
      <c r="H7" s="77"/>
    </row>
    <row r="8" spans="1:10" ht="53.25" customHeight="1" x14ac:dyDescent="0.3">
      <c r="A8" s="145" t="s">
        <v>21</v>
      </c>
      <c r="B8" s="145" t="s">
        <v>22</v>
      </c>
      <c r="C8" s="145" t="s">
        <v>23</v>
      </c>
      <c r="D8" s="55" t="s">
        <v>24</v>
      </c>
      <c r="E8" s="38" t="s">
        <v>25</v>
      </c>
      <c r="F8" s="38" t="s">
        <v>26</v>
      </c>
      <c r="G8" s="38" t="s">
        <v>27</v>
      </c>
      <c r="H8" s="38" t="s">
        <v>7</v>
      </c>
    </row>
    <row r="9" spans="1:10" x14ac:dyDescent="0.3">
      <c r="A9" s="216" t="s">
        <v>28</v>
      </c>
      <c r="B9" s="217"/>
      <c r="C9" s="217"/>
      <c r="D9" s="218"/>
      <c r="E9" s="38"/>
      <c r="F9" s="38"/>
      <c r="G9" s="38"/>
      <c r="H9" s="38"/>
    </row>
    <row r="10" spans="1:10" x14ac:dyDescent="0.3">
      <c r="A10" s="13" t="s">
        <v>1448</v>
      </c>
      <c r="B10" s="13"/>
      <c r="C10" s="13" t="s">
        <v>14</v>
      </c>
      <c r="D10" s="15" t="s">
        <v>30</v>
      </c>
      <c r="E10" s="56"/>
      <c r="F10" s="56"/>
      <c r="G10" s="63"/>
      <c r="H10" s="63"/>
      <c r="J10" s="57" t="s">
        <v>14</v>
      </c>
    </row>
    <row r="11" spans="1:10" x14ac:dyDescent="0.3">
      <c r="A11" s="13" t="s">
        <v>1449</v>
      </c>
      <c r="B11" s="13">
        <v>1503050</v>
      </c>
      <c r="C11" s="13"/>
      <c r="D11" s="58" t="s">
        <v>32</v>
      </c>
      <c r="E11" s="56"/>
      <c r="F11" s="56"/>
      <c r="G11" s="63"/>
      <c r="H11" s="63"/>
      <c r="J11" s="57" t="s">
        <v>14</v>
      </c>
    </row>
    <row r="12" spans="1:10" ht="12.75" customHeight="1" x14ac:dyDescent="0.3">
      <c r="A12" s="8" t="s">
        <v>1450</v>
      </c>
      <c r="B12" s="8">
        <v>1503050</v>
      </c>
      <c r="C12" s="8">
        <v>3.1</v>
      </c>
      <c r="D12" s="9" t="s">
        <v>2869</v>
      </c>
      <c r="E12" s="59">
        <v>12</v>
      </c>
      <c r="F12" s="56" t="s">
        <v>34</v>
      </c>
      <c r="G12" s="63">
        <f>H12/E12</f>
        <v>0</v>
      </c>
      <c r="H12" s="63">
        <v>0</v>
      </c>
      <c r="J12" s="57" t="s">
        <v>14</v>
      </c>
    </row>
    <row r="13" spans="1:10" x14ac:dyDescent="0.3">
      <c r="A13" s="8" t="s">
        <v>1451</v>
      </c>
      <c r="B13" s="8">
        <v>1503050</v>
      </c>
      <c r="C13" s="8">
        <v>3.1</v>
      </c>
      <c r="D13" s="9" t="s">
        <v>36</v>
      </c>
      <c r="E13" s="59">
        <v>12</v>
      </c>
      <c r="F13" s="56" t="s">
        <v>34</v>
      </c>
      <c r="G13" s="63">
        <f t="shared" ref="G13:G19" si="0">H13/E13</f>
        <v>0</v>
      </c>
      <c r="H13" s="63">
        <v>0</v>
      </c>
      <c r="J13" s="57"/>
    </row>
    <row r="14" spans="1:10" x14ac:dyDescent="0.3">
      <c r="A14" s="8" t="s">
        <v>1452</v>
      </c>
      <c r="B14" s="8">
        <v>1503050</v>
      </c>
      <c r="C14" s="8">
        <v>3.1</v>
      </c>
      <c r="D14" s="9" t="s">
        <v>38</v>
      </c>
      <c r="E14" s="59">
        <v>12</v>
      </c>
      <c r="F14" s="56" t="s">
        <v>34</v>
      </c>
      <c r="G14" s="63">
        <f t="shared" si="0"/>
        <v>0</v>
      </c>
      <c r="H14" s="63">
        <v>0</v>
      </c>
      <c r="J14" s="57"/>
    </row>
    <row r="15" spans="1:10" x14ac:dyDescent="0.3">
      <c r="A15" s="8" t="s">
        <v>1453</v>
      </c>
      <c r="B15" s="8">
        <v>1503050</v>
      </c>
      <c r="C15" s="8">
        <v>3.2</v>
      </c>
      <c r="D15" s="9" t="s">
        <v>40</v>
      </c>
      <c r="E15" s="59">
        <v>12</v>
      </c>
      <c r="F15" s="56" t="s">
        <v>34</v>
      </c>
      <c r="G15" s="63">
        <f t="shared" si="0"/>
        <v>0</v>
      </c>
      <c r="H15" s="63">
        <v>0</v>
      </c>
      <c r="J15" s="57" t="s">
        <v>14</v>
      </c>
    </row>
    <row r="16" spans="1:10" x14ac:dyDescent="0.3">
      <c r="A16" s="8" t="s">
        <v>1454</v>
      </c>
      <c r="B16" s="8">
        <v>1503050</v>
      </c>
      <c r="C16" s="8">
        <v>3.3</v>
      </c>
      <c r="D16" s="9" t="s">
        <v>2870</v>
      </c>
      <c r="E16" s="59">
        <v>12</v>
      </c>
      <c r="F16" s="56" t="s">
        <v>34</v>
      </c>
      <c r="G16" s="63">
        <f t="shared" si="0"/>
        <v>0</v>
      </c>
      <c r="H16" s="63">
        <v>0</v>
      </c>
      <c r="J16" s="57" t="s">
        <v>14</v>
      </c>
    </row>
    <row r="17" spans="1:10" x14ac:dyDescent="0.3">
      <c r="A17" s="8" t="s">
        <v>1455</v>
      </c>
      <c r="B17" s="8">
        <v>1503050</v>
      </c>
      <c r="C17" s="8">
        <v>3.5</v>
      </c>
      <c r="D17" s="9" t="s">
        <v>2871</v>
      </c>
      <c r="E17" s="59">
        <v>12</v>
      </c>
      <c r="F17" s="56" t="s">
        <v>34</v>
      </c>
      <c r="G17" s="63">
        <f t="shared" si="0"/>
        <v>0</v>
      </c>
      <c r="H17" s="63">
        <v>0</v>
      </c>
      <c r="J17" s="57" t="s">
        <v>14</v>
      </c>
    </row>
    <row r="18" spans="1:10" x14ac:dyDescent="0.3">
      <c r="A18" s="8" t="s">
        <v>1456</v>
      </c>
      <c r="B18" s="8">
        <v>1503050</v>
      </c>
      <c r="C18" s="8">
        <v>3.6</v>
      </c>
      <c r="D18" s="9" t="s">
        <v>44</v>
      </c>
      <c r="E18" s="59">
        <v>12</v>
      </c>
      <c r="F18" s="56" t="s">
        <v>34</v>
      </c>
      <c r="G18" s="63">
        <f t="shared" si="0"/>
        <v>0</v>
      </c>
      <c r="H18" s="63">
        <v>0</v>
      </c>
      <c r="J18" s="57"/>
    </row>
    <row r="19" spans="1:10" x14ac:dyDescent="0.3">
      <c r="A19" s="49" t="s">
        <v>1457</v>
      </c>
      <c r="B19" s="8">
        <v>1503050</v>
      </c>
      <c r="C19" s="8">
        <v>3.7</v>
      </c>
      <c r="D19" s="9" t="s">
        <v>46</v>
      </c>
      <c r="E19" s="59">
        <v>12</v>
      </c>
      <c r="F19" s="56" t="s">
        <v>34</v>
      </c>
      <c r="G19" s="63">
        <f t="shared" si="0"/>
        <v>0</v>
      </c>
      <c r="H19" s="63">
        <v>0</v>
      </c>
      <c r="J19" s="57" t="s">
        <v>14</v>
      </c>
    </row>
    <row r="20" spans="1:10" x14ac:dyDescent="0.3">
      <c r="A20" s="13"/>
      <c r="B20" s="13"/>
      <c r="C20" s="13"/>
      <c r="D20" s="144" t="s">
        <v>1458</v>
      </c>
      <c r="E20" s="59">
        <v>12</v>
      </c>
      <c r="F20" s="56" t="s">
        <v>34</v>
      </c>
      <c r="G20" s="63">
        <f>SUM(G12:G19)</f>
        <v>0</v>
      </c>
      <c r="H20" s="63">
        <f>SUM(H12:H19)</f>
        <v>0</v>
      </c>
      <c r="J20" s="57"/>
    </row>
    <row r="21" spans="1:10" x14ac:dyDescent="0.3">
      <c r="A21" s="13" t="s">
        <v>1459</v>
      </c>
      <c r="B21" s="13">
        <v>1503050</v>
      </c>
      <c r="C21" s="8"/>
      <c r="D21" s="58" t="s">
        <v>49</v>
      </c>
      <c r="E21" s="56"/>
      <c r="F21" s="56"/>
      <c r="G21" s="63"/>
      <c r="H21" s="63"/>
      <c r="J21" s="57"/>
    </row>
    <row r="22" spans="1:10" x14ac:dyDescent="0.3">
      <c r="A22" s="8" t="s">
        <v>1460</v>
      </c>
      <c r="B22" s="8">
        <v>1503050</v>
      </c>
      <c r="C22" s="8">
        <v>3.1</v>
      </c>
      <c r="D22" s="9" t="s">
        <v>51</v>
      </c>
      <c r="E22" s="8">
        <v>12</v>
      </c>
      <c r="F22" s="8" t="s">
        <v>34</v>
      </c>
      <c r="G22" s="20">
        <v>0</v>
      </c>
      <c r="H22" s="20">
        <v>0</v>
      </c>
      <c r="J22" s="57"/>
    </row>
    <row r="23" spans="1:10" x14ac:dyDescent="0.3">
      <c r="A23" s="8" t="s">
        <v>1461</v>
      </c>
      <c r="B23" s="8">
        <v>1503050</v>
      </c>
      <c r="C23" s="8">
        <v>3.1</v>
      </c>
      <c r="D23" s="9" t="s">
        <v>2872</v>
      </c>
      <c r="E23" s="59">
        <v>12</v>
      </c>
      <c r="F23" s="56" t="s">
        <v>34</v>
      </c>
      <c r="G23" s="63">
        <f>H23/E23</f>
        <v>0</v>
      </c>
      <c r="H23" s="63">
        <v>0</v>
      </c>
      <c r="J23" s="57"/>
    </row>
    <row r="24" spans="1:10" x14ac:dyDescent="0.3">
      <c r="A24" s="8" t="s">
        <v>1462</v>
      </c>
      <c r="B24" s="8">
        <v>1503050</v>
      </c>
      <c r="C24" s="8">
        <v>3.1</v>
      </c>
      <c r="D24" s="9" t="s">
        <v>2873</v>
      </c>
      <c r="E24" s="59">
        <v>12</v>
      </c>
      <c r="F24" s="56" t="s">
        <v>34</v>
      </c>
      <c r="G24" s="63">
        <f t="shared" ref="G24:G29" si="1">H24/E24</f>
        <v>0</v>
      </c>
      <c r="H24" s="63">
        <v>0</v>
      </c>
      <c r="J24" s="57"/>
    </row>
    <row r="25" spans="1:10" x14ac:dyDescent="0.3">
      <c r="A25" s="8" t="s">
        <v>1463</v>
      </c>
      <c r="B25" s="8">
        <v>1503050</v>
      </c>
      <c r="C25" s="8">
        <v>3.2</v>
      </c>
      <c r="D25" s="9" t="s">
        <v>55</v>
      </c>
      <c r="E25" s="59">
        <v>12</v>
      </c>
      <c r="F25" s="56" t="s">
        <v>34</v>
      </c>
      <c r="G25" s="63">
        <f t="shared" si="1"/>
        <v>0</v>
      </c>
      <c r="H25" s="63">
        <v>0</v>
      </c>
      <c r="J25" s="57"/>
    </row>
    <row r="26" spans="1:10" x14ac:dyDescent="0.3">
      <c r="A26" s="8" t="s">
        <v>1464</v>
      </c>
      <c r="B26" s="8">
        <v>1503050</v>
      </c>
      <c r="C26" s="8">
        <v>3.3</v>
      </c>
      <c r="D26" s="9" t="s">
        <v>57</v>
      </c>
      <c r="E26" s="59">
        <v>12</v>
      </c>
      <c r="F26" s="56" t="s">
        <v>34</v>
      </c>
      <c r="G26" s="63">
        <f t="shared" si="1"/>
        <v>0</v>
      </c>
      <c r="H26" s="63">
        <v>0</v>
      </c>
      <c r="J26" s="57"/>
    </row>
    <row r="27" spans="1:10" x14ac:dyDescent="0.3">
      <c r="A27" s="8" t="s">
        <v>1465</v>
      </c>
      <c r="B27" s="8">
        <v>1503050</v>
      </c>
      <c r="C27" s="8">
        <v>3.5</v>
      </c>
      <c r="D27" s="9" t="s">
        <v>2874</v>
      </c>
      <c r="E27" s="59">
        <v>12</v>
      </c>
      <c r="F27" s="56" t="s">
        <v>34</v>
      </c>
      <c r="G27" s="63">
        <f t="shared" si="1"/>
        <v>0</v>
      </c>
      <c r="H27" s="63">
        <v>0</v>
      </c>
      <c r="J27" s="57"/>
    </row>
    <row r="28" spans="1:10" x14ac:dyDescent="0.3">
      <c r="A28" s="8" t="s">
        <v>1466</v>
      </c>
      <c r="B28" s="8">
        <v>1503050</v>
      </c>
      <c r="C28" s="8">
        <v>3.6</v>
      </c>
      <c r="D28" s="9" t="s">
        <v>60</v>
      </c>
      <c r="E28" s="59">
        <v>12</v>
      </c>
      <c r="F28" s="56" t="s">
        <v>34</v>
      </c>
      <c r="G28" s="63">
        <f t="shared" si="1"/>
        <v>0</v>
      </c>
      <c r="H28" s="63">
        <v>0</v>
      </c>
      <c r="J28" s="57"/>
    </row>
    <row r="29" spans="1:10" x14ac:dyDescent="0.3">
      <c r="A29" s="8" t="s">
        <v>1467</v>
      </c>
      <c r="B29" s="8">
        <v>1503050</v>
      </c>
      <c r="C29" s="8">
        <v>3.7</v>
      </c>
      <c r="D29" s="9" t="s">
        <v>62</v>
      </c>
      <c r="E29" s="59">
        <v>12</v>
      </c>
      <c r="F29" s="56" t="s">
        <v>34</v>
      </c>
      <c r="G29" s="63">
        <f t="shared" si="1"/>
        <v>0</v>
      </c>
      <c r="H29" s="63">
        <v>0</v>
      </c>
      <c r="J29" s="57"/>
    </row>
    <row r="30" spans="1:10" x14ac:dyDescent="0.3">
      <c r="A30" s="13"/>
      <c r="B30" s="13"/>
      <c r="C30" s="13"/>
      <c r="D30" s="144" t="s">
        <v>1468</v>
      </c>
      <c r="E30" s="59">
        <v>12</v>
      </c>
      <c r="F30" s="56" t="s">
        <v>34</v>
      </c>
      <c r="G30" s="63">
        <f>SUM(G22:G29)</f>
        <v>0</v>
      </c>
      <c r="H30" s="63">
        <f>SUM(H22:H29)</f>
        <v>0</v>
      </c>
      <c r="J30" s="57"/>
    </row>
    <row r="31" spans="1:10" x14ac:dyDescent="0.3">
      <c r="A31" s="13" t="s">
        <v>1469</v>
      </c>
      <c r="B31" s="13">
        <v>1503050</v>
      </c>
      <c r="C31" s="13"/>
      <c r="D31" s="192" t="s">
        <v>65</v>
      </c>
      <c r="E31" s="56"/>
      <c r="F31" s="56"/>
      <c r="G31" s="63"/>
      <c r="H31" s="63"/>
      <c r="J31" s="57"/>
    </row>
    <row r="32" spans="1:10" x14ac:dyDescent="0.3">
      <c r="A32" s="8" t="s">
        <v>1470</v>
      </c>
      <c r="B32" s="8">
        <v>1503050</v>
      </c>
      <c r="C32" s="8">
        <v>3.1</v>
      </c>
      <c r="D32" s="4" t="s">
        <v>67</v>
      </c>
      <c r="E32" s="59">
        <v>12</v>
      </c>
      <c r="F32" s="56" t="s">
        <v>34</v>
      </c>
      <c r="G32" s="63">
        <f t="shared" ref="G32:G39" si="2">H32/E32</f>
        <v>0</v>
      </c>
      <c r="H32" s="63">
        <v>0</v>
      </c>
      <c r="J32" s="57"/>
    </row>
    <row r="33" spans="1:10" x14ac:dyDescent="0.3">
      <c r="A33" s="8" t="s">
        <v>1471</v>
      </c>
      <c r="B33" s="8">
        <v>1503050</v>
      </c>
      <c r="C33" s="8">
        <v>3.1</v>
      </c>
      <c r="D33" s="4" t="s">
        <v>2875</v>
      </c>
      <c r="E33" s="59">
        <v>12</v>
      </c>
      <c r="F33" s="56" t="s">
        <v>34</v>
      </c>
      <c r="G33" s="63">
        <f t="shared" si="2"/>
        <v>0</v>
      </c>
      <c r="H33" s="63">
        <v>0</v>
      </c>
      <c r="J33" s="57"/>
    </row>
    <row r="34" spans="1:10" x14ac:dyDescent="0.3">
      <c r="A34" s="8" t="s">
        <v>1472</v>
      </c>
      <c r="B34" s="8">
        <v>1503050</v>
      </c>
      <c r="C34" s="8">
        <v>3.1</v>
      </c>
      <c r="D34" s="4" t="s">
        <v>70</v>
      </c>
      <c r="E34" s="59">
        <v>12</v>
      </c>
      <c r="F34" s="56" t="s">
        <v>34</v>
      </c>
      <c r="G34" s="63">
        <f t="shared" si="2"/>
        <v>0</v>
      </c>
      <c r="H34" s="63">
        <v>0</v>
      </c>
      <c r="J34" s="57"/>
    </row>
    <row r="35" spans="1:10" ht="12.75" customHeight="1" x14ac:dyDescent="0.3">
      <c r="A35" s="8" t="s">
        <v>1473</v>
      </c>
      <c r="B35" s="8">
        <v>1503050</v>
      </c>
      <c r="C35" s="8">
        <v>3.2</v>
      </c>
      <c r="D35" s="60" t="s">
        <v>72</v>
      </c>
      <c r="E35" s="59">
        <v>12</v>
      </c>
      <c r="F35" s="56" t="s">
        <v>34</v>
      </c>
      <c r="G35" s="63">
        <f t="shared" si="2"/>
        <v>0</v>
      </c>
      <c r="H35" s="63">
        <v>0</v>
      </c>
      <c r="J35" s="57"/>
    </row>
    <row r="36" spans="1:10" x14ac:dyDescent="0.3">
      <c r="A36" s="8" t="s">
        <v>1474</v>
      </c>
      <c r="B36" s="8">
        <v>1503050</v>
      </c>
      <c r="C36" s="8">
        <v>3.3</v>
      </c>
      <c r="D36" s="9" t="s">
        <v>74</v>
      </c>
      <c r="E36" s="59">
        <v>12</v>
      </c>
      <c r="F36" s="56" t="s">
        <v>34</v>
      </c>
      <c r="G36" s="63">
        <f t="shared" si="2"/>
        <v>0</v>
      </c>
      <c r="H36" s="63">
        <v>0</v>
      </c>
      <c r="J36" s="57"/>
    </row>
    <row r="37" spans="1:10" x14ac:dyDescent="0.3">
      <c r="A37" s="8" t="s">
        <v>1475</v>
      </c>
      <c r="B37" s="8">
        <v>1503050</v>
      </c>
      <c r="C37" s="8">
        <v>3.5</v>
      </c>
      <c r="D37" s="9" t="s">
        <v>2876</v>
      </c>
      <c r="E37" s="59">
        <v>12</v>
      </c>
      <c r="F37" s="56" t="s">
        <v>34</v>
      </c>
      <c r="G37" s="63">
        <f t="shared" si="2"/>
        <v>0</v>
      </c>
      <c r="H37" s="63">
        <v>0</v>
      </c>
      <c r="J37" s="57"/>
    </row>
    <row r="38" spans="1:10" x14ac:dyDescent="0.3">
      <c r="A38" s="8" t="s">
        <v>1476</v>
      </c>
      <c r="B38" s="8">
        <v>1503050</v>
      </c>
      <c r="C38" s="8">
        <v>3.6</v>
      </c>
      <c r="D38" s="9" t="s">
        <v>77</v>
      </c>
      <c r="E38" s="59">
        <v>12</v>
      </c>
      <c r="F38" s="56" t="s">
        <v>34</v>
      </c>
      <c r="G38" s="63">
        <f t="shared" si="2"/>
        <v>0</v>
      </c>
      <c r="H38" s="63">
        <v>0</v>
      </c>
      <c r="J38" s="57"/>
    </row>
    <row r="39" spans="1:10" x14ac:dyDescent="0.3">
      <c r="A39" s="8" t="s">
        <v>1477</v>
      </c>
      <c r="B39" s="8">
        <v>1503050</v>
      </c>
      <c r="C39" s="8">
        <v>3.7</v>
      </c>
      <c r="D39" s="9" t="s">
        <v>79</v>
      </c>
      <c r="E39" s="59">
        <v>12</v>
      </c>
      <c r="F39" s="56" t="s">
        <v>34</v>
      </c>
      <c r="G39" s="63">
        <f t="shared" si="2"/>
        <v>0</v>
      </c>
      <c r="H39" s="63">
        <v>0</v>
      </c>
      <c r="J39" s="57"/>
    </row>
    <row r="40" spans="1:10" ht="12.75" customHeight="1" x14ac:dyDescent="0.3">
      <c r="A40" s="13"/>
      <c r="B40" s="13"/>
      <c r="C40" s="13"/>
      <c r="D40" s="144" t="s">
        <v>1478</v>
      </c>
      <c r="E40" s="59">
        <v>12</v>
      </c>
      <c r="F40" s="56" t="s">
        <v>34</v>
      </c>
      <c r="G40" s="63">
        <f t="shared" ref="G40:H40" si="3">SUM(G32:G39)</f>
        <v>0</v>
      </c>
      <c r="H40" s="63">
        <f t="shared" si="3"/>
        <v>0</v>
      </c>
      <c r="J40" s="57"/>
    </row>
    <row r="41" spans="1:10" x14ac:dyDescent="0.3">
      <c r="A41" s="13" t="s">
        <v>1479</v>
      </c>
      <c r="B41" s="13">
        <v>1503050</v>
      </c>
      <c r="C41" s="8"/>
      <c r="D41" s="192" t="s">
        <v>82</v>
      </c>
      <c r="E41" s="56"/>
      <c r="F41" s="56"/>
      <c r="G41" s="63"/>
      <c r="H41" s="63"/>
      <c r="J41" s="57"/>
    </row>
    <row r="42" spans="1:10" x14ac:dyDescent="0.3">
      <c r="A42" s="8" t="s">
        <v>1480</v>
      </c>
      <c r="B42" s="8">
        <v>1503050</v>
      </c>
      <c r="C42" s="8">
        <v>3.1</v>
      </c>
      <c r="D42" s="9" t="s">
        <v>84</v>
      </c>
      <c r="E42" s="59">
        <v>12</v>
      </c>
      <c r="F42" s="56" t="s">
        <v>34</v>
      </c>
      <c r="G42" s="63">
        <f t="shared" ref="G42:G49" si="4">H42/E42</f>
        <v>0</v>
      </c>
      <c r="H42" s="63">
        <v>0</v>
      </c>
      <c r="J42" s="57"/>
    </row>
    <row r="43" spans="1:10" x14ac:dyDescent="0.3">
      <c r="A43" s="8" t="s">
        <v>1481</v>
      </c>
      <c r="B43" s="8">
        <v>1503050</v>
      </c>
      <c r="C43" s="8">
        <v>3.1</v>
      </c>
      <c r="D43" s="9" t="s">
        <v>86</v>
      </c>
      <c r="E43" s="59">
        <v>12</v>
      </c>
      <c r="F43" s="56" t="s">
        <v>34</v>
      </c>
      <c r="G43" s="63">
        <f t="shared" si="4"/>
        <v>0</v>
      </c>
      <c r="H43" s="63">
        <v>0</v>
      </c>
      <c r="J43" s="57"/>
    </row>
    <row r="44" spans="1:10" x14ac:dyDescent="0.3">
      <c r="A44" s="8" t="s">
        <v>1482</v>
      </c>
      <c r="B44" s="8">
        <v>1503050</v>
      </c>
      <c r="C44" s="8">
        <v>3.1</v>
      </c>
      <c r="D44" s="9" t="s">
        <v>88</v>
      </c>
      <c r="E44" s="59">
        <v>12</v>
      </c>
      <c r="F44" s="56" t="s">
        <v>34</v>
      </c>
      <c r="G44" s="63">
        <f t="shared" si="4"/>
        <v>0</v>
      </c>
      <c r="H44" s="63">
        <v>0</v>
      </c>
      <c r="J44" s="57"/>
    </row>
    <row r="45" spans="1:10" x14ac:dyDescent="0.3">
      <c r="A45" s="8" t="s">
        <v>1483</v>
      </c>
      <c r="B45" s="8">
        <v>1503050</v>
      </c>
      <c r="C45" s="8">
        <v>3.2</v>
      </c>
      <c r="D45" s="9" t="s">
        <v>90</v>
      </c>
      <c r="E45" s="59">
        <v>12</v>
      </c>
      <c r="F45" s="56" t="s">
        <v>34</v>
      </c>
      <c r="G45" s="63">
        <f t="shared" si="4"/>
        <v>0</v>
      </c>
      <c r="H45" s="63">
        <v>0</v>
      </c>
      <c r="J45" s="57"/>
    </row>
    <row r="46" spans="1:10" x14ac:dyDescent="0.3">
      <c r="A46" s="8" t="s">
        <v>1484</v>
      </c>
      <c r="B46" s="8">
        <v>1503050</v>
      </c>
      <c r="C46" s="8">
        <v>3.3</v>
      </c>
      <c r="D46" s="9" t="s">
        <v>92</v>
      </c>
      <c r="E46" s="59">
        <v>12</v>
      </c>
      <c r="F46" s="56" t="s">
        <v>34</v>
      </c>
      <c r="G46" s="63">
        <f t="shared" si="4"/>
        <v>0</v>
      </c>
      <c r="H46" s="63">
        <v>0</v>
      </c>
      <c r="J46" s="57"/>
    </row>
    <row r="47" spans="1:10" x14ac:dyDescent="0.3">
      <c r="A47" s="8" t="s">
        <v>1485</v>
      </c>
      <c r="B47" s="8">
        <v>1503050</v>
      </c>
      <c r="C47" s="8">
        <v>3.5</v>
      </c>
      <c r="D47" s="9" t="s">
        <v>94</v>
      </c>
      <c r="E47" s="59">
        <v>12</v>
      </c>
      <c r="F47" s="56" t="s">
        <v>34</v>
      </c>
      <c r="G47" s="63">
        <f t="shared" si="4"/>
        <v>0</v>
      </c>
      <c r="H47" s="63">
        <v>0</v>
      </c>
      <c r="J47" s="57"/>
    </row>
    <row r="48" spans="1:10" x14ac:dyDescent="0.3">
      <c r="A48" s="8" t="s">
        <v>1486</v>
      </c>
      <c r="B48" s="8">
        <v>1503050</v>
      </c>
      <c r="C48" s="8">
        <v>3.6</v>
      </c>
      <c r="D48" s="9" t="s">
        <v>96</v>
      </c>
      <c r="E48" s="59">
        <v>12</v>
      </c>
      <c r="F48" s="56" t="s">
        <v>34</v>
      </c>
      <c r="G48" s="63">
        <f t="shared" si="4"/>
        <v>0</v>
      </c>
      <c r="H48" s="63">
        <v>0</v>
      </c>
      <c r="J48" s="57"/>
    </row>
    <row r="49" spans="1:10" x14ac:dyDescent="0.3">
      <c r="A49" s="8" t="s">
        <v>1487</v>
      </c>
      <c r="B49" s="8">
        <v>1503050</v>
      </c>
      <c r="C49" s="8">
        <v>3.7</v>
      </c>
      <c r="D49" s="9" t="s">
        <v>98</v>
      </c>
      <c r="E49" s="59">
        <v>12</v>
      </c>
      <c r="F49" s="56" t="s">
        <v>34</v>
      </c>
      <c r="G49" s="63">
        <f t="shared" si="4"/>
        <v>0</v>
      </c>
      <c r="H49" s="63">
        <v>0</v>
      </c>
      <c r="J49" s="57"/>
    </row>
    <row r="50" spans="1:10" x14ac:dyDescent="0.3">
      <c r="A50" s="13"/>
      <c r="B50" s="13"/>
      <c r="C50" s="13"/>
      <c r="D50" s="144" t="s">
        <v>1488</v>
      </c>
      <c r="E50" s="59">
        <v>12</v>
      </c>
      <c r="F50" s="56" t="s">
        <v>34</v>
      </c>
      <c r="G50" s="63">
        <f t="shared" ref="G50:H50" si="5">SUM(G42:G49)</f>
        <v>0</v>
      </c>
      <c r="H50" s="63">
        <f t="shared" si="5"/>
        <v>0</v>
      </c>
      <c r="J50" s="57"/>
    </row>
    <row r="51" spans="1:10" ht="12.75" customHeight="1" x14ac:dyDescent="0.3">
      <c r="A51" s="13" t="s">
        <v>1489</v>
      </c>
      <c r="B51" s="13">
        <v>1503050</v>
      </c>
      <c r="C51" s="13"/>
      <c r="D51" s="192" t="s">
        <v>101</v>
      </c>
      <c r="E51" s="56"/>
      <c r="F51" s="56"/>
      <c r="G51" s="63"/>
      <c r="H51" s="63"/>
      <c r="J51" s="57"/>
    </row>
    <row r="52" spans="1:10" x14ac:dyDescent="0.3">
      <c r="A52" s="8" t="s">
        <v>1490</v>
      </c>
      <c r="B52" s="8">
        <v>1503050</v>
      </c>
      <c r="C52" s="8">
        <v>3.1</v>
      </c>
      <c r="D52" s="4" t="s">
        <v>2877</v>
      </c>
      <c r="E52" s="59">
        <v>12</v>
      </c>
      <c r="F52" s="56" t="s">
        <v>34</v>
      </c>
      <c r="G52" s="63">
        <f t="shared" ref="G52:G59" si="6">H52/E52</f>
        <v>0</v>
      </c>
      <c r="H52" s="63">
        <v>0</v>
      </c>
      <c r="J52" s="57"/>
    </row>
    <row r="53" spans="1:10" x14ac:dyDescent="0.3">
      <c r="A53" s="8" t="s">
        <v>1491</v>
      </c>
      <c r="B53" s="8">
        <v>1503050</v>
      </c>
      <c r="C53" s="8">
        <v>3.1</v>
      </c>
      <c r="D53" s="4" t="s">
        <v>2878</v>
      </c>
      <c r="E53" s="59">
        <v>12</v>
      </c>
      <c r="F53" s="56" t="s">
        <v>34</v>
      </c>
      <c r="G53" s="63">
        <f t="shared" si="6"/>
        <v>0</v>
      </c>
      <c r="H53" s="63">
        <v>0</v>
      </c>
      <c r="J53" s="57"/>
    </row>
    <row r="54" spans="1:10" x14ac:dyDescent="0.3">
      <c r="A54" s="8" t="s">
        <v>1492</v>
      </c>
      <c r="B54" s="8">
        <v>1503050</v>
      </c>
      <c r="C54" s="8">
        <v>3.1</v>
      </c>
      <c r="D54" s="4" t="s">
        <v>105</v>
      </c>
      <c r="E54" s="59">
        <v>12</v>
      </c>
      <c r="F54" s="56" t="s">
        <v>34</v>
      </c>
      <c r="G54" s="63">
        <f t="shared" si="6"/>
        <v>0</v>
      </c>
      <c r="H54" s="63">
        <v>0</v>
      </c>
      <c r="J54" s="57"/>
    </row>
    <row r="55" spans="1:10" ht="12.75" customHeight="1" x14ac:dyDescent="0.3">
      <c r="A55" s="8" t="s">
        <v>1493</v>
      </c>
      <c r="B55" s="8">
        <v>1503050</v>
      </c>
      <c r="C55" s="8">
        <v>3.2</v>
      </c>
      <c r="D55" s="60" t="s">
        <v>2879</v>
      </c>
      <c r="E55" s="59">
        <v>12</v>
      </c>
      <c r="F55" s="56" t="s">
        <v>34</v>
      </c>
      <c r="G55" s="63">
        <f t="shared" si="6"/>
        <v>0</v>
      </c>
      <c r="H55" s="63">
        <v>0</v>
      </c>
      <c r="J55" s="57"/>
    </row>
    <row r="56" spans="1:10" x14ac:dyDescent="0.3">
      <c r="A56" s="8" t="s">
        <v>1494</v>
      </c>
      <c r="B56" s="8">
        <v>1503050</v>
      </c>
      <c r="C56" s="8">
        <v>3.3</v>
      </c>
      <c r="D56" s="9" t="s">
        <v>108</v>
      </c>
      <c r="E56" s="59">
        <v>12</v>
      </c>
      <c r="F56" s="56" t="s">
        <v>34</v>
      </c>
      <c r="G56" s="63">
        <f t="shared" si="6"/>
        <v>0</v>
      </c>
      <c r="H56" s="63">
        <v>0</v>
      </c>
      <c r="J56" s="57"/>
    </row>
    <row r="57" spans="1:10" x14ac:dyDescent="0.3">
      <c r="A57" s="8" t="s">
        <v>1495</v>
      </c>
      <c r="B57" s="8">
        <v>1503050</v>
      </c>
      <c r="C57" s="8">
        <v>3.5</v>
      </c>
      <c r="D57" s="9" t="s">
        <v>2880</v>
      </c>
      <c r="E57" s="59">
        <v>12</v>
      </c>
      <c r="F57" s="56" t="s">
        <v>34</v>
      </c>
      <c r="G57" s="63">
        <f t="shared" si="6"/>
        <v>0</v>
      </c>
      <c r="H57" s="63">
        <v>0</v>
      </c>
      <c r="J57" s="57"/>
    </row>
    <row r="58" spans="1:10" x14ac:dyDescent="0.3">
      <c r="A58" s="8" t="s">
        <v>1496</v>
      </c>
      <c r="B58" s="8">
        <v>1503050</v>
      </c>
      <c r="C58" s="8">
        <v>3.6</v>
      </c>
      <c r="D58" s="9" t="s">
        <v>111</v>
      </c>
      <c r="E58" s="59">
        <v>12</v>
      </c>
      <c r="F58" s="56" t="s">
        <v>34</v>
      </c>
      <c r="G58" s="63">
        <f t="shared" si="6"/>
        <v>0</v>
      </c>
      <c r="H58" s="63">
        <v>0</v>
      </c>
      <c r="J58" s="57"/>
    </row>
    <row r="59" spans="1:10" x14ac:dyDescent="0.3">
      <c r="A59" s="8" t="s">
        <v>1497</v>
      </c>
      <c r="B59" s="8">
        <v>1503050</v>
      </c>
      <c r="C59" s="8">
        <v>3.7</v>
      </c>
      <c r="D59" s="9" t="s">
        <v>113</v>
      </c>
      <c r="E59" s="59">
        <v>12</v>
      </c>
      <c r="F59" s="56" t="s">
        <v>34</v>
      </c>
      <c r="G59" s="63">
        <f t="shared" si="6"/>
        <v>0</v>
      </c>
      <c r="H59" s="63">
        <v>0</v>
      </c>
      <c r="J59" s="57"/>
    </row>
    <row r="60" spans="1:10" x14ac:dyDescent="0.3">
      <c r="A60" s="13"/>
      <c r="B60" s="13"/>
      <c r="C60" s="13"/>
      <c r="D60" s="144" t="s">
        <v>1498</v>
      </c>
      <c r="E60" s="59">
        <v>12</v>
      </c>
      <c r="F60" s="56" t="s">
        <v>34</v>
      </c>
      <c r="G60" s="63">
        <f t="shared" ref="G60:H60" si="7">SUM(G52:G59)</f>
        <v>0</v>
      </c>
      <c r="H60" s="63">
        <f t="shared" si="7"/>
        <v>0</v>
      </c>
      <c r="J60" s="57"/>
    </row>
    <row r="61" spans="1:10" x14ac:dyDescent="0.3">
      <c r="A61" s="13" t="s">
        <v>1499</v>
      </c>
      <c r="B61" s="13">
        <v>1503050</v>
      </c>
      <c r="C61" s="8"/>
      <c r="D61" s="192" t="s">
        <v>116</v>
      </c>
      <c r="E61" s="56"/>
      <c r="F61" s="56"/>
      <c r="G61" s="63"/>
      <c r="H61" s="63"/>
      <c r="J61" s="57"/>
    </row>
    <row r="62" spans="1:10" x14ac:dyDescent="0.3">
      <c r="A62" s="8" t="s">
        <v>1500</v>
      </c>
      <c r="B62" s="8">
        <v>1503050</v>
      </c>
      <c r="C62" s="8">
        <v>3.1</v>
      </c>
      <c r="D62" s="9" t="s">
        <v>2881</v>
      </c>
      <c r="E62" s="59">
        <v>12</v>
      </c>
      <c r="F62" s="56" t="s">
        <v>34</v>
      </c>
      <c r="G62" s="63">
        <f t="shared" ref="G62:G69" si="8">H62/E62</f>
        <v>0</v>
      </c>
      <c r="H62" s="63">
        <v>0</v>
      </c>
      <c r="J62" s="57"/>
    </row>
    <row r="63" spans="1:10" x14ac:dyDescent="0.3">
      <c r="A63" s="8" t="s">
        <v>1501</v>
      </c>
      <c r="B63" s="8">
        <v>1503050</v>
      </c>
      <c r="C63" s="8">
        <v>3.1</v>
      </c>
      <c r="D63" s="9" t="s">
        <v>2882</v>
      </c>
      <c r="E63" s="59">
        <v>12</v>
      </c>
      <c r="F63" s="56" t="s">
        <v>34</v>
      </c>
      <c r="G63" s="63">
        <f t="shared" si="8"/>
        <v>0</v>
      </c>
      <c r="H63" s="63">
        <v>0</v>
      </c>
      <c r="J63" s="57"/>
    </row>
    <row r="64" spans="1:10" x14ac:dyDescent="0.3">
      <c r="A64" s="8" t="s">
        <v>1502</v>
      </c>
      <c r="B64" s="8">
        <v>1503050</v>
      </c>
      <c r="C64" s="8">
        <v>3.1</v>
      </c>
      <c r="D64" s="9" t="s">
        <v>120</v>
      </c>
      <c r="E64" s="59">
        <v>12</v>
      </c>
      <c r="F64" s="56" t="s">
        <v>34</v>
      </c>
      <c r="G64" s="63">
        <f t="shared" si="8"/>
        <v>0</v>
      </c>
      <c r="H64" s="63">
        <v>0</v>
      </c>
      <c r="J64" s="57"/>
    </row>
    <row r="65" spans="1:10" x14ac:dyDescent="0.3">
      <c r="A65" s="8" t="s">
        <v>1503</v>
      </c>
      <c r="B65" s="8">
        <v>1503050</v>
      </c>
      <c r="C65" s="8">
        <v>3.2</v>
      </c>
      <c r="D65" s="9" t="s">
        <v>2883</v>
      </c>
      <c r="E65" s="59">
        <v>12</v>
      </c>
      <c r="F65" s="56" t="s">
        <v>34</v>
      </c>
      <c r="G65" s="63">
        <f t="shared" si="8"/>
        <v>0</v>
      </c>
      <c r="H65" s="63">
        <v>0</v>
      </c>
      <c r="J65" s="57"/>
    </row>
    <row r="66" spans="1:10" x14ac:dyDescent="0.3">
      <c r="A66" s="8" t="s">
        <v>1504</v>
      </c>
      <c r="B66" s="8">
        <v>1503050</v>
      </c>
      <c r="C66" s="8">
        <v>3.3</v>
      </c>
      <c r="D66" s="9" t="s">
        <v>2884</v>
      </c>
      <c r="E66" s="59">
        <v>12</v>
      </c>
      <c r="F66" s="56" t="s">
        <v>34</v>
      </c>
      <c r="G66" s="63">
        <f t="shared" si="8"/>
        <v>0</v>
      </c>
      <c r="H66" s="63">
        <v>0</v>
      </c>
      <c r="J66" s="57"/>
    </row>
    <row r="67" spans="1:10" x14ac:dyDescent="0.3">
      <c r="A67" s="8" t="s">
        <v>1505</v>
      </c>
      <c r="B67" s="8">
        <v>1503050</v>
      </c>
      <c r="C67" s="8">
        <v>3.5</v>
      </c>
      <c r="D67" s="9" t="s">
        <v>2885</v>
      </c>
      <c r="E67" s="59">
        <v>12</v>
      </c>
      <c r="F67" s="56" t="s">
        <v>34</v>
      </c>
      <c r="G67" s="63">
        <f t="shared" si="8"/>
        <v>0</v>
      </c>
      <c r="H67" s="63">
        <v>0</v>
      </c>
      <c r="J67" s="57"/>
    </row>
    <row r="68" spans="1:10" x14ac:dyDescent="0.3">
      <c r="A68" s="8" t="s">
        <v>1506</v>
      </c>
      <c r="B68" s="8">
        <v>1503050</v>
      </c>
      <c r="C68" s="8">
        <v>3.6</v>
      </c>
      <c r="D68" s="9" t="s">
        <v>125</v>
      </c>
      <c r="E68" s="59">
        <v>12</v>
      </c>
      <c r="F68" s="56" t="s">
        <v>34</v>
      </c>
      <c r="G68" s="63">
        <f t="shared" si="8"/>
        <v>0</v>
      </c>
      <c r="H68" s="63">
        <v>0</v>
      </c>
      <c r="J68" s="57"/>
    </row>
    <row r="69" spans="1:10" x14ac:dyDescent="0.3">
      <c r="A69" s="8" t="s">
        <v>1507</v>
      </c>
      <c r="B69" s="8">
        <v>1503050</v>
      </c>
      <c r="C69" s="8">
        <v>3.7</v>
      </c>
      <c r="D69" s="9" t="s">
        <v>127</v>
      </c>
      <c r="E69" s="59">
        <v>12</v>
      </c>
      <c r="F69" s="56" t="s">
        <v>34</v>
      </c>
      <c r="G69" s="63">
        <f t="shared" si="8"/>
        <v>0</v>
      </c>
      <c r="H69" s="63">
        <v>0</v>
      </c>
      <c r="J69" s="57"/>
    </row>
    <row r="70" spans="1:10" x14ac:dyDescent="0.3">
      <c r="A70" s="13"/>
      <c r="B70" s="13"/>
      <c r="C70" s="13"/>
      <c r="D70" s="144" t="s">
        <v>1508</v>
      </c>
      <c r="E70" s="59">
        <v>12</v>
      </c>
      <c r="F70" s="56" t="s">
        <v>34</v>
      </c>
      <c r="G70" s="63">
        <f t="shared" ref="G70:H70" si="9">SUM(G62:G69)</f>
        <v>0</v>
      </c>
      <c r="H70" s="63">
        <f t="shared" si="9"/>
        <v>0</v>
      </c>
      <c r="J70" s="57"/>
    </row>
    <row r="71" spans="1:10" ht="12.75" customHeight="1" x14ac:dyDescent="0.3">
      <c r="A71" s="13" t="s">
        <v>1509</v>
      </c>
      <c r="B71" s="13">
        <v>1503050</v>
      </c>
      <c r="C71" s="13"/>
      <c r="D71" s="192" t="s">
        <v>130</v>
      </c>
      <c r="E71" s="56"/>
      <c r="F71" s="56"/>
      <c r="G71" s="63"/>
      <c r="H71" s="63"/>
      <c r="J71" s="57"/>
    </row>
    <row r="72" spans="1:10" x14ac:dyDescent="0.3">
      <c r="A72" s="8" t="s">
        <v>1510</v>
      </c>
      <c r="B72" s="8">
        <v>1503050</v>
      </c>
      <c r="C72" s="8">
        <v>3.1</v>
      </c>
      <c r="D72" s="4" t="s">
        <v>2886</v>
      </c>
      <c r="E72" s="59">
        <v>12</v>
      </c>
      <c r="F72" s="56" t="s">
        <v>34</v>
      </c>
      <c r="G72" s="63">
        <f t="shared" ref="G72:G79" si="10">H72/E72</f>
        <v>0</v>
      </c>
      <c r="H72" s="63">
        <v>0</v>
      </c>
      <c r="J72" s="57"/>
    </row>
    <row r="73" spans="1:10" x14ac:dyDescent="0.3">
      <c r="A73" s="8" t="s">
        <v>1511</v>
      </c>
      <c r="B73" s="8">
        <v>1503050</v>
      </c>
      <c r="C73" s="8">
        <v>3.1</v>
      </c>
      <c r="D73" s="4" t="s">
        <v>133</v>
      </c>
      <c r="E73" s="59">
        <v>12</v>
      </c>
      <c r="F73" s="56" t="s">
        <v>34</v>
      </c>
      <c r="G73" s="63">
        <f t="shared" si="10"/>
        <v>0</v>
      </c>
      <c r="H73" s="63">
        <v>0</v>
      </c>
      <c r="J73" s="57"/>
    </row>
    <row r="74" spans="1:10" x14ac:dyDescent="0.3">
      <c r="A74" s="8" t="s">
        <v>1512</v>
      </c>
      <c r="B74" s="8">
        <v>1503050</v>
      </c>
      <c r="C74" s="8">
        <v>3.1</v>
      </c>
      <c r="D74" s="4" t="s">
        <v>135</v>
      </c>
      <c r="E74" s="59">
        <v>12</v>
      </c>
      <c r="F74" s="56" t="s">
        <v>34</v>
      </c>
      <c r="G74" s="63">
        <f t="shared" si="10"/>
        <v>0</v>
      </c>
      <c r="H74" s="63">
        <v>0</v>
      </c>
      <c r="J74" s="57"/>
    </row>
    <row r="75" spans="1:10" ht="12.75" customHeight="1" x14ac:dyDescent="0.3">
      <c r="A75" s="8" t="s">
        <v>1513</v>
      </c>
      <c r="B75" s="8">
        <v>1503050</v>
      </c>
      <c r="C75" s="8">
        <v>3.2</v>
      </c>
      <c r="D75" s="60" t="s">
        <v>137</v>
      </c>
      <c r="E75" s="59">
        <v>12</v>
      </c>
      <c r="F75" s="56" t="s">
        <v>34</v>
      </c>
      <c r="G75" s="63">
        <f t="shared" si="10"/>
        <v>0</v>
      </c>
      <c r="H75" s="63">
        <v>0</v>
      </c>
      <c r="J75" s="57"/>
    </row>
    <row r="76" spans="1:10" x14ac:dyDescent="0.3">
      <c r="A76" s="8" t="s">
        <v>1514</v>
      </c>
      <c r="B76" s="8">
        <v>1503050</v>
      </c>
      <c r="C76" s="8">
        <v>3.3</v>
      </c>
      <c r="D76" s="9" t="s">
        <v>139</v>
      </c>
      <c r="E76" s="59">
        <v>12</v>
      </c>
      <c r="F76" s="56" t="s">
        <v>34</v>
      </c>
      <c r="G76" s="63">
        <f t="shared" si="10"/>
        <v>0</v>
      </c>
      <c r="H76" s="63">
        <v>0</v>
      </c>
      <c r="J76" s="57"/>
    </row>
    <row r="77" spans="1:10" x14ac:dyDescent="0.3">
      <c r="A77" s="8" t="s">
        <v>1515</v>
      </c>
      <c r="B77" s="8">
        <v>1503050</v>
      </c>
      <c r="C77" s="8">
        <v>3.5</v>
      </c>
      <c r="D77" s="9" t="s">
        <v>2887</v>
      </c>
      <c r="E77" s="59">
        <v>12</v>
      </c>
      <c r="F77" s="56" t="s">
        <v>34</v>
      </c>
      <c r="G77" s="63">
        <f t="shared" si="10"/>
        <v>0</v>
      </c>
      <c r="H77" s="63">
        <v>0</v>
      </c>
      <c r="J77" s="57"/>
    </row>
    <row r="78" spans="1:10" x14ac:dyDescent="0.3">
      <c r="A78" s="8" t="s">
        <v>1516</v>
      </c>
      <c r="B78" s="8">
        <v>1503050</v>
      </c>
      <c r="C78" s="8">
        <v>3.6</v>
      </c>
      <c r="D78" s="9" t="s">
        <v>142</v>
      </c>
      <c r="E78" s="59">
        <v>12</v>
      </c>
      <c r="F78" s="56" t="s">
        <v>34</v>
      </c>
      <c r="G78" s="63">
        <f t="shared" si="10"/>
        <v>0</v>
      </c>
      <c r="H78" s="63">
        <v>0</v>
      </c>
      <c r="J78" s="57"/>
    </row>
    <row r="79" spans="1:10" x14ac:dyDescent="0.3">
      <c r="A79" s="8" t="s">
        <v>1517</v>
      </c>
      <c r="B79" s="8">
        <v>1503050</v>
      </c>
      <c r="C79" s="8">
        <v>3.7</v>
      </c>
      <c r="D79" s="9" t="s">
        <v>144</v>
      </c>
      <c r="E79" s="59">
        <v>12</v>
      </c>
      <c r="F79" s="56" t="s">
        <v>34</v>
      </c>
      <c r="G79" s="63">
        <f t="shared" si="10"/>
        <v>0</v>
      </c>
      <c r="H79" s="63">
        <v>0</v>
      </c>
      <c r="J79" s="57"/>
    </row>
    <row r="80" spans="1:10" x14ac:dyDescent="0.3">
      <c r="A80" s="13"/>
      <c r="B80" s="13"/>
      <c r="C80" s="13"/>
      <c r="D80" s="144" t="s">
        <v>1518</v>
      </c>
      <c r="E80" s="59">
        <v>12</v>
      </c>
      <c r="F80" s="56" t="s">
        <v>34</v>
      </c>
      <c r="G80" s="63">
        <f t="shared" ref="G80:H80" si="11">SUM(G72:G79)</f>
        <v>0</v>
      </c>
      <c r="H80" s="63">
        <f t="shared" si="11"/>
        <v>0</v>
      </c>
      <c r="J80" s="57"/>
    </row>
    <row r="81" spans="1:10" x14ac:dyDescent="0.3">
      <c r="A81" s="13" t="s">
        <v>1448</v>
      </c>
      <c r="B81" s="13">
        <v>1503050</v>
      </c>
      <c r="C81" s="13" t="s">
        <v>14</v>
      </c>
      <c r="D81" s="144" t="s">
        <v>146</v>
      </c>
      <c r="E81" s="59">
        <v>12</v>
      </c>
      <c r="F81" s="56" t="s">
        <v>34</v>
      </c>
      <c r="G81" s="63">
        <f>G80+G70+G60+G50+G40+G30+G20</f>
        <v>0</v>
      </c>
      <c r="H81" s="63">
        <f>H80+H70+H60+H50+H40+H30+H20</f>
        <v>0</v>
      </c>
      <c r="J81" s="57" t="s">
        <v>14</v>
      </c>
    </row>
    <row r="82" spans="1:10" x14ac:dyDescent="0.3">
      <c r="A82" s="13" t="s">
        <v>1519</v>
      </c>
      <c r="B82" s="147">
        <v>1503050</v>
      </c>
      <c r="C82" s="148"/>
      <c r="D82" s="185" t="s">
        <v>2706</v>
      </c>
      <c r="E82" s="59"/>
      <c r="F82" s="56"/>
      <c r="G82" s="63"/>
      <c r="H82" s="63"/>
      <c r="J82" s="57"/>
    </row>
    <row r="83" spans="1:10" x14ac:dyDescent="0.3">
      <c r="A83" s="13" t="s">
        <v>3142</v>
      </c>
      <c r="B83" s="147">
        <v>1503050</v>
      </c>
      <c r="C83" s="148"/>
      <c r="D83" s="186" t="s">
        <v>2710</v>
      </c>
      <c r="E83" s="59"/>
      <c r="F83" s="56"/>
      <c r="G83" s="63"/>
      <c r="H83" s="63"/>
      <c r="J83" s="57"/>
    </row>
    <row r="84" spans="1:10" x14ac:dyDescent="0.3">
      <c r="A84" s="8" t="s">
        <v>3143</v>
      </c>
      <c r="B84" s="8">
        <v>1503050</v>
      </c>
      <c r="C84" s="149">
        <v>3.1</v>
      </c>
      <c r="D84" s="150" t="s">
        <v>2859</v>
      </c>
      <c r="E84" s="194">
        <v>12</v>
      </c>
      <c r="F84" s="195" t="s">
        <v>34</v>
      </c>
      <c r="G84" s="196">
        <f t="shared" ref="G84:G90" si="12">H84/E84</f>
        <v>0</v>
      </c>
      <c r="H84" s="196">
        <v>0</v>
      </c>
      <c r="J84" s="57"/>
    </row>
    <row r="85" spans="1:10" x14ac:dyDescent="0.3">
      <c r="A85" s="8" t="s">
        <v>3144</v>
      </c>
      <c r="B85" s="8">
        <v>1503050</v>
      </c>
      <c r="C85" s="8">
        <v>3.1</v>
      </c>
      <c r="D85" s="151" t="s">
        <v>2714</v>
      </c>
      <c r="E85" s="59">
        <v>12</v>
      </c>
      <c r="F85" s="56" t="s">
        <v>34</v>
      </c>
      <c r="G85" s="63">
        <f t="shared" si="12"/>
        <v>0</v>
      </c>
      <c r="H85" s="63">
        <v>0</v>
      </c>
      <c r="J85" s="57"/>
    </row>
    <row r="86" spans="1:10" x14ac:dyDescent="0.3">
      <c r="A86" s="8" t="s">
        <v>3146</v>
      </c>
      <c r="B86" s="8">
        <v>1503050</v>
      </c>
      <c r="C86" s="8">
        <v>3.1</v>
      </c>
      <c r="D86" s="151" t="s">
        <v>2716</v>
      </c>
      <c r="E86" s="59">
        <v>12</v>
      </c>
      <c r="F86" s="56" t="s">
        <v>34</v>
      </c>
      <c r="G86" s="63">
        <f t="shared" si="12"/>
        <v>0</v>
      </c>
      <c r="H86" s="63">
        <v>0</v>
      </c>
      <c r="J86" s="57"/>
    </row>
    <row r="87" spans="1:10" x14ac:dyDescent="0.3">
      <c r="A87" s="8" t="s">
        <v>3145</v>
      </c>
      <c r="B87" s="8">
        <v>1503050</v>
      </c>
      <c r="C87" s="8">
        <v>3.2</v>
      </c>
      <c r="D87" s="60" t="s">
        <v>2718</v>
      </c>
      <c r="E87" s="59">
        <v>12</v>
      </c>
      <c r="F87" s="56" t="s">
        <v>34</v>
      </c>
      <c r="G87" s="63">
        <f t="shared" si="12"/>
        <v>0</v>
      </c>
      <c r="H87" s="63">
        <v>0</v>
      </c>
      <c r="J87" s="57"/>
    </row>
    <row r="88" spans="1:10" x14ac:dyDescent="0.3">
      <c r="A88" s="8" t="s">
        <v>3147</v>
      </c>
      <c r="B88" s="8">
        <v>1503050</v>
      </c>
      <c r="C88" s="8">
        <v>3.3</v>
      </c>
      <c r="D88" s="9" t="s">
        <v>2864</v>
      </c>
      <c r="E88" s="59">
        <v>12</v>
      </c>
      <c r="F88" s="56" t="s">
        <v>34</v>
      </c>
      <c r="G88" s="63">
        <f t="shared" si="12"/>
        <v>0</v>
      </c>
      <c r="H88" s="63">
        <v>0</v>
      </c>
      <c r="J88" s="57"/>
    </row>
    <row r="89" spans="1:10" x14ac:dyDescent="0.3">
      <c r="A89" s="8" t="s">
        <v>3148</v>
      </c>
      <c r="B89" s="8">
        <v>1503050</v>
      </c>
      <c r="C89" s="8">
        <v>3.5</v>
      </c>
      <c r="D89" s="9" t="s">
        <v>2722</v>
      </c>
      <c r="E89" s="59">
        <v>12</v>
      </c>
      <c r="F89" s="56" t="s">
        <v>34</v>
      </c>
      <c r="G89" s="63">
        <f t="shared" si="12"/>
        <v>0</v>
      </c>
      <c r="H89" s="63">
        <v>0</v>
      </c>
      <c r="J89" s="57"/>
    </row>
    <row r="90" spans="1:10" x14ac:dyDescent="0.3">
      <c r="A90" s="8" t="s">
        <v>3149</v>
      </c>
      <c r="B90" s="8">
        <v>1503050</v>
      </c>
      <c r="C90" s="8">
        <v>3.6</v>
      </c>
      <c r="D90" s="9" t="s">
        <v>2724</v>
      </c>
      <c r="E90" s="59">
        <v>12</v>
      </c>
      <c r="F90" s="56" t="s">
        <v>34</v>
      </c>
      <c r="G90" s="63">
        <f t="shared" si="12"/>
        <v>0</v>
      </c>
      <c r="H90" s="63">
        <v>0</v>
      </c>
      <c r="J90" s="57"/>
    </row>
    <row r="91" spans="1:10" x14ac:dyDescent="0.3">
      <c r="A91" s="8" t="s">
        <v>3150</v>
      </c>
      <c r="B91" s="8">
        <v>1503050</v>
      </c>
      <c r="C91" s="8">
        <v>3.7</v>
      </c>
      <c r="D91" s="152" t="s">
        <v>2726</v>
      </c>
      <c r="E91" s="59">
        <v>12</v>
      </c>
      <c r="F91" s="56" t="s">
        <v>34</v>
      </c>
      <c r="G91" s="63">
        <f t="shared" ref="G91:H91" si="13">SUM(G83:G90)</f>
        <v>0</v>
      </c>
      <c r="H91" s="63">
        <f t="shared" si="13"/>
        <v>0</v>
      </c>
      <c r="J91" s="57"/>
    </row>
    <row r="92" spans="1:10" x14ac:dyDescent="0.3">
      <c r="A92" s="13"/>
      <c r="B92" s="13"/>
      <c r="C92" s="13"/>
      <c r="D92" s="153" t="s">
        <v>3151</v>
      </c>
      <c r="E92" s="59">
        <v>12</v>
      </c>
      <c r="F92" s="56" t="s">
        <v>34</v>
      </c>
      <c r="G92" s="63">
        <v>0</v>
      </c>
      <c r="H92" s="63">
        <v>0</v>
      </c>
      <c r="J92" s="57"/>
    </row>
    <row r="93" spans="1:10" x14ac:dyDescent="0.3">
      <c r="A93" s="13" t="s">
        <v>3152</v>
      </c>
      <c r="B93" s="13">
        <v>1503050</v>
      </c>
      <c r="C93" s="8"/>
      <c r="D93" s="154" t="s">
        <v>2611</v>
      </c>
      <c r="E93" s="59"/>
      <c r="F93" s="56"/>
      <c r="G93" s="63"/>
      <c r="H93" s="63"/>
      <c r="J93" s="57"/>
    </row>
    <row r="94" spans="1:10" x14ac:dyDescent="0.3">
      <c r="A94" s="8" t="s">
        <v>3153</v>
      </c>
      <c r="B94" s="8">
        <v>1503050</v>
      </c>
      <c r="C94" s="8">
        <v>3.1</v>
      </c>
      <c r="D94" s="150" t="s">
        <v>2613</v>
      </c>
      <c r="E94" s="59">
        <v>12</v>
      </c>
      <c r="F94" s="56" t="s">
        <v>34</v>
      </c>
      <c r="G94" s="63">
        <f t="shared" ref="G94:G100" si="14">H94/E94</f>
        <v>0</v>
      </c>
      <c r="H94" s="63">
        <v>0</v>
      </c>
      <c r="J94" s="57"/>
    </row>
    <row r="95" spans="1:10" x14ac:dyDescent="0.3">
      <c r="A95" s="8" t="s">
        <v>3154</v>
      </c>
      <c r="B95" s="8">
        <v>1503050</v>
      </c>
      <c r="C95" s="8">
        <v>3.1</v>
      </c>
      <c r="D95" s="151" t="s">
        <v>2615</v>
      </c>
      <c r="E95" s="59">
        <v>12</v>
      </c>
      <c r="F95" s="56" t="s">
        <v>34</v>
      </c>
      <c r="G95" s="63">
        <f t="shared" si="14"/>
        <v>0</v>
      </c>
      <c r="H95" s="63">
        <v>0</v>
      </c>
      <c r="J95" s="57"/>
    </row>
    <row r="96" spans="1:10" x14ac:dyDescent="0.3">
      <c r="A96" s="8" t="s">
        <v>3155</v>
      </c>
      <c r="B96" s="8">
        <v>1503050</v>
      </c>
      <c r="C96" s="8">
        <v>3.1</v>
      </c>
      <c r="D96" s="151" t="s">
        <v>2617</v>
      </c>
      <c r="E96" s="59">
        <v>12</v>
      </c>
      <c r="F96" s="56" t="s">
        <v>34</v>
      </c>
      <c r="G96" s="63">
        <f t="shared" si="14"/>
        <v>0</v>
      </c>
      <c r="H96" s="63">
        <v>0</v>
      </c>
      <c r="J96" s="57"/>
    </row>
    <row r="97" spans="1:10" x14ac:dyDescent="0.3">
      <c r="A97" s="8" t="s">
        <v>3156</v>
      </c>
      <c r="B97" s="8">
        <v>1503050</v>
      </c>
      <c r="C97" s="8">
        <v>3.2</v>
      </c>
      <c r="D97" s="60" t="s">
        <v>2619</v>
      </c>
      <c r="E97" s="59">
        <v>12</v>
      </c>
      <c r="F97" s="56" t="s">
        <v>34</v>
      </c>
      <c r="G97" s="63">
        <f t="shared" si="14"/>
        <v>0</v>
      </c>
      <c r="H97" s="63">
        <v>0</v>
      </c>
      <c r="J97" s="57"/>
    </row>
    <row r="98" spans="1:10" x14ac:dyDescent="0.3">
      <c r="A98" s="8" t="s">
        <v>3157</v>
      </c>
      <c r="B98" s="8">
        <v>1503050</v>
      </c>
      <c r="C98" s="8">
        <v>3.3</v>
      </c>
      <c r="D98" s="9" t="s">
        <v>2621</v>
      </c>
      <c r="E98" s="59">
        <v>12</v>
      </c>
      <c r="F98" s="56" t="s">
        <v>34</v>
      </c>
      <c r="G98" s="63">
        <f t="shared" si="14"/>
        <v>0</v>
      </c>
      <c r="H98" s="63">
        <v>0</v>
      </c>
      <c r="J98" s="57"/>
    </row>
    <row r="99" spans="1:10" x14ac:dyDescent="0.3">
      <c r="A99" s="8" t="s">
        <v>3158</v>
      </c>
      <c r="B99" s="8">
        <v>1503050</v>
      </c>
      <c r="C99" s="8">
        <v>3.5</v>
      </c>
      <c r="D99" s="9" t="s">
        <v>2623</v>
      </c>
      <c r="E99" s="59">
        <v>12</v>
      </c>
      <c r="F99" s="56" t="s">
        <v>34</v>
      </c>
      <c r="G99" s="63">
        <f t="shared" si="14"/>
        <v>0</v>
      </c>
      <c r="H99" s="63">
        <v>0</v>
      </c>
      <c r="J99" s="57"/>
    </row>
    <row r="100" spans="1:10" x14ac:dyDescent="0.3">
      <c r="A100" s="8" t="s">
        <v>3159</v>
      </c>
      <c r="B100" s="8">
        <v>1503050</v>
      </c>
      <c r="C100" s="8">
        <v>3.6</v>
      </c>
      <c r="D100" s="9" t="s">
        <v>2625</v>
      </c>
      <c r="E100" s="59">
        <v>12</v>
      </c>
      <c r="F100" s="56" t="s">
        <v>34</v>
      </c>
      <c r="G100" s="63">
        <f t="shared" si="14"/>
        <v>0</v>
      </c>
      <c r="H100" s="63">
        <v>0</v>
      </c>
      <c r="J100" s="57"/>
    </row>
    <row r="101" spans="1:10" x14ac:dyDescent="0.3">
      <c r="A101" s="8" t="s">
        <v>3160</v>
      </c>
      <c r="B101" s="8">
        <v>1503050</v>
      </c>
      <c r="C101" s="8">
        <v>3.7</v>
      </c>
      <c r="D101" s="152" t="s">
        <v>2627</v>
      </c>
      <c r="E101" s="59">
        <v>12</v>
      </c>
      <c r="F101" s="56" t="s">
        <v>34</v>
      </c>
      <c r="G101" s="63">
        <f t="shared" ref="G101" si="15">SUM(G93:G100)</f>
        <v>0</v>
      </c>
      <c r="H101" s="63">
        <f>SUM(H92:H100)</f>
        <v>0</v>
      </c>
      <c r="J101" s="57"/>
    </row>
    <row r="102" spans="1:10" x14ac:dyDescent="0.3">
      <c r="A102" s="13"/>
      <c r="B102" s="13"/>
      <c r="C102" s="13"/>
      <c r="D102" s="155" t="s">
        <v>3161</v>
      </c>
      <c r="E102" s="59">
        <v>12</v>
      </c>
      <c r="F102" s="59" t="s">
        <v>34</v>
      </c>
      <c r="G102" s="63">
        <v>0</v>
      </c>
      <c r="H102" s="63">
        <v>0</v>
      </c>
      <c r="J102" s="57" t="s">
        <v>14</v>
      </c>
    </row>
    <row r="103" spans="1:10" x14ac:dyDescent="0.3">
      <c r="A103" s="13" t="s">
        <v>3162</v>
      </c>
      <c r="B103" s="147">
        <v>1503050</v>
      </c>
      <c r="C103" s="156"/>
      <c r="D103" s="197" t="s">
        <v>2630</v>
      </c>
      <c r="E103" s="56"/>
      <c r="F103" s="56"/>
      <c r="G103" s="63"/>
      <c r="H103" s="63"/>
      <c r="J103" s="57"/>
    </row>
    <row r="104" spans="1:10" x14ac:dyDescent="0.3">
      <c r="A104" s="8" t="s">
        <v>3163</v>
      </c>
      <c r="B104" s="8">
        <v>1503050</v>
      </c>
      <c r="C104" s="149">
        <v>3.1</v>
      </c>
      <c r="D104" s="150" t="s">
        <v>2632</v>
      </c>
      <c r="E104" s="59">
        <v>12</v>
      </c>
      <c r="F104" s="59" t="s">
        <v>34</v>
      </c>
      <c r="G104" s="63">
        <v>0</v>
      </c>
      <c r="H104" s="63">
        <v>0</v>
      </c>
      <c r="J104" s="57" t="s">
        <v>14</v>
      </c>
    </row>
    <row r="105" spans="1:10" ht="12.75" customHeight="1" x14ac:dyDescent="0.3">
      <c r="A105" s="8" t="s">
        <v>3164</v>
      </c>
      <c r="B105" s="8">
        <v>1503050</v>
      </c>
      <c r="C105" s="8">
        <v>3.1</v>
      </c>
      <c r="D105" s="151" t="s">
        <v>2634</v>
      </c>
      <c r="E105" s="59">
        <v>12</v>
      </c>
      <c r="F105" s="59" t="s">
        <v>34</v>
      </c>
      <c r="G105" s="63">
        <v>0</v>
      </c>
      <c r="H105" s="63">
        <v>0</v>
      </c>
      <c r="J105" s="57"/>
    </row>
    <row r="106" spans="1:10" x14ac:dyDescent="0.3">
      <c r="A106" s="8" t="s">
        <v>3165</v>
      </c>
      <c r="B106" s="8">
        <v>1503050</v>
      </c>
      <c r="C106" s="8">
        <v>3.1</v>
      </c>
      <c r="D106" s="151" t="s">
        <v>2636</v>
      </c>
      <c r="E106" s="59">
        <v>12</v>
      </c>
      <c r="F106" s="56" t="s">
        <v>34</v>
      </c>
      <c r="G106" s="63">
        <f t="shared" ref="G106:G112" si="16">H106/E106</f>
        <v>0</v>
      </c>
      <c r="H106" s="63">
        <v>0</v>
      </c>
      <c r="J106" s="57"/>
    </row>
    <row r="107" spans="1:10" x14ac:dyDescent="0.3">
      <c r="A107" s="8" t="s">
        <v>3166</v>
      </c>
      <c r="B107" s="8">
        <v>1503050</v>
      </c>
      <c r="C107" s="8">
        <v>3.2</v>
      </c>
      <c r="D107" s="60" t="s">
        <v>2638</v>
      </c>
      <c r="E107" s="59">
        <v>12</v>
      </c>
      <c r="F107" s="56" t="s">
        <v>34</v>
      </c>
      <c r="G107" s="63">
        <f t="shared" si="16"/>
        <v>0</v>
      </c>
      <c r="H107" s="63">
        <v>0</v>
      </c>
      <c r="J107" s="57"/>
    </row>
    <row r="108" spans="1:10" x14ac:dyDescent="0.3">
      <c r="A108" s="8" t="s">
        <v>3167</v>
      </c>
      <c r="B108" s="8">
        <v>1503050</v>
      </c>
      <c r="C108" s="8">
        <v>3.3</v>
      </c>
      <c r="D108" s="9" t="s">
        <v>2640</v>
      </c>
      <c r="E108" s="59">
        <v>12</v>
      </c>
      <c r="F108" s="56" t="s">
        <v>34</v>
      </c>
      <c r="G108" s="63">
        <f t="shared" si="16"/>
        <v>0</v>
      </c>
      <c r="H108" s="63">
        <v>0</v>
      </c>
      <c r="J108" s="57"/>
    </row>
    <row r="109" spans="1:10" ht="12.75" customHeight="1" x14ac:dyDescent="0.3">
      <c r="A109" s="8" t="s">
        <v>3168</v>
      </c>
      <c r="B109" s="8">
        <v>1503050</v>
      </c>
      <c r="C109" s="8">
        <v>3.5</v>
      </c>
      <c r="D109" s="9" t="s">
        <v>2642</v>
      </c>
      <c r="E109" s="59">
        <v>12</v>
      </c>
      <c r="F109" s="56" t="s">
        <v>34</v>
      </c>
      <c r="G109" s="63">
        <f t="shared" si="16"/>
        <v>0</v>
      </c>
      <c r="H109" s="63">
        <v>0</v>
      </c>
      <c r="J109" s="57"/>
    </row>
    <row r="110" spans="1:10" x14ac:dyDescent="0.3">
      <c r="A110" s="8" t="s">
        <v>3169</v>
      </c>
      <c r="B110" s="8">
        <v>1503050</v>
      </c>
      <c r="C110" s="8">
        <v>3.6</v>
      </c>
      <c r="D110" s="9" t="s">
        <v>2644</v>
      </c>
      <c r="E110" s="59">
        <v>12</v>
      </c>
      <c r="F110" s="56" t="s">
        <v>34</v>
      </c>
      <c r="G110" s="63">
        <f t="shared" si="16"/>
        <v>0</v>
      </c>
      <c r="H110" s="63">
        <v>0</v>
      </c>
      <c r="J110" s="57"/>
    </row>
    <row r="111" spans="1:10" x14ac:dyDescent="0.3">
      <c r="A111" s="8" t="s">
        <v>3170</v>
      </c>
      <c r="B111" s="8">
        <v>1503050</v>
      </c>
      <c r="C111" s="8">
        <v>3.7</v>
      </c>
      <c r="D111" s="152" t="s">
        <v>2646</v>
      </c>
      <c r="E111" s="59">
        <v>12</v>
      </c>
      <c r="F111" s="56" t="s">
        <v>34</v>
      </c>
      <c r="G111" s="63">
        <f t="shared" si="16"/>
        <v>0</v>
      </c>
      <c r="H111" s="63">
        <v>0</v>
      </c>
      <c r="J111" s="57"/>
    </row>
    <row r="112" spans="1:10" x14ac:dyDescent="0.3">
      <c r="A112" s="13"/>
      <c r="B112" s="13"/>
      <c r="C112" s="13"/>
      <c r="D112" s="153" t="s">
        <v>3171</v>
      </c>
      <c r="E112" s="59">
        <v>12</v>
      </c>
      <c r="F112" s="56" t="s">
        <v>34</v>
      </c>
      <c r="G112" s="63">
        <f t="shared" si="16"/>
        <v>0</v>
      </c>
      <c r="H112" s="63">
        <v>0</v>
      </c>
      <c r="J112" s="57"/>
    </row>
    <row r="113" spans="1:10" x14ac:dyDescent="0.3">
      <c r="A113" s="13" t="s">
        <v>3172</v>
      </c>
      <c r="B113" s="147">
        <v>1503050</v>
      </c>
      <c r="C113" s="156"/>
      <c r="D113" s="197" t="s">
        <v>2649</v>
      </c>
      <c r="E113" s="59"/>
      <c r="F113" s="56"/>
      <c r="G113" s="63"/>
      <c r="H113" s="63"/>
      <c r="J113" s="57"/>
    </row>
    <row r="114" spans="1:10" x14ac:dyDescent="0.3">
      <c r="A114" s="8" t="s">
        <v>3173</v>
      </c>
      <c r="B114" s="8">
        <v>1503050</v>
      </c>
      <c r="C114" s="149">
        <v>3.1</v>
      </c>
      <c r="D114" s="150" t="s">
        <v>2651</v>
      </c>
      <c r="E114" s="59">
        <v>12</v>
      </c>
      <c r="F114" s="56" t="s">
        <v>34</v>
      </c>
      <c r="G114" s="63">
        <f t="shared" ref="G114" si="17">SUM(G106:G113)</f>
        <v>0</v>
      </c>
      <c r="H114" s="63">
        <f>SUM(H104:H113)</f>
        <v>0</v>
      </c>
      <c r="J114" s="57"/>
    </row>
    <row r="115" spans="1:10" x14ac:dyDescent="0.3">
      <c r="A115" s="8" t="s">
        <v>3174</v>
      </c>
      <c r="B115" s="8">
        <v>1503050</v>
      </c>
      <c r="C115" s="8">
        <v>3.1</v>
      </c>
      <c r="D115" s="151" t="s">
        <v>2653</v>
      </c>
      <c r="E115" s="59">
        <v>12</v>
      </c>
      <c r="F115" s="59" t="s">
        <v>34</v>
      </c>
      <c r="G115" s="63">
        <v>0</v>
      </c>
      <c r="H115" s="63">
        <v>0</v>
      </c>
      <c r="J115" s="57"/>
    </row>
    <row r="116" spans="1:10" x14ac:dyDescent="0.3">
      <c r="A116" s="8" t="s">
        <v>3175</v>
      </c>
      <c r="B116" s="8">
        <v>1503050</v>
      </c>
      <c r="C116" s="8">
        <v>3.1</v>
      </c>
      <c r="D116" s="151" t="s">
        <v>2655</v>
      </c>
      <c r="E116" s="59">
        <v>12</v>
      </c>
      <c r="F116" s="56" t="s">
        <v>34</v>
      </c>
      <c r="G116" s="63">
        <f t="shared" ref="G116:G122" si="18">H116/E116</f>
        <v>0</v>
      </c>
      <c r="H116" s="63">
        <v>0</v>
      </c>
      <c r="J116" s="57"/>
    </row>
    <row r="117" spans="1:10" x14ac:dyDescent="0.3">
      <c r="A117" s="8" t="s">
        <v>3176</v>
      </c>
      <c r="B117" s="8">
        <v>1503050</v>
      </c>
      <c r="C117" s="8">
        <v>3.2</v>
      </c>
      <c r="D117" s="60" t="s">
        <v>2657</v>
      </c>
      <c r="E117" s="59">
        <v>12</v>
      </c>
      <c r="F117" s="56" t="s">
        <v>34</v>
      </c>
      <c r="G117" s="63">
        <f t="shared" si="18"/>
        <v>0</v>
      </c>
      <c r="H117" s="63">
        <v>0</v>
      </c>
      <c r="J117" s="57"/>
    </row>
    <row r="118" spans="1:10" x14ac:dyDescent="0.3">
      <c r="A118" s="8" t="s">
        <v>3177</v>
      </c>
      <c r="B118" s="8">
        <v>1503050</v>
      </c>
      <c r="C118" s="8">
        <v>3.3</v>
      </c>
      <c r="D118" s="9" t="s">
        <v>2659</v>
      </c>
      <c r="E118" s="59">
        <v>12</v>
      </c>
      <c r="F118" s="56" t="s">
        <v>34</v>
      </c>
      <c r="G118" s="63">
        <f t="shared" si="18"/>
        <v>0</v>
      </c>
      <c r="H118" s="63">
        <v>0</v>
      </c>
      <c r="J118" s="57"/>
    </row>
    <row r="119" spans="1:10" x14ac:dyDescent="0.3">
      <c r="A119" s="8" t="s">
        <v>3178</v>
      </c>
      <c r="B119" s="8">
        <v>1503050</v>
      </c>
      <c r="C119" s="8">
        <v>3.5</v>
      </c>
      <c r="D119" s="9" t="s">
        <v>2661</v>
      </c>
      <c r="E119" s="59">
        <v>12</v>
      </c>
      <c r="F119" s="56" t="s">
        <v>34</v>
      </c>
      <c r="G119" s="63">
        <f t="shared" si="18"/>
        <v>0</v>
      </c>
      <c r="H119" s="63">
        <v>0</v>
      </c>
      <c r="J119" s="57"/>
    </row>
    <row r="120" spans="1:10" x14ac:dyDescent="0.3">
      <c r="A120" s="8" t="s">
        <v>3179</v>
      </c>
      <c r="B120" s="8">
        <v>1503050</v>
      </c>
      <c r="C120" s="8">
        <v>3.6</v>
      </c>
      <c r="D120" s="9" t="s">
        <v>2663</v>
      </c>
      <c r="E120" s="59">
        <v>12</v>
      </c>
      <c r="F120" s="56" t="s">
        <v>34</v>
      </c>
      <c r="G120" s="63">
        <f t="shared" si="18"/>
        <v>0</v>
      </c>
      <c r="H120" s="63">
        <v>0</v>
      </c>
      <c r="J120" s="57"/>
    </row>
    <row r="121" spans="1:10" x14ac:dyDescent="0.3">
      <c r="A121" s="8" t="s">
        <v>3180</v>
      </c>
      <c r="B121" s="8">
        <v>1503050</v>
      </c>
      <c r="C121" s="8">
        <v>3.7</v>
      </c>
      <c r="D121" s="152" t="s">
        <v>2665</v>
      </c>
      <c r="E121" s="59">
        <v>12</v>
      </c>
      <c r="F121" s="56" t="s">
        <v>34</v>
      </c>
      <c r="G121" s="63">
        <f t="shared" si="18"/>
        <v>0</v>
      </c>
      <c r="H121" s="63">
        <v>0</v>
      </c>
      <c r="J121" s="57"/>
    </row>
    <row r="122" spans="1:10" x14ac:dyDescent="0.3">
      <c r="A122" s="13"/>
      <c r="B122" s="13"/>
      <c r="C122" s="13"/>
      <c r="D122" s="153" t="s">
        <v>3181</v>
      </c>
      <c r="E122" s="59">
        <v>12</v>
      </c>
      <c r="F122" s="56" t="s">
        <v>34</v>
      </c>
      <c r="G122" s="63">
        <f t="shared" si="18"/>
        <v>0</v>
      </c>
      <c r="H122" s="63">
        <v>0</v>
      </c>
      <c r="J122" s="57"/>
    </row>
    <row r="123" spans="1:10" x14ac:dyDescent="0.3">
      <c r="A123" s="13" t="s">
        <v>2929</v>
      </c>
      <c r="B123" s="147">
        <v>1503050</v>
      </c>
      <c r="C123" s="156"/>
      <c r="D123" s="197" t="s">
        <v>2668</v>
      </c>
      <c r="E123" s="59"/>
      <c r="F123" s="56"/>
      <c r="G123" s="63"/>
      <c r="H123" s="63"/>
      <c r="J123" s="57"/>
    </row>
    <row r="124" spans="1:10" x14ac:dyDescent="0.3">
      <c r="A124" s="8" t="s">
        <v>2932</v>
      </c>
      <c r="B124" s="8">
        <v>1503050</v>
      </c>
      <c r="C124" s="149">
        <v>3.1</v>
      </c>
      <c r="D124" s="150" t="s">
        <v>2670</v>
      </c>
      <c r="E124" s="59">
        <v>12</v>
      </c>
      <c r="F124" s="56" t="s">
        <v>34</v>
      </c>
      <c r="G124" s="63">
        <f t="shared" ref="G124" si="19">SUM(G116:G123)</f>
        <v>0</v>
      </c>
      <c r="H124" s="63">
        <f>SUM(H115:H123)</f>
        <v>0</v>
      </c>
      <c r="J124" s="57"/>
    </row>
    <row r="125" spans="1:10" ht="12.75" customHeight="1" x14ac:dyDescent="0.3">
      <c r="A125" s="8" t="s">
        <v>3182</v>
      </c>
      <c r="B125" s="8">
        <v>1503050</v>
      </c>
      <c r="C125" s="8">
        <v>3.1</v>
      </c>
      <c r="D125" s="151" t="s">
        <v>2672</v>
      </c>
      <c r="E125" s="59">
        <v>12</v>
      </c>
      <c r="F125" s="59" t="s">
        <v>34</v>
      </c>
      <c r="G125" s="63">
        <v>0</v>
      </c>
      <c r="H125" s="63">
        <v>0</v>
      </c>
      <c r="J125" s="57"/>
    </row>
    <row r="126" spans="1:10" x14ac:dyDescent="0.3">
      <c r="A126" s="8" t="s">
        <v>3183</v>
      </c>
      <c r="B126" s="8">
        <v>1503050</v>
      </c>
      <c r="C126" s="8">
        <v>3.1</v>
      </c>
      <c r="D126" s="151" t="s">
        <v>2674</v>
      </c>
      <c r="E126" s="59">
        <v>12</v>
      </c>
      <c r="F126" s="56" t="s">
        <v>34</v>
      </c>
      <c r="G126" s="63">
        <f t="shared" ref="G126:G132" si="20">H126/E126</f>
        <v>0</v>
      </c>
      <c r="H126" s="63">
        <v>0</v>
      </c>
      <c r="J126" s="57"/>
    </row>
    <row r="127" spans="1:10" x14ac:dyDescent="0.3">
      <c r="A127" s="8" t="s">
        <v>3184</v>
      </c>
      <c r="B127" s="8">
        <v>1503050</v>
      </c>
      <c r="C127" s="8">
        <v>3.2</v>
      </c>
      <c r="D127" s="60" t="s">
        <v>2676</v>
      </c>
      <c r="E127" s="59">
        <v>12</v>
      </c>
      <c r="F127" s="56" t="s">
        <v>34</v>
      </c>
      <c r="G127" s="63">
        <f t="shared" si="20"/>
        <v>0</v>
      </c>
      <c r="H127" s="63">
        <v>0</v>
      </c>
      <c r="J127" s="57"/>
    </row>
    <row r="128" spans="1:10" x14ac:dyDescent="0.3">
      <c r="A128" s="8" t="s">
        <v>3185</v>
      </c>
      <c r="B128" s="8">
        <v>1503050</v>
      </c>
      <c r="C128" s="8">
        <v>3.3</v>
      </c>
      <c r="D128" s="9" t="s">
        <v>2678</v>
      </c>
      <c r="E128" s="59">
        <v>12</v>
      </c>
      <c r="F128" s="56" t="s">
        <v>34</v>
      </c>
      <c r="G128" s="63">
        <f t="shared" si="20"/>
        <v>0</v>
      </c>
      <c r="H128" s="63">
        <v>0</v>
      </c>
      <c r="J128" s="57"/>
    </row>
    <row r="129" spans="1:10" ht="12.75" customHeight="1" x14ac:dyDescent="0.3">
      <c r="A129" s="8" t="s">
        <v>3186</v>
      </c>
      <c r="B129" s="8">
        <v>1503050</v>
      </c>
      <c r="C129" s="8">
        <v>3.5</v>
      </c>
      <c r="D129" s="9" t="s">
        <v>2680</v>
      </c>
      <c r="E129" s="59">
        <v>12</v>
      </c>
      <c r="F129" s="56" t="s">
        <v>34</v>
      </c>
      <c r="G129" s="63">
        <f t="shared" si="20"/>
        <v>0</v>
      </c>
      <c r="H129" s="63">
        <v>0</v>
      </c>
      <c r="J129" s="57"/>
    </row>
    <row r="130" spans="1:10" x14ac:dyDescent="0.3">
      <c r="A130" s="8" t="s">
        <v>3187</v>
      </c>
      <c r="B130" s="8">
        <v>1503050</v>
      </c>
      <c r="C130" s="8">
        <v>3.6</v>
      </c>
      <c r="D130" s="9" t="s">
        <v>2682</v>
      </c>
      <c r="E130" s="59">
        <v>12</v>
      </c>
      <c r="F130" s="56" t="s">
        <v>34</v>
      </c>
      <c r="G130" s="63">
        <f t="shared" si="20"/>
        <v>0</v>
      </c>
      <c r="H130" s="63">
        <v>0</v>
      </c>
      <c r="J130" s="57"/>
    </row>
    <row r="131" spans="1:10" x14ac:dyDescent="0.3">
      <c r="A131" s="8" t="s">
        <v>3188</v>
      </c>
      <c r="B131" s="8">
        <v>1503050</v>
      </c>
      <c r="C131" s="8">
        <v>3.7</v>
      </c>
      <c r="D131" s="152" t="s">
        <v>2684</v>
      </c>
      <c r="E131" s="59">
        <v>12</v>
      </c>
      <c r="F131" s="56" t="s">
        <v>34</v>
      </c>
      <c r="G131" s="63">
        <f t="shared" si="20"/>
        <v>0</v>
      </c>
      <c r="H131" s="63">
        <v>0</v>
      </c>
      <c r="J131" s="57"/>
    </row>
    <row r="132" spans="1:10" x14ac:dyDescent="0.3">
      <c r="A132" s="13"/>
      <c r="B132" s="13"/>
      <c r="C132" s="13"/>
      <c r="D132" s="153" t="s">
        <v>3189</v>
      </c>
      <c r="E132" s="59">
        <v>12</v>
      </c>
      <c r="F132" s="56" t="s">
        <v>34</v>
      </c>
      <c r="G132" s="63">
        <f t="shared" si="20"/>
        <v>0</v>
      </c>
      <c r="H132" s="63">
        <v>0</v>
      </c>
      <c r="J132" s="57"/>
    </row>
    <row r="133" spans="1:10" x14ac:dyDescent="0.3">
      <c r="A133" s="13" t="s">
        <v>3190</v>
      </c>
      <c r="B133" s="147">
        <v>1503050</v>
      </c>
      <c r="C133" s="156"/>
      <c r="D133" s="197" t="s">
        <v>2687</v>
      </c>
      <c r="E133" s="59"/>
      <c r="F133" s="56"/>
      <c r="G133" s="63"/>
      <c r="H133" s="63"/>
      <c r="J133" s="57"/>
    </row>
    <row r="134" spans="1:10" x14ac:dyDescent="0.3">
      <c r="A134" s="8" t="s">
        <v>3191</v>
      </c>
      <c r="B134" s="8">
        <v>1503050</v>
      </c>
      <c r="C134" s="149">
        <v>3.1</v>
      </c>
      <c r="D134" s="150" t="s">
        <v>2689</v>
      </c>
      <c r="E134" s="59">
        <v>12</v>
      </c>
      <c r="F134" s="56" t="s">
        <v>34</v>
      </c>
      <c r="G134" s="63">
        <f t="shared" ref="G134" si="21">SUM(G126:G133)</f>
        <v>0</v>
      </c>
      <c r="H134" s="63">
        <f>SUM(H125:H133)</f>
        <v>0</v>
      </c>
      <c r="J134" s="57"/>
    </row>
    <row r="135" spans="1:10" x14ac:dyDescent="0.3">
      <c r="A135" s="8" t="s">
        <v>3192</v>
      </c>
      <c r="B135" s="8">
        <v>1503050</v>
      </c>
      <c r="C135" s="8">
        <v>3.1</v>
      </c>
      <c r="D135" s="151" t="s">
        <v>2691</v>
      </c>
      <c r="E135" s="59">
        <v>12</v>
      </c>
      <c r="F135" s="59" t="s">
        <v>34</v>
      </c>
      <c r="G135" s="63">
        <v>0</v>
      </c>
      <c r="H135" s="63">
        <v>0</v>
      </c>
      <c r="J135" s="57"/>
    </row>
    <row r="136" spans="1:10" x14ac:dyDescent="0.3">
      <c r="A136" s="8" t="s">
        <v>3193</v>
      </c>
      <c r="B136" s="8">
        <v>1503050</v>
      </c>
      <c r="C136" s="8">
        <v>3.1</v>
      </c>
      <c r="D136" s="151" t="s">
        <v>2693</v>
      </c>
      <c r="E136" s="59">
        <v>12</v>
      </c>
      <c r="F136" s="56" t="s">
        <v>34</v>
      </c>
      <c r="G136" s="63">
        <f t="shared" ref="G136:G143" si="22">H136/E136</f>
        <v>0</v>
      </c>
      <c r="H136" s="63">
        <v>0</v>
      </c>
      <c r="J136" s="57"/>
    </row>
    <row r="137" spans="1:10" x14ac:dyDescent="0.3">
      <c r="A137" s="8" t="s">
        <v>3194</v>
      </c>
      <c r="B137" s="8">
        <v>1503050</v>
      </c>
      <c r="C137" s="8">
        <v>3.2</v>
      </c>
      <c r="D137" s="60" t="s">
        <v>2695</v>
      </c>
      <c r="E137" s="59">
        <v>12</v>
      </c>
      <c r="F137" s="56" t="s">
        <v>34</v>
      </c>
      <c r="G137" s="63">
        <f t="shared" si="22"/>
        <v>0</v>
      </c>
      <c r="H137" s="63">
        <v>0</v>
      </c>
      <c r="J137" s="57"/>
    </row>
    <row r="138" spans="1:10" x14ac:dyDescent="0.3">
      <c r="A138" s="8" t="s">
        <v>3195</v>
      </c>
      <c r="B138" s="8">
        <v>1503050</v>
      </c>
      <c r="C138" s="8">
        <v>3.3</v>
      </c>
      <c r="D138" s="9" t="s">
        <v>2697</v>
      </c>
      <c r="E138" s="59">
        <v>12</v>
      </c>
      <c r="F138" s="56" t="s">
        <v>34</v>
      </c>
      <c r="G138" s="63">
        <f t="shared" si="22"/>
        <v>0</v>
      </c>
      <c r="H138" s="63">
        <v>0</v>
      </c>
      <c r="J138" s="57"/>
    </row>
    <row r="139" spans="1:10" x14ac:dyDescent="0.3">
      <c r="A139" s="8" t="s">
        <v>3196</v>
      </c>
      <c r="B139" s="8">
        <v>1503050</v>
      </c>
      <c r="C139" s="8">
        <v>3.5</v>
      </c>
      <c r="D139" s="9" t="s">
        <v>2699</v>
      </c>
      <c r="E139" s="59">
        <v>12</v>
      </c>
      <c r="F139" s="56" t="s">
        <v>34</v>
      </c>
      <c r="G139" s="63">
        <f t="shared" si="22"/>
        <v>0</v>
      </c>
      <c r="H139" s="63">
        <v>0</v>
      </c>
      <c r="J139" s="57"/>
    </row>
    <row r="140" spans="1:10" x14ac:dyDescent="0.3">
      <c r="A140" s="8" t="s">
        <v>3197</v>
      </c>
      <c r="B140" s="8">
        <v>1503050</v>
      </c>
      <c r="C140" s="8">
        <v>3.6</v>
      </c>
      <c r="D140" s="9" t="s">
        <v>2701</v>
      </c>
      <c r="E140" s="59">
        <v>12</v>
      </c>
      <c r="F140" s="56" t="s">
        <v>34</v>
      </c>
      <c r="G140" s="63">
        <f t="shared" si="22"/>
        <v>0</v>
      </c>
      <c r="H140" s="63">
        <v>0</v>
      </c>
      <c r="J140" s="57"/>
    </row>
    <row r="141" spans="1:10" x14ac:dyDescent="0.3">
      <c r="A141" s="157" t="s">
        <v>3198</v>
      </c>
      <c r="B141" s="157">
        <v>1503050</v>
      </c>
      <c r="C141" s="157">
        <v>3.7</v>
      </c>
      <c r="D141" s="158" t="s">
        <v>2703</v>
      </c>
      <c r="E141" s="59">
        <v>12</v>
      </c>
      <c r="F141" s="56" t="s">
        <v>34</v>
      </c>
      <c r="G141" s="63">
        <f t="shared" si="22"/>
        <v>0</v>
      </c>
      <c r="H141" s="63">
        <v>0</v>
      </c>
      <c r="J141" s="57"/>
    </row>
    <row r="142" spans="1:10" x14ac:dyDescent="0.3">
      <c r="A142" s="156"/>
      <c r="B142" s="156"/>
      <c r="C142" s="156"/>
      <c r="D142" s="159" t="s">
        <v>3199</v>
      </c>
      <c r="E142" s="59">
        <v>12</v>
      </c>
      <c r="F142" s="56" t="s">
        <v>34</v>
      </c>
      <c r="G142" s="63">
        <f t="shared" si="22"/>
        <v>0</v>
      </c>
      <c r="H142" s="63">
        <v>0</v>
      </c>
      <c r="J142" s="57"/>
    </row>
    <row r="143" spans="1:10" x14ac:dyDescent="0.3">
      <c r="A143" s="156" t="s">
        <v>1519</v>
      </c>
      <c r="B143" s="156">
        <v>1503050</v>
      </c>
      <c r="C143" s="156" t="s">
        <v>14</v>
      </c>
      <c r="D143" s="159" t="s">
        <v>2705</v>
      </c>
      <c r="E143" s="193">
        <v>12</v>
      </c>
      <c r="F143" s="189" t="s">
        <v>34</v>
      </c>
      <c r="G143" s="190">
        <f t="shared" si="22"/>
        <v>0</v>
      </c>
      <c r="H143" s="63">
        <v>0</v>
      </c>
      <c r="J143" s="57"/>
    </row>
    <row r="144" spans="1:10" x14ac:dyDescent="0.3">
      <c r="A144" s="156" t="s">
        <v>1520</v>
      </c>
      <c r="B144" s="156">
        <v>1503050</v>
      </c>
      <c r="C144" s="156"/>
      <c r="D144" s="197" t="s">
        <v>2708</v>
      </c>
      <c r="E144" s="59"/>
      <c r="F144" s="56"/>
      <c r="G144" s="63"/>
      <c r="H144" s="63"/>
      <c r="J144" s="57"/>
    </row>
    <row r="145" spans="1:10" ht="12.75" customHeight="1" x14ac:dyDescent="0.3">
      <c r="A145" s="160" t="s">
        <v>3200</v>
      </c>
      <c r="B145" s="160">
        <v>1503050</v>
      </c>
      <c r="C145" s="161"/>
      <c r="D145" s="198" t="s">
        <v>2710</v>
      </c>
      <c r="E145" s="56"/>
      <c r="F145" s="56"/>
      <c r="G145" s="63"/>
      <c r="H145" s="63"/>
      <c r="J145" s="57"/>
    </row>
    <row r="146" spans="1:10" x14ac:dyDescent="0.3">
      <c r="A146" s="8" t="s">
        <v>3201</v>
      </c>
      <c r="B146" s="8">
        <v>1503050</v>
      </c>
      <c r="C146" s="8">
        <v>3.1</v>
      </c>
      <c r="D146" s="150" t="s">
        <v>2712</v>
      </c>
      <c r="E146" s="194">
        <v>12</v>
      </c>
      <c r="F146" s="195" t="s">
        <v>34</v>
      </c>
      <c r="G146" s="196">
        <f t="shared" ref="G146:G153" si="23">H146/E146</f>
        <v>0</v>
      </c>
      <c r="H146" s="63">
        <v>0</v>
      </c>
      <c r="J146" s="57"/>
    </row>
    <row r="147" spans="1:10" x14ac:dyDescent="0.3">
      <c r="A147" s="8" t="s">
        <v>3202</v>
      </c>
      <c r="B147" s="8">
        <v>1503050</v>
      </c>
      <c r="C147" s="8">
        <v>3.1</v>
      </c>
      <c r="D147" s="151" t="s">
        <v>2714</v>
      </c>
      <c r="E147" s="59">
        <v>12</v>
      </c>
      <c r="F147" s="56" t="s">
        <v>34</v>
      </c>
      <c r="G147" s="63">
        <f t="shared" si="23"/>
        <v>0</v>
      </c>
      <c r="H147" s="63">
        <v>0</v>
      </c>
      <c r="J147" s="57"/>
    </row>
    <row r="148" spans="1:10" x14ac:dyDescent="0.3">
      <c r="A148" s="8" t="s">
        <v>3203</v>
      </c>
      <c r="B148" s="8">
        <v>1503050</v>
      </c>
      <c r="C148" s="8">
        <v>3.1</v>
      </c>
      <c r="D148" s="162" t="s">
        <v>2716</v>
      </c>
      <c r="E148" s="59">
        <v>12</v>
      </c>
      <c r="F148" s="56" t="s">
        <v>34</v>
      </c>
      <c r="G148" s="63">
        <f t="shared" si="23"/>
        <v>0</v>
      </c>
      <c r="H148" s="63">
        <v>0</v>
      </c>
      <c r="J148" s="57"/>
    </row>
    <row r="149" spans="1:10" ht="12.75" customHeight="1" x14ac:dyDescent="0.3">
      <c r="A149" s="8" t="s">
        <v>3204</v>
      </c>
      <c r="B149" s="8">
        <v>1503050</v>
      </c>
      <c r="C149" s="8">
        <v>3.2</v>
      </c>
      <c r="D149" s="60" t="s">
        <v>2718</v>
      </c>
      <c r="E149" s="59">
        <v>12</v>
      </c>
      <c r="F149" s="56" t="s">
        <v>34</v>
      </c>
      <c r="G149" s="63">
        <f t="shared" si="23"/>
        <v>0</v>
      </c>
      <c r="H149" s="63">
        <v>0</v>
      </c>
      <c r="J149" s="57"/>
    </row>
    <row r="150" spans="1:10" x14ac:dyDescent="0.3">
      <c r="A150" s="8" t="s">
        <v>3205</v>
      </c>
      <c r="B150" s="8">
        <v>1503050</v>
      </c>
      <c r="C150" s="8">
        <v>3.3</v>
      </c>
      <c r="D150" s="9" t="s">
        <v>2720</v>
      </c>
      <c r="E150" s="59">
        <v>12</v>
      </c>
      <c r="F150" s="56" t="s">
        <v>34</v>
      </c>
      <c r="G150" s="63">
        <f t="shared" si="23"/>
        <v>0</v>
      </c>
      <c r="H150" s="63">
        <v>0</v>
      </c>
      <c r="J150" s="57"/>
    </row>
    <row r="151" spans="1:10" x14ac:dyDescent="0.3">
      <c r="A151" s="8" t="s">
        <v>3206</v>
      </c>
      <c r="B151" s="8">
        <v>1503050</v>
      </c>
      <c r="C151" s="8">
        <v>3.5</v>
      </c>
      <c r="D151" s="9" t="s">
        <v>2722</v>
      </c>
      <c r="E151" s="59">
        <v>12</v>
      </c>
      <c r="F151" s="56" t="s">
        <v>34</v>
      </c>
      <c r="G151" s="63">
        <f t="shared" si="23"/>
        <v>0</v>
      </c>
      <c r="H151" s="63">
        <v>0</v>
      </c>
      <c r="J151" s="57"/>
    </row>
    <row r="152" spans="1:10" x14ac:dyDescent="0.3">
      <c r="A152" s="8" t="s">
        <v>3207</v>
      </c>
      <c r="B152" s="8">
        <v>1503050</v>
      </c>
      <c r="C152" s="8">
        <v>3.6</v>
      </c>
      <c r="D152" s="9" t="s">
        <v>2724</v>
      </c>
      <c r="E152" s="59">
        <v>12</v>
      </c>
      <c r="F152" s="56" t="s">
        <v>34</v>
      </c>
      <c r="G152" s="63">
        <f t="shared" si="23"/>
        <v>0</v>
      </c>
      <c r="H152" s="63">
        <v>0</v>
      </c>
      <c r="J152" s="57"/>
    </row>
    <row r="153" spans="1:10" x14ac:dyDescent="0.3">
      <c r="A153" s="8" t="s">
        <v>3208</v>
      </c>
      <c r="B153" s="8">
        <v>1503050</v>
      </c>
      <c r="C153" s="8">
        <v>3.7</v>
      </c>
      <c r="D153" s="152" t="s">
        <v>2726</v>
      </c>
      <c r="E153" s="59">
        <v>12</v>
      </c>
      <c r="F153" s="56" t="s">
        <v>34</v>
      </c>
      <c r="G153" s="63">
        <f t="shared" si="23"/>
        <v>0</v>
      </c>
      <c r="H153" s="63">
        <v>0</v>
      </c>
      <c r="J153" s="57"/>
    </row>
    <row r="154" spans="1:10" x14ac:dyDescent="0.3">
      <c r="A154" s="13"/>
      <c r="B154" s="13"/>
      <c r="C154" s="13"/>
      <c r="D154" s="153" t="s">
        <v>3209</v>
      </c>
      <c r="E154" s="193">
        <v>12</v>
      </c>
      <c r="F154" s="189" t="s">
        <v>34</v>
      </c>
      <c r="G154" s="190">
        <f t="shared" ref="G154:H154" si="24">SUM(G146:G153)</f>
        <v>0</v>
      </c>
      <c r="H154" s="190">
        <f t="shared" si="24"/>
        <v>0</v>
      </c>
      <c r="J154" s="57"/>
    </row>
    <row r="155" spans="1:10" x14ac:dyDescent="0.3">
      <c r="A155" s="160" t="s">
        <v>3210</v>
      </c>
      <c r="B155" s="160">
        <v>1503050</v>
      </c>
      <c r="C155" s="161"/>
      <c r="D155" s="198" t="s">
        <v>2728</v>
      </c>
      <c r="E155" s="56"/>
      <c r="F155" s="56"/>
      <c r="G155" s="63"/>
      <c r="H155" s="63"/>
      <c r="J155" s="57"/>
    </row>
    <row r="156" spans="1:10" x14ac:dyDescent="0.3">
      <c r="A156" s="8" t="s">
        <v>3210</v>
      </c>
      <c r="B156" s="8">
        <v>1503050</v>
      </c>
      <c r="C156" s="8">
        <v>3.1</v>
      </c>
      <c r="D156" s="150" t="s">
        <v>2730</v>
      </c>
      <c r="E156" s="194">
        <v>12</v>
      </c>
      <c r="F156" s="195" t="s">
        <v>34</v>
      </c>
      <c r="G156" s="196">
        <f t="shared" ref="G156:G163" si="25">H156/E156</f>
        <v>0</v>
      </c>
      <c r="H156" s="196">
        <v>0</v>
      </c>
      <c r="J156" s="57"/>
    </row>
    <row r="157" spans="1:10" x14ac:dyDescent="0.3">
      <c r="A157" s="8" t="s">
        <v>3211</v>
      </c>
      <c r="B157" s="8">
        <v>1503050</v>
      </c>
      <c r="C157" s="8">
        <v>3.1</v>
      </c>
      <c r="D157" s="151" t="s">
        <v>2732</v>
      </c>
      <c r="E157" s="59">
        <v>12</v>
      </c>
      <c r="F157" s="56" t="s">
        <v>34</v>
      </c>
      <c r="G157" s="63">
        <f t="shared" si="25"/>
        <v>0</v>
      </c>
      <c r="H157" s="63">
        <v>0</v>
      </c>
      <c r="J157" s="57"/>
    </row>
    <row r="158" spans="1:10" x14ac:dyDescent="0.3">
      <c r="A158" s="8" t="s">
        <v>3212</v>
      </c>
      <c r="B158" s="8">
        <v>1503050</v>
      </c>
      <c r="C158" s="8">
        <v>3.1</v>
      </c>
      <c r="D158" s="162" t="s">
        <v>2734</v>
      </c>
      <c r="E158" s="59">
        <v>12</v>
      </c>
      <c r="F158" s="56" t="s">
        <v>34</v>
      </c>
      <c r="G158" s="63">
        <f t="shared" si="25"/>
        <v>0</v>
      </c>
      <c r="H158" s="63">
        <v>0</v>
      </c>
      <c r="J158" s="57"/>
    </row>
    <row r="159" spans="1:10" x14ac:dyDescent="0.3">
      <c r="A159" s="8" t="s">
        <v>3213</v>
      </c>
      <c r="B159" s="8">
        <v>1503050</v>
      </c>
      <c r="C159" s="8">
        <v>3.2</v>
      </c>
      <c r="D159" s="60" t="s">
        <v>2736</v>
      </c>
      <c r="E159" s="59">
        <v>12</v>
      </c>
      <c r="F159" s="56" t="s">
        <v>34</v>
      </c>
      <c r="G159" s="63">
        <f t="shared" si="25"/>
        <v>0</v>
      </c>
      <c r="H159" s="63">
        <v>0</v>
      </c>
      <c r="J159" s="57"/>
    </row>
    <row r="160" spans="1:10" x14ac:dyDescent="0.3">
      <c r="A160" s="8" t="s">
        <v>3214</v>
      </c>
      <c r="B160" s="8">
        <v>1503050</v>
      </c>
      <c r="C160" s="8">
        <v>3.3</v>
      </c>
      <c r="D160" s="9" t="s">
        <v>2738</v>
      </c>
      <c r="E160" s="59">
        <v>12</v>
      </c>
      <c r="F160" s="56" t="s">
        <v>34</v>
      </c>
      <c r="G160" s="63">
        <f t="shared" si="25"/>
        <v>0</v>
      </c>
      <c r="H160" s="63">
        <v>0</v>
      </c>
      <c r="J160" s="57"/>
    </row>
    <row r="161" spans="1:10" x14ac:dyDescent="0.3">
      <c r="A161" s="8" t="s">
        <v>3215</v>
      </c>
      <c r="B161" s="8">
        <v>1503050</v>
      </c>
      <c r="C161" s="8">
        <v>3.5</v>
      </c>
      <c r="D161" s="9" t="s">
        <v>2740</v>
      </c>
      <c r="E161" s="59">
        <v>12</v>
      </c>
      <c r="F161" s="56" t="s">
        <v>34</v>
      </c>
      <c r="G161" s="63">
        <f t="shared" si="25"/>
        <v>0</v>
      </c>
      <c r="H161" s="63">
        <v>0</v>
      </c>
      <c r="J161" s="57"/>
    </row>
    <row r="162" spans="1:10" x14ac:dyDescent="0.3">
      <c r="A162" s="8" t="s">
        <v>3216</v>
      </c>
      <c r="B162" s="8">
        <v>1503050</v>
      </c>
      <c r="C162" s="8">
        <v>3.6</v>
      </c>
      <c r="D162" s="9" t="s">
        <v>2742</v>
      </c>
      <c r="E162" s="59">
        <v>12</v>
      </c>
      <c r="F162" s="56" t="s">
        <v>34</v>
      </c>
      <c r="G162" s="63">
        <f t="shared" si="25"/>
        <v>0</v>
      </c>
      <c r="H162" s="63">
        <v>0</v>
      </c>
      <c r="J162" s="57"/>
    </row>
    <row r="163" spans="1:10" x14ac:dyDescent="0.3">
      <c r="A163" s="8" t="s">
        <v>3217</v>
      </c>
      <c r="B163" s="8">
        <v>1503050</v>
      </c>
      <c r="C163" s="8">
        <v>3.7</v>
      </c>
      <c r="D163" s="152" t="s">
        <v>2744</v>
      </c>
      <c r="E163" s="59">
        <v>12</v>
      </c>
      <c r="F163" s="56" t="s">
        <v>34</v>
      </c>
      <c r="G163" s="63">
        <f t="shared" si="25"/>
        <v>0</v>
      </c>
      <c r="H163" s="63">
        <v>0</v>
      </c>
      <c r="J163" s="57"/>
    </row>
    <row r="164" spans="1:10" x14ac:dyDescent="0.3">
      <c r="A164" s="13"/>
      <c r="B164" s="13"/>
      <c r="C164" s="13"/>
      <c r="D164" s="153" t="s">
        <v>3218</v>
      </c>
      <c r="E164" s="193">
        <v>12</v>
      </c>
      <c r="F164" s="189" t="s">
        <v>34</v>
      </c>
      <c r="G164" s="190">
        <f t="shared" ref="G164:H164" si="26">SUM(G156:G163)</f>
        <v>0</v>
      </c>
      <c r="H164" s="63">
        <f t="shared" si="26"/>
        <v>0</v>
      </c>
      <c r="J164" s="57"/>
    </row>
    <row r="165" spans="1:10" ht="12.75" customHeight="1" x14ac:dyDescent="0.3">
      <c r="A165" s="160" t="s">
        <v>3219</v>
      </c>
      <c r="B165" s="160">
        <v>1503050</v>
      </c>
      <c r="C165" s="161"/>
      <c r="D165" s="198" t="s">
        <v>2868</v>
      </c>
      <c r="E165" s="56"/>
      <c r="F165" s="56"/>
      <c r="G165" s="63"/>
      <c r="H165" s="63"/>
      <c r="J165" s="57"/>
    </row>
    <row r="166" spans="1:10" x14ac:dyDescent="0.3">
      <c r="A166" s="8" t="s">
        <v>3220</v>
      </c>
      <c r="B166" s="8">
        <v>1503050</v>
      </c>
      <c r="C166" s="8">
        <v>3.1</v>
      </c>
      <c r="D166" s="150" t="s">
        <v>2748</v>
      </c>
      <c r="E166" s="194">
        <v>12</v>
      </c>
      <c r="F166" s="195" t="s">
        <v>34</v>
      </c>
      <c r="G166" s="196">
        <f t="shared" ref="G166:G173" si="27">H166/E166</f>
        <v>0</v>
      </c>
      <c r="H166" s="63">
        <v>0</v>
      </c>
      <c r="J166" s="57"/>
    </row>
    <row r="167" spans="1:10" x14ac:dyDescent="0.3">
      <c r="A167" s="8" t="s">
        <v>3221</v>
      </c>
      <c r="B167" s="8">
        <v>1503050</v>
      </c>
      <c r="C167" s="8">
        <v>3.1</v>
      </c>
      <c r="D167" s="151" t="s">
        <v>2750</v>
      </c>
      <c r="E167" s="59">
        <v>12</v>
      </c>
      <c r="F167" s="56" t="s">
        <v>34</v>
      </c>
      <c r="G167" s="63">
        <f t="shared" si="27"/>
        <v>0</v>
      </c>
      <c r="H167" s="63">
        <v>0</v>
      </c>
      <c r="J167" s="57"/>
    </row>
    <row r="168" spans="1:10" x14ac:dyDescent="0.3">
      <c r="A168" s="8" t="s">
        <v>3222</v>
      </c>
      <c r="B168" s="8">
        <v>1503050</v>
      </c>
      <c r="C168" s="8">
        <v>3.1</v>
      </c>
      <c r="D168" s="162" t="s">
        <v>2752</v>
      </c>
      <c r="E168" s="59">
        <v>12</v>
      </c>
      <c r="F168" s="56" t="s">
        <v>34</v>
      </c>
      <c r="G168" s="63">
        <f t="shared" si="27"/>
        <v>0</v>
      </c>
      <c r="H168" s="63">
        <v>0</v>
      </c>
      <c r="J168" s="57"/>
    </row>
    <row r="169" spans="1:10" ht="12.75" customHeight="1" x14ac:dyDescent="0.3">
      <c r="A169" s="8" t="s">
        <v>3223</v>
      </c>
      <c r="B169" s="8">
        <v>1503050</v>
      </c>
      <c r="C169" s="8">
        <v>3.2</v>
      </c>
      <c r="D169" s="60" t="s">
        <v>2754</v>
      </c>
      <c r="E169" s="59">
        <v>12</v>
      </c>
      <c r="F169" s="56" t="s">
        <v>34</v>
      </c>
      <c r="G169" s="63">
        <f t="shared" si="27"/>
        <v>0</v>
      </c>
      <c r="H169" s="63">
        <v>0</v>
      </c>
      <c r="J169" s="57"/>
    </row>
    <row r="170" spans="1:10" x14ac:dyDescent="0.3">
      <c r="A170" s="8" t="s">
        <v>3225</v>
      </c>
      <c r="B170" s="8">
        <v>1503050</v>
      </c>
      <c r="C170" s="8">
        <v>3.3</v>
      </c>
      <c r="D170" s="9" t="s">
        <v>2756</v>
      </c>
      <c r="E170" s="59">
        <v>12</v>
      </c>
      <c r="F170" s="56" t="s">
        <v>34</v>
      </c>
      <c r="G170" s="63">
        <f t="shared" si="27"/>
        <v>0</v>
      </c>
      <c r="H170" s="63">
        <v>0</v>
      </c>
      <c r="J170" s="57"/>
    </row>
    <row r="171" spans="1:10" x14ac:dyDescent="0.3">
      <c r="A171" s="8" t="s">
        <v>3224</v>
      </c>
      <c r="B171" s="8">
        <v>1503050</v>
      </c>
      <c r="C171" s="8">
        <v>3.5</v>
      </c>
      <c r="D171" s="9" t="s">
        <v>2758</v>
      </c>
      <c r="E171" s="59">
        <v>12</v>
      </c>
      <c r="F171" s="56" t="s">
        <v>34</v>
      </c>
      <c r="G171" s="63">
        <f t="shared" si="27"/>
        <v>0</v>
      </c>
      <c r="H171" s="63">
        <v>0</v>
      </c>
      <c r="J171" s="57"/>
    </row>
    <row r="172" spans="1:10" x14ac:dyDescent="0.3">
      <c r="A172" s="8" t="s">
        <v>3226</v>
      </c>
      <c r="B172" s="8">
        <v>1503050</v>
      </c>
      <c r="C172" s="8">
        <v>3.6</v>
      </c>
      <c r="D172" s="9" t="s">
        <v>2760</v>
      </c>
      <c r="E172" s="59">
        <v>12</v>
      </c>
      <c r="F172" s="56" t="s">
        <v>34</v>
      </c>
      <c r="G172" s="63">
        <f t="shared" si="27"/>
        <v>0</v>
      </c>
      <c r="H172" s="63">
        <v>0</v>
      </c>
      <c r="J172" s="57"/>
    </row>
    <row r="173" spans="1:10" x14ac:dyDescent="0.3">
      <c r="A173" s="8" t="s">
        <v>3227</v>
      </c>
      <c r="B173" s="8">
        <v>1503050</v>
      </c>
      <c r="C173" s="8">
        <v>3.7</v>
      </c>
      <c r="D173" s="152" t="s">
        <v>2762</v>
      </c>
      <c r="E173" s="59">
        <v>12</v>
      </c>
      <c r="F173" s="56" t="s">
        <v>34</v>
      </c>
      <c r="G173" s="63">
        <f t="shared" si="27"/>
        <v>0</v>
      </c>
      <c r="H173" s="63">
        <v>0</v>
      </c>
      <c r="J173" s="57"/>
    </row>
    <row r="174" spans="1:10" x14ac:dyDescent="0.3">
      <c r="A174" s="13"/>
      <c r="B174" s="13"/>
      <c r="C174" s="13"/>
      <c r="D174" s="153" t="s">
        <v>3228</v>
      </c>
      <c r="E174" s="193">
        <v>12</v>
      </c>
      <c r="F174" s="189" t="s">
        <v>34</v>
      </c>
      <c r="G174" s="190">
        <f t="shared" ref="G174:H174" si="28">SUM(G166:G173)</f>
        <v>0</v>
      </c>
      <c r="H174" s="63">
        <f t="shared" si="28"/>
        <v>0</v>
      </c>
      <c r="J174" s="57"/>
    </row>
    <row r="175" spans="1:10" x14ac:dyDescent="0.3">
      <c r="A175" s="160" t="s">
        <v>3229</v>
      </c>
      <c r="B175" s="160">
        <v>1503050</v>
      </c>
      <c r="C175" s="161"/>
      <c r="D175" s="198" t="s">
        <v>2765</v>
      </c>
      <c r="E175" s="59"/>
      <c r="F175" s="56"/>
      <c r="G175" s="63"/>
      <c r="H175" s="63"/>
      <c r="J175" s="57"/>
    </row>
    <row r="176" spans="1:10" x14ac:dyDescent="0.3">
      <c r="A176" s="8" t="s">
        <v>3230</v>
      </c>
      <c r="B176" s="8">
        <v>1503050</v>
      </c>
      <c r="C176" s="8">
        <v>3.1</v>
      </c>
      <c r="D176" s="150" t="s">
        <v>2767</v>
      </c>
      <c r="E176" s="194">
        <v>12</v>
      </c>
      <c r="F176" s="195" t="s">
        <v>34</v>
      </c>
      <c r="G176" s="196">
        <f t="shared" ref="G176:G183" si="29">H176/E176</f>
        <v>0</v>
      </c>
      <c r="H176" s="63">
        <v>0</v>
      </c>
      <c r="J176" s="57"/>
    </row>
    <row r="177" spans="1:10" x14ac:dyDescent="0.3">
      <c r="A177" s="8" t="s">
        <v>3231</v>
      </c>
      <c r="B177" s="8">
        <v>1503050</v>
      </c>
      <c r="C177" s="8">
        <v>3.1</v>
      </c>
      <c r="D177" s="151" t="s">
        <v>2769</v>
      </c>
      <c r="E177" s="59">
        <v>12</v>
      </c>
      <c r="F177" s="56" t="s">
        <v>34</v>
      </c>
      <c r="G177" s="63">
        <f t="shared" si="29"/>
        <v>0</v>
      </c>
      <c r="H177" s="63">
        <v>0</v>
      </c>
      <c r="J177" s="57"/>
    </row>
    <row r="178" spans="1:10" x14ac:dyDescent="0.3">
      <c r="A178" s="8" t="s">
        <v>3232</v>
      </c>
      <c r="B178" s="8">
        <v>1503050</v>
      </c>
      <c r="C178" s="8">
        <v>3.1</v>
      </c>
      <c r="D178" s="162" t="s">
        <v>2771</v>
      </c>
      <c r="E178" s="59">
        <v>12</v>
      </c>
      <c r="F178" s="56" t="s">
        <v>34</v>
      </c>
      <c r="G178" s="63">
        <f t="shared" si="29"/>
        <v>0</v>
      </c>
      <c r="H178" s="63">
        <v>0</v>
      </c>
      <c r="J178" s="57"/>
    </row>
    <row r="179" spans="1:10" x14ac:dyDescent="0.3">
      <c r="A179" s="8" t="s">
        <v>3233</v>
      </c>
      <c r="B179" s="8">
        <v>1503050</v>
      </c>
      <c r="C179" s="8">
        <v>3.2</v>
      </c>
      <c r="D179" s="60" t="s">
        <v>2773</v>
      </c>
      <c r="E179" s="59">
        <v>12</v>
      </c>
      <c r="F179" s="56" t="s">
        <v>34</v>
      </c>
      <c r="G179" s="63">
        <f t="shared" si="29"/>
        <v>0</v>
      </c>
      <c r="H179" s="63">
        <v>0</v>
      </c>
      <c r="J179" s="57"/>
    </row>
    <row r="180" spans="1:10" x14ac:dyDescent="0.3">
      <c r="A180" s="8" t="s">
        <v>3234</v>
      </c>
      <c r="B180" s="8">
        <v>1503050</v>
      </c>
      <c r="C180" s="8">
        <v>3.3</v>
      </c>
      <c r="D180" s="9" t="s">
        <v>2775</v>
      </c>
      <c r="E180" s="59">
        <v>12</v>
      </c>
      <c r="F180" s="56" t="s">
        <v>34</v>
      </c>
      <c r="G180" s="63">
        <f t="shared" si="29"/>
        <v>0</v>
      </c>
      <c r="H180" s="63">
        <v>0</v>
      </c>
      <c r="J180" s="57"/>
    </row>
    <row r="181" spans="1:10" x14ac:dyDescent="0.3">
      <c r="A181" s="8" t="s">
        <v>3235</v>
      </c>
      <c r="B181" s="8">
        <v>1503050</v>
      </c>
      <c r="C181" s="8">
        <v>3.5</v>
      </c>
      <c r="D181" s="9" t="s">
        <v>2777</v>
      </c>
      <c r="E181" s="59">
        <v>12</v>
      </c>
      <c r="F181" s="56" t="s">
        <v>34</v>
      </c>
      <c r="G181" s="63">
        <f t="shared" si="29"/>
        <v>0</v>
      </c>
      <c r="H181" s="63">
        <v>0</v>
      </c>
      <c r="J181" s="57"/>
    </row>
    <row r="182" spans="1:10" x14ac:dyDescent="0.3">
      <c r="A182" s="8" t="s">
        <v>3236</v>
      </c>
      <c r="B182" s="8">
        <v>1503050</v>
      </c>
      <c r="C182" s="8">
        <v>3.6</v>
      </c>
      <c r="D182" s="9" t="s">
        <v>2779</v>
      </c>
      <c r="E182" s="59">
        <v>12</v>
      </c>
      <c r="F182" s="56" t="s">
        <v>34</v>
      </c>
      <c r="G182" s="63">
        <f t="shared" si="29"/>
        <v>0</v>
      </c>
      <c r="H182" s="63">
        <v>0</v>
      </c>
      <c r="J182" s="57"/>
    </row>
    <row r="183" spans="1:10" x14ac:dyDescent="0.3">
      <c r="A183" s="8" t="s">
        <v>3237</v>
      </c>
      <c r="B183" s="8">
        <v>1503050</v>
      </c>
      <c r="C183" s="8">
        <v>3.7</v>
      </c>
      <c r="D183" s="152" t="s">
        <v>2781</v>
      </c>
      <c r="E183" s="59">
        <v>12</v>
      </c>
      <c r="F183" s="56" t="s">
        <v>34</v>
      </c>
      <c r="G183" s="63">
        <f t="shared" si="29"/>
        <v>0</v>
      </c>
      <c r="H183" s="63">
        <v>0</v>
      </c>
      <c r="J183" s="57"/>
    </row>
    <row r="184" spans="1:10" x14ac:dyDescent="0.3">
      <c r="A184" s="13"/>
      <c r="B184" s="13"/>
      <c r="C184" s="13"/>
      <c r="D184" s="153" t="s">
        <v>3238</v>
      </c>
      <c r="E184" s="59">
        <v>12</v>
      </c>
      <c r="F184" s="56" t="s">
        <v>34</v>
      </c>
      <c r="G184" s="63">
        <f t="shared" ref="G184:H184" si="30">SUM(G176:G183)</f>
        <v>0</v>
      </c>
      <c r="H184" s="63">
        <f t="shared" si="30"/>
        <v>0</v>
      </c>
      <c r="J184" s="57"/>
    </row>
    <row r="185" spans="1:10" x14ac:dyDescent="0.3">
      <c r="A185" s="13" t="s">
        <v>1520</v>
      </c>
      <c r="B185" s="13">
        <v>1503050</v>
      </c>
      <c r="C185" s="13" t="s">
        <v>14</v>
      </c>
      <c r="D185" s="153" t="s">
        <v>2783</v>
      </c>
      <c r="E185" s="193">
        <v>12</v>
      </c>
      <c r="F185" s="189" t="s">
        <v>34</v>
      </c>
      <c r="G185" s="190">
        <f>G184+G174+G164+G154+G144+G134+G124+G114</f>
        <v>0</v>
      </c>
      <c r="H185" s="63">
        <f>H184+H174+H164+H154+H144+H134+H124+H114</f>
        <v>0</v>
      </c>
      <c r="J185" s="57" t="s">
        <v>14</v>
      </c>
    </row>
    <row r="186" spans="1:10" x14ac:dyDescent="0.3">
      <c r="A186" s="13" t="s">
        <v>1521</v>
      </c>
      <c r="B186" s="13">
        <v>1503050</v>
      </c>
      <c r="C186" s="13" t="s">
        <v>14</v>
      </c>
      <c r="D186" s="199" t="s">
        <v>2784</v>
      </c>
      <c r="E186" s="56"/>
      <c r="F186" s="56"/>
      <c r="G186" s="63"/>
      <c r="H186" s="63"/>
      <c r="J186" s="57" t="s">
        <v>14</v>
      </c>
    </row>
    <row r="187" spans="1:10" ht="12.75" customHeight="1" x14ac:dyDescent="0.3">
      <c r="A187" s="13" t="s">
        <v>1522</v>
      </c>
      <c r="B187" s="13">
        <v>1503050</v>
      </c>
      <c r="C187" s="13"/>
      <c r="D187" s="200" t="s">
        <v>2785</v>
      </c>
      <c r="E187" s="56"/>
      <c r="F187" s="56"/>
      <c r="G187" s="63"/>
      <c r="H187" s="63"/>
      <c r="J187" s="57"/>
    </row>
    <row r="188" spans="1:10" x14ac:dyDescent="0.3">
      <c r="A188" s="13" t="s">
        <v>1523</v>
      </c>
      <c r="B188" s="13"/>
      <c r="C188" s="147" t="s">
        <v>14</v>
      </c>
      <c r="D188" s="185" t="s">
        <v>152</v>
      </c>
      <c r="E188" s="59"/>
      <c r="F188" s="56"/>
      <c r="G188" s="63"/>
      <c r="H188" s="63"/>
      <c r="J188" s="57"/>
    </row>
    <row r="189" spans="1:10" x14ac:dyDescent="0.3">
      <c r="A189" s="13" t="s">
        <v>1524</v>
      </c>
      <c r="B189" s="13">
        <v>1503050</v>
      </c>
      <c r="C189" s="147"/>
      <c r="D189" s="179" t="s">
        <v>2786</v>
      </c>
      <c r="E189" s="59"/>
      <c r="F189" s="56"/>
      <c r="G189" s="63"/>
      <c r="H189" s="63"/>
      <c r="J189" s="57"/>
    </row>
    <row r="190" spans="1:10" x14ac:dyDescent="0.3">
      <c r="A190" s="8" t="s">
        <v>1525</v>
      </c>
      <c r="B190" s="8">
        <v>1503050</v>
      </c>
      <c r="C190" s="146">
        <v>3.1</v>
      </c>
      <c r="D190" s="164" t="s">
        <v>155</v>
      </c>
      <c r="E190" s="194">
        <v>12</v>
      </c>
      <c r="F190" s="195" t="s">
        <v>34</v>
      </c>
      <c r="G190" s="196">
        <f t="shared" ref="G190:G195" si="31">H190/E190</f>
        <v>0</v>
      </c>
      <c r="H190" s="63">
        <v>0</v>
      </c>
      <c r="J190" s="57"/>
    </row>
    <row r="191" spans="1:10" ht="12.75" customHeight="1" x14ac:dyDescent="0.3">
      <c r="A191" s="8" t="s">
        <v>1526</v>
      </c>
      <c r="B191" s="8">
        <v>1503050</v>
      </c>
      <c r="C191" s="146">
        <v>3.1</v>
      </c>
      <c r="D191" s="165" t="s">
        <v>2787</v>
      </c>
      <c r="E191" s="59">
        <v>12</v>
      </c>
      <c r="F191" s="56" t="s">
        <v>34</v>
      </c>
      <c r="G191" s="63">
        <f t="shared" si="31"/>
        <v>0</v>
      </c>
      <c r="H191" s="63">
        <v>0</v>
      </c>
      <c r="J191" s="57"/>
    </row>
    <row r="192" spans="1:10" x14ac:dyDescent="0.3">
      <c r="A192" s="8" t="s">
        <v>1527</v>
      </c>
      <c r="B192" s="8">
        <v>1503050</v>
      </c>
      <c r="C192" s="8">
        <v>3.1</v>
      </c>
      <c r="D192" s="166" t="s">
        <v>158</v>
      </c>
      <c r="E192" s="59">
        <v>12</v>
      </c>
      <c r="F192" s="56" t="s">
        <v>34</v>
      </c>
      <c r="G192" s="63">
        <f t="shared" si="31"/>
        <v>0</v>
      </c>
      <c r="H192" s="63">
        <v>0</v>
      </c>
      <c r="J192" s="57"/>
    </row>
    <row r="193" spans="1:10" x14ac:dyDescent="0.3">
      <c r="A193" s="8" t="s">
        <v>1528</v>
      </c>
      <c r="B193" s="8">
        <v>1503050</v>
      </c>
      <c r="C193" s="8">
        <v>3.2</v>
      </c>
      <c r="D193" s="60" t="s">
        <v>160</v>
      </c>
      <c r="E193" s="59">
        <v>12</v>
      </c>
      <c r="F193" s="56" t="s">
        <v>34</v>
      </c>
      <c r="G193" s="63">
        <f t="shared" si="31"/>
        <v>0</v>
      </c>
      <c r="H193" s="63">
        <v>0</v>
      </c>
      <c r="J193" s="57"/>
    </row>
    <row r="194" spans="1:10" x14ac:dyDescent="0.3">
      <c r="A194" s="8" t="s">
        <v>1529</v>
      </c>
      <c r="B194" s="8">
        <v>1503050</v>
      </c>
      <c r="C194" s="8">
        <v>3.3</v>
      </c>
      <c r="D194" s="9" t="s">
        <v>162</v>
      </c>
      <c r="E194" s="59">
        <v>12</v>
      </c>
      <c r="F194" s="56" t="s">
        <v>34</v>
      </c>
      <c r="G194" s="63">
        <f t="shared" si="31"/>
        <v>0</v>
      </c>
      <c r="H194" s="63">
        <v>0</v>
      </c>
      <c r="J194" s="57"/>
    </row>
    <row r="195" spans="1:10" x14ac:dyDescent="0.3">
      <c r="A195" s="8" t="s">
        <v>1530</v>
      </c>
      <c r="B195" s="8">
        <v>1503050</v>
      </c>
      <c r="C195" s="8">
        <v>3.5</v>
      </c>
      <c r="D195" s="9" t="s">
        <v>2788</v>
      </c>
      <c r="E195" s="59">
        <v>12</v>
      </c>
      <c r="F195" s="56" t="s">
        <v>34</v>
      </c>
      <c r="G195" s="63">
        <f t="shared" si="31"/>
        <v>0</v>
      </c>
      <c r="H195" s="63">
        <v>0</v>
      </c>
      <c r="J195" s="57"/>
    </row>
    <row r="196" spans="1:10" x14ac:dyDescent="0.3">
      <c r="A196" s="8" t="s">
        <v>1531</v>
      </c>
      <c r="B196" s="8">
        <v>1503050</v>
      </c>
      <c r="C196" s="8">
        <v>3.6</v>
      </c>
      <c r="D196" s="9" t="s">
        <v>165</v>
      </c>
      <c r="E196" s="59">
        <v>12</v>
      </c>
      <c r="F196" s="56" t="s">
        <v>34</v>
      </c>
      <c r="G196" s="63">
        <f t="shared" ref="G196:H196" si="32">SUM(G188:G195)</f>
        <v>0</v>
      </c>
      <c r="H196" s="63">
        <f t="shared" si="32"/>
        <v>0</v>
      </c>
      <c r="J196" s="57"/>
    </row>
    <row r="197" spans="1:10" x14ac:dyDescent="0.3">
      <c r="A197" s="8" t="s">
        <v>1532</v>
      </c>
      <c r="B197" s="8">
        <v>1503050</v>
      </c>
      <c r="C197" s="8">
        <v>3.7</v>
      </c>
      <c r="D197" s="152" t="s">
        <v>167</v>
      </c>
      <c r="E197" s="59">
        <v>12</v>
      </c>
      <c r="F197" s="59" t="s">
        <v>34</v>
      </c>
      <c r="G197" s="63">
        <v>0</v>
      </c>
      <c r="H197" s="63">
        <v>0</v>
      </c>
      <c r="J197" s="57"/>
    </row>
    <row r="198" spans="1:10" x14ac:dyDescent="0.3">
      <c r="A198" s="13"/>
      <c r="B198" s="13"/>
      <c r="C198" s="13"/>
      <c r="D198" s="155" t="s">
        <v>1533</v>
      </c>
      <c r="E198" s="193">
        <v>12</v>
      </c>
      <c r="F198" s="189" t="s">
        <v>34</v>
      </c>
      <c r="G198" s="190">
        <f t="shared" ref="G198:G205" si="33">H198/E198</f>
        <v>0</v>
      </c>
      <c r="H198" s="63">
        <v>0</v>
      </c>
      <c r="J198" s="57"/>
    </row>
    <row r="199" spans="1:10" x14ac:dyDescent="0.3">
      <c r="A199" s="13" t="s">
        <v>1534</v>
      </c>
      <c r="B199" s="13">
        <v>1503050</v>
      </c>
      <c r="C199" s="146"/>
      <c r="D199" s="179" t="s">
        <v>2789</v>
      </c>
      <c r="E199" s="59"/>
      <c r="F199" s="56"/>
      <c r="G199" s="63"/>
      <c r="H199" s="63"/>
      <c r="J199" s="57"/>
    </row>
    <row r="200" spans="1:10" x14ac:dyDescent="0.3">
      <c r="A200" s="8" t="s">
        <v>1535</v>
      </c>
      <c r="B200" s="8">
        <v>1503050</v>
      </c>
      <c r="C200" s="146">
        <v>3.1</v>
      </c>
      <c r="D200" s="167" t="s">
        <v>171</v>
      </c>
      <c r="E200" s="194">
        <v>12</v>
      </c>
      <c r="F200" s="195" t="s">
        <v>34</v>
      </c>
      <c r="G200" s="196">
        <f t="shared" si="33"/>
        <v>0</v>
      </c>
      <c r="H200" s="63">
        <v>0</v>
      </c>
      <c r="J200" s="57"/>
    </row>
    <row r="201" spans="1:10" x14ac:dyDescent="0.3">
      <c r="A201" s="8" t="s">
        <v>1536</v>
      </c>
      <c r="B201" s="8">
        <v>1503050</v>
      </c>
      <c r="C201" s="146">
        <v>3.1</v>
      </c>
      <c r="D201" s="168" t="s">
        <v>2790</v>
      </c>
      <c r="E201" s="59">
        <v>12</v>
      </c>
      <c r="F201" s="56" t="s">
        <v>34</v>
      </c>
      <c r="G201" s="63">
        <f t="shared" si="33"/>
        <v>0</v>
      </c>
      <c r="H201" s="63">
        <v>0</v>
      </c>
      <c r="J201" s="57"/>
    </row>
    <row r="202" spans="1:10" x14ac:dyDescent="0.3">
      <c r="A202" s="8" t="s">
        <v>1537</v>
      </c>
      <c r="B202" s="8">
        <v>1503050</v>
      </c>
      <c r="C202" s="8">
        <v>3.1</v>
      </c>
      <c r="D202" s="169" t="s">
        <v>174</v>
      </c>
      <c r="E202" s="59">
        <v>12</v>
      </c>
      <c r="F202" s="56" t="s">
        <v>34</v>
      </c>
      <c r="G202" s="63">
        <f t="shared" si="33"/>
        <v>0</v>
      </c>
      <c r="H202" s="63">
        <v>0</v>
      </c>
      <c r="J202" s="57"/>
    </row>
    <row r="203" spans="1:10" x14ac:dyDescent="0.3">
      <c r="A203" s="8" t="s">
        <v>1538</v>
      </c>
      <c r="B203" s="8">
        <v>1503050</v>
      </c>
      <c r="C203" s="8">
        <v>3.2</v>
      </c>
      <c r="D203" s="9" t="s">
        <v>176</v>
      </c>
      <c r="E203" s="59">
        <v>12</v>
      </c>
      <c r="F203" s="56" t="s">
        <v>34</v>
      </c>
      <c r="G203" s="63">
        <f t="shared" si="33"/>
        <v>0</v>
      </c>
      <c r="H203" s="63">
        <v>0</v>
      </c>
      <c r="J203" s="57"/>
    </row>
    <row r="204" spans="1:10" x14ac:dyDescent="0.3">
      <c r="A204" s="8" t="s">
        <v>1539</v>
      </c>
      <c r="B204" s="8">
        <v>1503050</v>
      </c>
      <c r="C204" s="8">
        <v>3.3</v>
      </c>
      <c r="D204" s="9" t="s">
        <v>178</v>
      </c>
      <c r="E204" s="59">
        <v>12</v>
      </c>
      <c r="F204" s="56" t="s">
        <v>34</v>
      </c>
      <c r="G204" s="63">
        <f t="shared" si="33"/>
        <v>0</v>
      </c>
      <c r="H204" s="63">
        <v>0</v>
      </c>
      <c r="J204" s="57"/>
    </row>
    <row r="205" spans="1:10" x14ac:dyDescent="0.3">
      <c r="A205" s="8" t="s">
        <v>1540</v>
      </c>
      <c r="B205" s="8">
        <v>1503050</v>
      </c>
      <c r="C205" s="8">
        <v>3.5</v>
      </c>
      <c r="D205" s="9" t="s">
        <v>2791</v>
      </c>
      <c r="E205" s="59">
        <v>12</v>
      </c>
      <c r="F205" s="56" t="s">
        <v>34</v>
      </c>
      <c r="G205" s="63">
        <f t="shared" si="33"/>
        <v>0</v>
      </c>
      <c r="H205" s="63">
        <v>0</v>
      </c>
      <c r="J205" s="57"/>
    </row>
    <row r="206" spans="1:10" x14ac:dyDescent="0.3">
      <c r="A206" s="8" t="s">
        <v>1541</v>
      </c>
      <c r="B206" s="8">
        <v>1503050</v>
      </c>
      <c r="C206" s="8">
        <v>3.6</v>
      </c>
      <c r="D206" s="9" t="s">
        <v>181</v>
      </c>
      <c r="E206" s="59">
        <v>12</v>
      </c>
      <c r="F206" s="56" t="s">
        <v>34</v>
      </c>
      <c r="G206" s="63">
        <f t="shared" ref="G206" si="34">SUM(G198:G205)</f>
        <v>0</v>
      </c>
      <c r="H206" s="63">
        <f>SUM(H197:H205)</f>
        <v>0</v>
      </c>
      <c r="J206" s="57"/>
    </row>
    <row r="207" spans="1:10" ht="12.75" customHeight="1" x14ac:dyDescent="0.3">
      <c r="A207" s="8" t="s">
        <v>1542</v>
      </c>
      <c r="B207" s="8">
        <v>1503050</v>
      </c>
      <c r="C207" s="8">
        <v>3.7</v>
      </c>
      <c r="D207" s="152" t="s">
        <v>183</v>
      </c>
      <c r="E207" s="59">
        <v>12</v>
      </c>
      <c r="F207" s="59" t="s">
        <v>34</v>
      </c>
      <c r="G207" s="63">
        <v>0</v>
      </c>
      <c r="H207" s="63">
        <v>0</v>
      </c>
      <c r="J207" s="57"/>
    </row>
    <row r="208" spans="1:10" x14ac:dyDescent="0.3">
      <c r="A208" s="13"/>
      <c r="B208" s="13"/>
      <c r="C208" s="13"/>
      <c r="D208" s="155" t="s">
        <v>1543</v>
      </c>
      <c r="E208" s="193">
        <v>12</v>
      </c>
      <c r="F208" s="189" t="s">
        <v>34</v>
      </c>
      <c r="G208" s="190">
        <f t="shared" ref="G208:G215" si="35">H208/E208</f>
        <v>0</v>
      </c>
      <c r="H208" s="63">
        <v>0</v>
      </c>
      <c r="J208" s="57"/>
    </row>
    <row r="209" spans="1:10" x14ac:dyDescent="0.3">
      <c r="A209" s="13" t="s">
        <v>1544</v>
      </c>
      <c r="B209" s="13">
        <v>1503050</v>
      </c>
      <c r="C209" s="147"/>
      <c r="D209" s="179" t="s">
        <v>2792</v>
      </c>
      <c r="E209" s="59"/>
      <c r="F209" s="56"/>
      <c r="G209" s="63"/>
      <c r="H209" s="63"/>
      <c r="J209" s="57"/>
    </row>
    <row r="210" spans="1:10" x14ac:dyDescent="0.3">
      <c r="A210" s="8" t="s">
        <v>1545</v>
      </c>
      <c r="B210" s="8">
        <v>1503050</v>
      </c>
      <c r="C210" s="146">
        <v>3.1</v>
      </c>
      <c r="D210" s="170" t="s">
        <v>2793</v>
      </c>
      <c r="E210" s="194">
        <v>12</v>
      </c>
      <c r="F210" s="195" t="s">
        <v>34</v>
      </c>
      <c r="G210" s="196">
        <f t="shared" si="35"/>
        <v>0</v>
      </c>
      <c r="H210" s="63">
        <v>0</v>
      </c>
      <c r="J210" s="57"/>
    </row>
    <row r="211" spans="1:10" ht="12.75" customHeight="1" x14ac:dyDescent="0.3">
      <c r="A211" s="8" t="s">
        <v>1546</v>
      </c>
      <c r="B211" s="8">
        <v>1503050</v>
      </c>
      <c r="C211" s="146">
        <v>3.1</v>
      </c>
      <c r="D211" s="171" t="s">
        <v>188</v>
      </c>
      <c r="E211" s="59">
        <v>12</v>
      </c>
      <c r="F211" s="56" t="s">
        <v>34</v>
      </c>
      <c r="G211" s="63">
        <f t="shared" si="35"/>
        <v>0</v>
      </c>
      <c r="H211" s="63">
        <v>0</v>
      </c>
      <c r="J211" s="57"/>
    </row>
    <row r="212" spans="1:10" x14ac:dyDescent="0.3">
      <c r="A212" s="8" t="s">
        <v>1547</v>
      </c>
      <c r="B212" s="8">
        <v>1503050</v>
      </c>
      <c r="C212" s="8">
        <v>3.1</v>
      </c>
      <c r="D212" s="166" t="s">
        <v>190</v>
      </c>
      <c r="E212" s="59">
        <v>12</v>
      </c>
      <c r="F212" s="56" t="s">
        <v>34</v>
      </c>
      <c r="G212" s="63">
        <f t="shared" si="35"/>
        <v>0</v>
      </c>
      <c r="H212" s="63">
        <v>0</v>
      </c>
      <c r="J212" s="57"/>
    </row>
    <row r="213" spans="1:10" x14ac:dyDescent="0.3">
      <c r="A213" s="8" t="s">
        <v>1548</v>
      </c>
      <c r="B213" s="8">
        <v>1503050</v>
      </c>
      <c r="C213" s="8">
        <v>3.2</v>
      </c>
      <c r="D213" s="60" t="s">
        <v>192</v>
      </c>
      <c r="E213" s="59">
        <v>12</v>
      </c>
      <c r="F213" s="56" t="s">
        <v>34</v>
      </c>
      <c r="G213" s="63">
        <f t="shared" si="35"/>
        <v>0</v>
      </c>
      <c r="H213" s="63">
        <v>0</v>
      </c>
      <c r="J213" s="57"/>
    </row>
    <row r="214" spans="1:10" x14ac:dyDescent="0.3">
      <c r="A214" s="8" t="s">
        <v>1549</v>
      </c>
      <c r="B214" s="8">
        <v>1503050</v>
      </c>
      <c r="C214" s="8">
        <v>3.3</v>
      </c>
      <c r="D214" s="9" t="s">
        <v>194</v>
      </c>
      <c r="E214" s="59">
        <v>12</v>
      </c>
      <c r="F214" s="56" t="s">
        <v>34</v>
      </c>
      <c r="G214" s="63">
        <f t="shared" si="35"/>
        <v>0</v>
      </c>
      <c r="H214" s="63">
        <v>0</v>
      </c>
      <c r="J214" s="57"/>
    </row>
    <row r="215" spans="1:10" x14ac:dyDescent="0.3">
      <c r="A215" s="8" t="s">
        <v>1550</v>
      </c>
      <c r="B215" s="8">
        <v>1503050</v>
      </c>
      <c r="C215" s="8">
        <v>3.5</v>
      </c>
      <c r="D215" s="9" t="s">
        <v>2794</v>
      </c>
      <c r="E215" s="59">
        <v>12</v>
      </c>
      <c r="F215" s="56" t="s">
        <v>34</v>
      </c>
      <c r="G215" s="63">
        <f t="shared" si="35"/>
        <v>0</v>
      </c>
      <c r="H215" s="63">
        <v>0</v>
      </c>
      <c r="J215" s="57"/>
    </row>
    <row r="216" spans="1:10" x14ac:dyDescent="0.3">
      <c r="A216" s="8" t="s">
        <v>1551</v>
      </c>
      <c r="B216" s="8">
        <v>1503050</v>
      </c>
      <c r="C216" s="8">
        <v>3.6</v>
      </c>
      <c r="D216" s="9" t="s">
        <v>197</v>
      </c>
      <c r="E216" s="59">
        <v>12</v>
      </c>
      <c r="F216" s="56" t="s">
        <v>34</v>
      </c>
      <c r="G216" s="63">
        <f t="shared" ref="G216" si="36">SUM(G208:G215)</f>
        <v>0</v>
      </c>
      <c r="H216" s="63">
        <f>SUM(H207:H215)</f>
        <v>0</v>
      </c>
      <c r="J216" s="57"/>
    </row>
    <row r="217" spans="1:10" x14ac:dyDescent="0.3">
      <c r="A217" s="8" t="s">
        <v>1552</v>
      </c>
      <c r="B217" s="8">
        <v>1503050</v>
      </c>
      <c r="C217" s="8">
        <v>3.7</v>
      </c>
      <c r="D217" s="152" t="s">
        <v>199</v>
      </c>
      <c r="E217" s="59">
        <v>12</v>
      </c>
      <c r="F217" s="59" t="s">
        <v>34</v>
      </c>
      <c r="G217" s="63">
        <v>0</v>
      </c>
      <c r="H217" s="63">
        <v>0</v>
      </c>
      <c r="J217" s="57"/>
    </row>
    <row r="218" spans="1:10" x14ac:dyDescent="0.3">
      <c r="A218" s="13"/>
      <c r="B218" s="13"/>
      <c r="C218" s="13"/>
      <c r="D218" s="155" t="s">
        <v>1553</v>
      </c>
      <c r="E218" s="193">
        <v>12</v>
      </c>
      <c r="F218" s="189" t="s">
        <v>34</v>
      </c>
      <c r="G218" s="190">
        <f t="shared" ref="G218:G225" si="37">H218/E218</f>
        <v>0</v>
      </c>
      <c r="H218" s="63">
        <v>0</v>
      </c>
      <c r="J218" s="57"/>
    </row>
    <row r="219" spans="1:10" x14ac:dyDescent="0.3">
      <c r="A219" s="13" t="s">
        <v>1554</v>
      </c>
      <c r="B219" s="13">
        <v>1503050</v>
      </c>
      <c r="C219" s="146"/>
      <c r="D219" s="179" t="s">
        <v>2795</v>
      </c>
      <c r="E219" s="59"/>
      <c r="F219" s="56"/>
      <c r="G219" s="63"/>
      <c r="H219" s="63"/>
      <c r="J219" s="57"/>
    </row>
    <row r="220" spans="1:10" x14ac:dyDescent="0.3">
      <c r="A220" s="8" t="s">
        <v>1555</v>
      </c>
      <c r="B220" s="8">
        <v>1503050</v>
      </c>
      <c r="C220" s="146">
        <v>3.1</v>
      </c>
      <c r="D220" s="167" t="s">
        <v>2796</v>
      </c>
      <c r="E220" s="194">
        <v>12</v>
      </c>
      <c r="F220" s="195" t="s">
        <v>34</v>
      </c>
      <c r="G220" s="196">
        <f t="shared" si="37"/>
        <v>0</v>
      </c>
      <c r="H220" s="63">
        <v>0</v>
      </c>
      <c r="J220" s="57"/>
    </row>
    <row r="221" spans="1:10" x14ac:dyDescent="0.3">
      <c r="A221" s="8" t="s">
        <v>1556</v>
      </c>
      <c r="B221" s="8">
        <v>1503050</v>
      </c>
      <c r="C221" s="146">
        <v>3.1</v>
      </c>
      <c r="D221" s="168" t="s">
        <v>204</v>
      </c>
      <c r="E221" s="59">
        <v>12</v>
      </c>
      <c r="F221" s="56" t="s">
        <v>34</v>
      </c>
      <c r="G221" s="63">
        <f t="shared" si="37"/>
        <v>0</v>
      </c>
      <c r="H221" s="63">
        <v>0</v>
      </c>
      <c r="J221" s="57"/>
    </row>
    <row r="222" spans="1:10" x14ac:dyDescent="0.3">
      <c r="A222" s="8" t="s">
        <v>1557</v>
      </c>
      <c r="B222" s="8">
        <v>1503050</v>
      </c>
      <c r="C222" s="8">
        <v>3.1</v>
      </c>
      <c r="D222" s="169" t="s">
        <v>206</v>
      </c>
      <c r="E222" s="59">
        <v>12</v>
      </c>
      <c r="F222" s="56" t="s">
        <v>34</v>
      </c>
      <c r="G222" s="63">
        <f t="shared" si="37"/>
        <v>0</v>
      </c>
      <c r="H222" s="63">
        <v>0</v>
      </c>
      <c r="J222" s="57"/>
    </row>
    <row r="223" spans="1:10" x14ac:dyDescent="0.3">
      <c r="A223" s="8" t="s">
        <v>1558</v>
      </c>
      <c r="B223" s="8">
        <v>1503050</v>
      </c>
      <c r="C223" s="8">
        <v>3.2</v>
      </c>
      <c r="D223" s="9" t="s">
        <v>208</v>
      </c>
      <c r="E223" s="59">
        <v>12</v>
      </c>
      <c r="F223" s="56" t="s">
        <v>34</v>
      </c>
      <c r="G223" s="63">
        <f t="shared" si="37"/>
        <v>0</v>
      </c>
      <c r="H223" s="63">
        <v>0</v>
      </c>
      <c r="J223" s="57"/>
    </row>
    <row r="224" spans="1:10" x14ac:dyDescent="0.3">
      <c r="A224" s="8" t="s">
        <v>1559</v>
      </c>
      <c r="B224" s="8">
        <v>1503050</v>
      </c>
      <c r="C224" s="8">
        <v>3.3</v>
      </c>
      <c r="D224" s="9" t="s">
        <v>210</v>
      </c>
      <c r="E224" s="59">
        <v>12</v>
      </c>
      <c r="F224" s="56" t="s">
        <v>34</v>
      </c>
      <c r="G224" s="63">
        <f>H224/E224</f>
        <v>0</v>
      </c>
      <c r="H224" s="63">
        <v>0</v>
      </c>
      <c r="J224" s="57"/>
    </row>
    <row r="225" spans="1:10" x14ac:dyDescent="0.3">
      <c r="A225" s="8" t="s">
        <v>1560</v>
      </c>
      <c r="B225" s="8">
        <v>1503050</v>
      </c>
      <c r="C225" s="8">
        <v>3.5</v>
      </c>
      <c r="D225" s="9" t="s">
        <v>2797</v>
      </c>
      <c r="E225" s="59">
        <v>12</v>
      </c>
      <c r="F225" s="56" t="s">
        <v>34</v>
      </c>
      <c r="G225" s="63">
        <f t="shared" si="37"/>
        <v>0</v>
      </c>
      <c r="H225" s="63">
        <v>0</v>
      </c>
      <c r="J225" s="57"/>
    </row>
    <row r="226" spans="1:10" x14ac:dyDescent="0.3">
      <c r="A226" s="8" t="s">
        <v>1561</v>
      </c>
      <c r="B226" s="8">
        <v>1503050</v>
      </c>
      <c r="C226" s="8">
        <v>3.6</v>
      </c>
      <c r="D226" s="9" t="s">
        <v>213</v>
      </c>
      <c r="E226" s="59">
        <v>12</v>
      </c>
      <c r="F226" s="56" t="s">
        <v>34</v>
      </c>
      <c r="G226" s="63">
        <f t="shared" ref="G226" si="38">SUM(G218:G225)</f>
        <v>0</v>
      </c>
      <c r="H226" s="63">
        <f>SUM(H217:H225)</f>
        <v>0</v>
      </c>
      <c r="J226" s="57"/>
    </row>
    <row r="227" spans="1:10" x14ac:dyDescent="0.3">
      <c r="A227" s="8" t="s">
        <v>1562</v>
      </c>
      <c r="B227" s="8">
        <v>1503050</v>
      </c>
      <c r="C227" s="8">
        <v>3.7</v>
      </c>
      <c r="D227" s="152" t="s">
        <v>215</v>
      </c>
      <c r="E227" s="59">
        <v>12</v>
      </c>
      <c r="F227" s="56" t="s">
        <v>34</v>
      </c>
      <c r="G227" s="63">
        <f>G226+G216+G206+G196</f>
        <v>0</v>
      </c>
      <c r="H227" s="63">
        <f>H226+H216+H206+H196</f>
        <v>0</v>
      </c>
      <c r="J227" s="57" t="s">
        <v>14</v>
      </c>
    </row>
    <row r="228" spans="1:10" ht="15" customHeight="1" x14ac:dyDescent="0.3">
      <c r="A228" s="13"/>
      <c r="B228" s="13"/>
      <c r="C228" s="13"/>
      <c r="D228" s="155" t="s">
        <v>1563</v>
      </c>
      <c r="E228" s="157">
        <v>12</v>
      </c>
      <c r="F228" s="157" t="s">
        <v>34</v>
      </c>
      <c r="G228" s="201">
        <f>G227+G185+G101+G91+G81</f>
        <v>0</v>
      </c>
      <c r="H228" s="20">
        <f>H227+H185+H101+H91+H81</f>
        <v>0</v>
      </c>
    </row>
    <row r="229" spans="1:10" x14ac:dyDescent="0.3">
      <c r="A229" s="13" t="s">
        <v>1564</v>
      </c>
      <c r="B229" s="13">
        <v>1503050</v>
      </c>
      <c r="C229" s="147"/>
      <c r="D229" s="179" t="s">
        <v>2798</v>
      </c>
      <c r="E229" s="8"/>
      <c r="F229" s="8"/>
      <c r="G229" s="8"/>
      <c r="H229" s="8"/>
    </row>
    <row r="230" spans="1:10" ht="12.75" customHeight="1" x14ac:dyDescent="0.3">
      <c r="A230" s="8" t="s">
        <v>1565</v>
      </c>
      <c r="B230" s="8">
        <v>1503050</v>
      </c>
      <c r="C230" s="146">
        <v>3.1</v>
      </c>
      <c r="D230" s="170" t="s">
        <v>219</v>
      </c>
      <c r="E230" s="202">
        <v>12</v>
      </c>
      <c r="F230" s="202" t="s">
        <v>34</v>
      </c>
      <c r="G230" s="203">
        <v>0</v>
      </c>
      <c r="H230" s="204">
        <v>0</v>
      </c>
    </row>
    <row r="231" spans="1:10" x14ac:dyDescent="0.3">
      <c r="A231" s="8" t="s">
        <v>1566</v>
      </c>
      <c r="B231" s="8">
        <v>1503050</v>
      </c>
      <c r="C231" s="146">
        <v>3.1</v>
      </c>
      <c r="D231" s="171" t="s">
        <v>2799</v>
      </c>
      <c r="E231" s="59">
        <v>12</v>
      </c>
      <c r="F231" s="59" t="s">
        <v>34</v>
      </c>
      <c r="G231" s="63">
        <v>0</v>
      </c>
      <c r="H231" s="63">
        <v>0</v>
      </c>
      <c r="J231" s="57" t="s">
        <v>14</v>
      </c>
    </row>
    <row r="232" spans="1:10" x14ac:dyDescent="0.3">
      <c r="A232" s="8" t="s">
        <v>1567</v>
      </c>
      <c r="B232" s="8">
        <v>1503050</v>
      </c>
      <c r="C232" s="8">
        <v>3.1</v>
      </c>
      <c r="D232" s="166" t="s">
        <v>222</v>
      </c>
      <c r="E232" s="59">
        <v>12</v>
      </c>
      <c r="F232" s="59" t="s">
        <v>34</v>
      </c>
      <c r="G232" s="63">
        <v>0</v>
      </c>
      <c r="H232" s="63">
        <v>0</v>
      </c>
      <c r="J232" s="57" t="s">
        <v>14</v>
      </c>
    </row>
    <row r="233" spans="1:10" x14ac:dyDescent="0.3">
      <c r="A233" s="8" t="s">
        <v>1568</v>
      </c>
      <c r="B233" s="8">
        <v>1503050</v>
      </c>
      <c r="C233" s="8">
        <v>3.2</v>
      </c>
      <c r="D233" s="60" t="s">
        <v>224</v>
      </c>
      <c r="E233" s="59">
        <v>12</v>
      </c>
      <c r="F233" s="56" t="s">
        <v>34</v>
      </c>
      <c r="G233" s="63">
        <f t="shared" ref="G233:G234" si="39">H233/E233</f>
        <v>0</v>
      </c>
      <c r="H233" s="63">
        <v>0</v>
      </c>
      <c r="J233" s="57" t="s">
        <v>14</v>
      </c>
    </row>
    <row r="234" spans="1:10" x14ac:dyDescent="0.3">
      <c r="A234" s="8" t="s">
        <v>1569</v>
      </c>
      <c r="B234" s="8">
        <v>1503050</v>
      </c>
      <c r="C234" s="8">
        <v>3.3</v>
      </c>
      <c r="D234" s="9" t="s">
        <v>226</v>
      </c>
      <c r="E234" s="59">
        <v>12</v>
      </c>
      <c r="F234" s="56" t="s">
        <v>34</v>
      </c>
      <c r="G234" s="63">
        <f t="shared" si="39"/>
        <v>0</v>
      </c>
      <c r="H234" s="63">
        <v>0</v>
      </c>
      <c r="J234" s="57" t="s">
        <v>14</v>
      </c>
    </row>
    <row r="235" spans="1:10" x14ac:dyDescent="0.3">
      <c r="A235" s="8" t="s">
        <v>1570</v>
      </c>
      <c r="B235" s="8">
        <v>1503050</v>
      </c>
      <c r="C235" s="8">
        <v>3.5</v>
      </c>
      <c r="D235" s="9" t="s">
        <v>2800</v>
      </c>
      <c r="E235" s="59">
        <v>12</v>
      </c>
      <c r="F235" s="56" t="s">
        <v>34</v>
      </c>
      <c r="G235" s="63">
        <f t="shared" ref="G235" si="40">SUM(G233:G234)</f>
        <v>0</v>
      </c>
      <c r="H235" s="63">
        <f>SUM(H230:H234)</f>
        <v>0</v>
      </c>
      <c r="J235" s="57"/>
    </row>
    <row r="236" spans="1:10" x14ac:dyDescent="0.3">
      <c r="A236" s="8" t="s">
        <v>1571</v>
      </c>
      <c r="B236" s="8">
        <v>1503050</v>
      </c>
      <c r="C236" s="8">
        <v>3.6</v>
      </c>
      <c r="D236" s="9" t="s">
        <v>229</v>
      </c>
      <c r="E236" s="59">
        <v>12</v>
      </c>
      <c r="F236" s="59" t="s">
        <v>34</v>
      </c>
      <c r="G236" s="63">
        <v>0</v>
      </c>
      <c r="H236" s="63">
        <v>0</v>
      </c>
      <c r="J236" s="57"/>
    </row>
    <row r="237" spans="1:10" x14ac:dyDescent="0.3">
      <c r="A237" s="8" t="s">
        <v>1572</v>
      </c>
      <c r="B237" s="8">
        <v>1503050</v>
      </c>
      <c r="C237" s="8">
        <v>3.7</v>
      </c>
      <c r="D237" s="152" t="s">
        <v>231</v>
      </c>
      <c r="E237" s="59">
        <v>12</v>
      </c>
      <c r="F237" s="56" t="s">
        <v>34</v>
      </c>
      <c r="G237" s="63">
        <f t="shared" ref="G237:G238" si="41">H237/E237</f>
        <v>0</v>
      </c>
      <c r="H237" s="63">
        <v>0</v>
      </c>
      <c r="J237" s="57"/>
    </row>
    <row r="238" spans="1:10" x14ac:dyDescent="0.3">
      <c r="A238" s="13"/>
      <c r="B238" s="13"/>
      <c r="C238" s="13"/>
      <c r="D238" s="155" t="s">
        <v>1573</v>
      </c>
      <c r="E238" s="193">
        <v>12</v>
      </c>
      <c r="F238" s="189" t="s">
        <v>34</v>
      </c>
      <c r="G238" s="190">
        <f t="shared" si="41"/>
        <v>0</v>
      </c>
      <c r="H238" s="63">
        <v>0</v>
      </c>
      <c r="J238" s="57"/>
    </row>
    <row r="239" spans="1:10" x14ac:dyDescent="0.3">
      <c r="A239" s="13" t="s">
        <v>1574</v>
      </c>
      <c r="B239" s="13">
        <v>1503050</v>
      </c>
      <c r="C239" s="146"/>
      <c r="D239" s="179" t="s">
        <v>2801</v>
      </c>
      <c r="E239" s="59"/>
      <c r="F239" s="56"/>
      <c r="G239" s="63"/>
      <c r="H239" s="188"/>
      <c r="J239" s="57"/>
    </row>
    <row r="240" spans="1:10" x14ac:dyDescent="0.3">
      <c r="A240" s="8" t="s">
        <v>1575</v>
      </c>
      <c r="B240" s="8">
        <v>1503050</v>
      </c>
      <c r="C240" s="146">
        <v>3.1</v>
      </c>
      <c r="D240" s="167" t="s">
        <v>2802</v>
      </c>
      <c r="E240" s="194">
        <v>12</v>
      </c>
      <c r="F240" s="194" t="s">
        <v>34</v>
      </c>
      <c r="G240" s="196">
        <v>0</v>
      </c>
      <c r="H240" s="63">
        <v>0</v>
      </c>
      <c r="J240" s="57"/>
    </row>
    <row r="241" spans="1:10" x14ac:dyDescent="0.3">
      <c r="A241" s="8" t="s">
        <v>1576</v>
      </c>
      <c r="B241" s="8">
        <v>1503050</v>
      </c>
      <c r="C241" s="146">
        <v>3.1</v>
      </c>
      <c r="D241" s="168" t="s">
        <v>236</v>
      </c>
      <c r="E241" s="59">
        <v>12</v>
      </c>
      <c r="F241" s="56" t="s">
        <v>34</v>
      </c>
      <c r="G241" s="63">
        <f t="shared" ref="G241:G242" si="42">H241/E241</f>
        <v>0</v>
      </c>
      <c r="H241" s="63">
        <v>0</v>
      </c>
      <c r="J241" s="57"/>
    </row>
    <row r="242" spans="1:10" ht="12.75" customHeight="1" x14ac:dyDescent="0.3">
      <c r="A242" s="8" t="s">
        <v>1577</v>
      </c>
      <c r="B242" s="8">
        <v>1503050</v>
      </c>
      <c r="C242" s="8">
        <v>3.1</v>
      </c>
      <c r="D242" s="169" t="s">
        <v>238</v>
      </c>
      <c r="E242" s="59">
        <v>12</v>
      </c>
      <c r="F242" s="56" t="s">
        <v>34</v>
      </c>
      <c r="G242" s="63">
        <f t="shared" si="42"/>
        <v>0</v>
      </c>
      <c r="H242" s="63">
        <v>0</v>
      </c>
      <c r="J242" s="57"/>
    </row>
    <row r="243" spans="1:10" ht="12.75" customHeight="1" x14ac:dyDescent="0.3">
      <c r="A243" s="8" t="s">
        <v>1578</v>
      </c>
      <c r="B243" s="8">
        <v>1503050</v>
      </c>
      <c r="C243" s="8">
        <v>3.2</v>
      </c>
      <c r="D243" s="9" t="s">
        <v>240</v>
      </c>
      <c r="E243" s="59">
        <v>12</v>
      </c>
      <c r="F243" s="56" t="s">
        <v>34</v>
      </c>
      <c r="G243" s="63">
        <f t="shared" ref="G243" si="43">SUM(G241:G242)</f>
        <v>0</v>
      </c>
      <c r="H243" s="63">
        <f>SUM(H240:H242)</f>
        <v>0</v>
      </c>
      <c r="J243" s="57"/>
    </row>
    <row r="244" spans="1:10" x14ac:dyDescent="0.3">
      <c r="A244" s="8" t="s">
        <v>1579</v>
      </c>
      <c r="B244" s="8">
        <v>1503050</v>
      </c>
      <c r="C244" s="8">
        <v>3.3</v>
      </c>
      <c r="D244" s="9" t="s">
        <v>242</v>
      </c>
      <c r="E244" s="59">
        <v>12</v>
      </c>
      <c r="F244" s="59" t="s">
        <v>34</v>
      </c>
      <c r="G244" s="63">
        <v>0</v>
      </c>
      <c r="H244" s="63">
        <v>0</v>
      </c>
      <c r="J244" s="57"/>
    </row>
    <row r="245" spans="1:10" x14ac:dyDescent="0.3">
      <c r="A245" s="8" t="s">
        <v>1580</v>
      </c>
      <c r="B245" s="8">
        <v>1503050</v>
      </c>
      <c r="C245" s="8">
        <v>3.5</v>
      </c>
      <c r="D245" s="9" t="s">
        <v>2803</v>
      </c>
      <c r="E245" s="59">
        <v>12</v>
      </c>
      <c r="F245" s="56" t="s">
        <v>34</v>
      </c>
      <c r="G245" s="63">
        <f t="shared" ref="G245:G246" si="44">H245/E245</f>
        <v>0</v>
      </c>
      <c r="H245" s="63">
        <v>0</v>
      </c>
      <c r="J245" s="57"/>
    </row>
    <row r="246" spans="1:10" x14ac:dyDescent="0.3">
      <c r="A246" s="8" t="s">
        <v>1581</v>
      </c>
      <c r="B246" s="8">
        <v>1503050</v>
      </c>
      <c r="C246" s="8">
        <v>3.6</v>
      </c>
      <c r="D246" s="172" t="s">
        <v>245</v>
      </c>
      <c r="E246" s="59">
        <v>12</v>
      </c>
      <c r="F246" s="56" t="s">
        <v>34</v>
      </c>
      <c r="G246" s="63">
        <f t="shared" si="44"/>
        <v>0</v>
      </c>
      <c r="H246" s="63">
        <v>0</v>
      </c>
      <c r="J246" s="57"/>
    </row>
    <row r="247" spans="1:10" x14ac:dyDescent="0.3">
      <c r="A247" s="8" t="s">
        <v>1582</v>
      </c>
      <c r="B247" s="8">
        <v>1503050</v>
      </c>
      <c r="C247" s="146">
        <v>3.7</v>
      </c>
      <c r="D247" s="168" t="s">
        <v>247</v>
      </c>
      <c r="E247" s="59">
        <v>12</v>
      </c>
      <c r="F247" s="56" t="s">
        <v>34</v>
      </c>
      <c r="G247" s="63">
        <f t="shared" ref="G247" si="45">SUM(G245:G246)</f>
        <v>0</v>
      </c>
      <c r="H247" s="63">
        <f>SUM(H244:H246)</f>
        <v>0</v>
      </c>
      <c r="J247" s="57"/>
    </row>
    <row r="248" spans="1:10" ht="12.75" customHeight="1" x14ac:dyDescent="0.3">
      <c r="A248" s="13"/>
      <c r="B248" s="13"/>
      <c r="C248" s="147"/>
      <c r="D248" s="173" t="s">
        <v>1583</v>
      </c>
      <c r="E248" s="193">
        <v>12</v>
      </c>
      <c r="F248" s="193" t="s">
        <v>34</v>
      </c>
      <c r="G248" s="190">
        <v>0</v>
      </c>
      <c r="H248" s="63">
        <v>0</v>
      </c>
      <c r="J248" s="57"/>
    </row>
    <row r="249" spans="1:10" x14ac:dyDescent="0.3">
      <c r="A249" s="13" t="s">
        <v>1584</v>
      </c>
      <c r="B249" s="13">
        <v>1503050</v>
      </c>
      <c r="C249" s="147"/>
      <c r="D249" s="179" t="s">
        <v>2804</v>
      </c>
      <c r="E249" s="56"/>
      <c r="F249" s="56"/>
      <c r="G249" s="63"/>
      <c r="H249" s="63"/>
      <c r="J249" s="57"/>
    </row>
    <row r="250" spans="1:10" x14ac:dyDescent="0.3">
      <c r="A250" s="8" t="s">
        <v>1585</v>
      </c>
      <c r="B250" s="8">
        <v>1503050</v>
      </c>
      <c r="C250" s="146">
        <v>3.1</v>
      </c>
      <c r="D250" s="170" t="s">
        <v>2805</v>
      </c>
      <c r="E250" s="194">
        <v>12</v>
      </c>
      <c r="F250" s="195" t="s">
        <v>34</v>
      </c>
      <c r="G250" s="196">
        <f t="shared" ref="G250:G251" si="46">H250/E250</f>
        <v>0</v>
      </c>
      <c r="H250" s="63">
        <v>0</v>
      </c>
      <c r="J250" s="57"/>
    </row>
    <row r="251" spans="1:10" x14ac:dyDescent="0.3">
      <c r="A251" s="8" t="s">
        <v>1586</v>
      </c>
      <c r="B251" s="8">
        <v>1503050</v>
      </c>
      <c r="C251" s="146">
        <v>3.1</v>
      </c>
      <c r="D251" s="171" t="s">
        <v>252</v>
      </c>
      <c r="E251" s="59">
        <v>12</v>
      </c>
      <c r="F251" s="56" t="s">
        <v>34</v>
      </c>
      <c r="G251" s="63">
        <f t="shared" si="46"/>
        <v>0</v>
      </c>
      <c r="H251" s="63">
        <v>0</v>
      </c>
      <c r="J251" s="57"/>
    </row>
    <row r="252" spans="1:10" x14ac:dyDescent="0.3">
      <c r="A252" s="8" t="s">
        <v>1587</v>
      </c>
      <c r="B252" s="8">
        <v>1503050</v>
      </c>
      <c r="C252" s="8">
        <v>3.1</v>
      </c>
      <c r="D252" s="166" t="s">
        <v>254</v>
      </c>
      <c r="E252" s="59">
        <v>12</v>
      </c>
      <c r="F252" s="56" t="s">
        <v>34</v>
      </c>
      <c r="G252" s="63">
        <f t="shared" ref="G252:H252" si="47">SUM(G250:G251)</f>
        <v>0</v>
      </c>
      <c r="H252" s="63">
        <f t="shared" si="47"/>
        <v>0</v>
      </c>
      <c r="J252" s="57"/>
    </row>
    <row r="253" spans="1:10" x14ac:dyDescent="0.3">
      <c r="A253" s="8" t="s">
        <v>1588</v>
      </c>
      <c r="B253" s="8">
        <v>1503050</v>
      </c>
      <c r="C253" s="8">
        <v>3.2</v>
      </c>
      <c r="D253" s="60" t="s">
        <v>256</v>
      </c>
      <c r="E253" s="59">
        <v>12</v>
      </c>
      <c r="F253" s="59" t="s">
        <v>34</v>
      </c>
      <c r="G253" s="63">
        <v>0</v>
      </c>
      <c r="H253" s="63">
        <v>0</v>
      </c>
      <c r="J253" s="57"/>
    </row>
    <row r="254" spans="1:10" x14ac:dyDescent="0.3">
      <c r="A254" s="8" t="s">
        <v>1589</v>
      </c>
      <c r="B254" s="8">
        <v>1503050</v>
      </c>
      <c r="C254" s="8">
        <v>3.3</v>
      </c>
      <c r="D254" s="9" t="s">
        <v>258</v>
      </c>
      <c r="E254" s="59">
        <v>12</v>
      </c>
      <c r="F254" s="56" t="s">
        <v>34</v>
      </c>
      <c r="G254" s="63">
        <f t="shared" ref="G254:G255" si="48">H254/E254</f>
        <v>0</v>
      </c>
      <c r="H254" s="63">
        <v>0</v>
      </c>
      <c r="J254" s="57"/>
    </row>
    <row r="255" spans="1:10" x14ac:dyDescent="0.3">
      <c r="A255" s="8" t="s">
        <v>1590</v>
      </c>
      <c r="B255" s="8">
        <v>1503050</v>
      </c>
      <c r="C255" s="8">
        <v>3.5</v>
      </c>
      <c r="D255" s="9" t="s">
        <v>2806</v>
      </c>
      <c r="E255" s="59">
        <v>12</v>
      </c>
      <c r="F255" s="56" t="s">
        <v>34</v>
      </c>
      <c r="G255" s="63">
        <f t="shared" si="48"/>
        <v>0</v>
      </c>
      <c r="H255" s="63">
        <v>0</v>
      </c>
      <c r="J255" s="57"/>
    </row>
    <row r="256" spans="1:10" x14ac:dyDescent="0.3">
      <c r="A256" s="8" t="s">
        <v>1591</v>
      </c>
      <c r="B256" s="8">
        <v>1503050</v>
      </c>
      <c r="C256" s="8">
        <v>3.6</v>
      </c>
      <c r="D256" s="172" t="s">
        <v>261</v>
      </c>
      <c r="E256" s="59">
        <v>12</v>
      </c>
      <c r="F256" s="56" t="s">
        <v>34</v>
      </c>
      <c r="G256" s="63">
        <f t="shared" ref="G256" si="49">SUM(G254:G255)</f>
        <v>0</v>
      </c>
      <c r="H256" s="63">
        <f>SUM(H253:H255)</f>
        <v>0</v>
      </c>
      <c r="J256" s="57"/>
    </row>
    <row r="257" spans="1:10" ht="12.75" customHeight="1" x14ac:dyDescent="0.3">
      <c r="A257" s="8" t="s">
        <v>1592</v>
      </c>
      <c r="B257" s="8">
        <v>1503050</v>
      </c>
      <c r="C257" s="146">
        <v>3.7</v>
      </c>
      <c r="D257" s="168" t="s">
        <v>263</v>
      </c>
      <c r="E257" s="59">
        <v>12</v>
      </c>
      <c r="F257" s="56" t="s">
        <v>34</v>
      </c>
      <c r="G257" s="63">
        <v>0</v>
      </c>
      <c r="H257" s="63">
        <v>0</v>
      </c>
      <c r="J257" s="57"/>
    </row>
    <row r="258" spans="1:10" x14ac:dyDescent="0.3">
      <c r="A258" s="13"/>
      <c r="B258" s="13"/>
      <c r="C258" s="147"/>
      <c r="D258" s="173" t="s">
        <v>1593</v>
      </c>
      <c r="E258" s="193">
        <v>12</v>
      </c>
      <c r="F258" s="189" t="s">
        <v>34</v>
      </c>
      <c r="G258" s="190">
        <f>G256+G247+G243+G239+G235</f>
        <v>0</v>
      </c>
      <c r="H258" s="63">
        <f>H256+H247+H243+H239+H235</f>
        <v>0</v>
      </c>
      <c r="J258" s="57" t="s">
        <v>14</v>
      </c>
    </row>
    <row r="259" spans="1:10" x14ac:dyDescent="0.3">
      <c r="A259" s="13" t="s">
        <v>1594</v>
      </c>
      <c r="B259" s="13">
        <v>1503050</v>
      </c>
      <c r="C259" s="147"/>
      <c r="D259" s="179" t="s">
        <v>266</v>
      </c>
      <c r="E259" s="56"/>
      <c r="F259" s="56"/>
      <c r="G259" s="63"/>
      <c r="H259" s="63"/>
      <c r="J259" s="57" t="s">
        <v>14</v>
      </c>
    </row>
    <row r="260" spans="1:10" x14ac:dyDescent="0.3">
      <c r="A260" s="8" t="s">
        <v>1595</v>
      </c>
      <c r="B260" s="8">
        <v>1503050</v>
      </c>
      <c r="C260" s="146">
        <v>3.1</v>
      </c>
      <c r="D260" s="170" t="s">
        <v>2807</v>
      </c>
      <c r="E260" s="194">
        <v>12</v>
      </c>
      <c r="F260" s="194" t="s">
        <v>34</v>
      </c>
      <c r="G260" s="196">
        <v>0</v>
      </c>
      <c r="H260" s="63">
        <v>0</v>
      </c>
      <c r="J260" s="57" t="s">
        <v>14</v>
      </c>
    </row>
    <row r="261" spans="1:10" x14ac:dyDescent="0.3">
      <c r="A261" s="8" t="s">
        <v>1596</v>
      </c>
      <c r="B261" s="8">
        <v>1503050</v>
      </c>
      <c r="C261" s="146">
        <v>3.1</v>
      </c>
      <c r="D261" s="171" t="s">
        <v>269</v>
      </c>
      <c r="E261" s="59">
        <v>12</v>
      </c>
      <c r="F261" s="59" t="s">
        <v>34</v>
      </c>
      <c r="G261" s="63">
        <v>0</v>
      </c>
      <c r="H261" s="63">
        <v>0</v>
      </c>
      <c r="J261" s="57" t="s">
        <v>14</v>
      </c>
    </row>
    <row r="262" spans="1:10" x14ac:dyDescent="0.3">
      <c r="A262" s="8" t="s">
        <v>1597</v>
      </c>
      <c r="B262" s="8">
        <v>1503050</v>
      </c>
      <c r="C262" s="146">
        <v>3.1</v>
      </c>
      <c r="D262" s="171" t="s">
        <v>271</v>
      </c>
      <c r="E262" s="59">
        <v>12</v>
      </c>
      <c r="F262" s="59" t="s">
        <v>34</v>
      </c>
      <c r="G262" s="63">
        <v>0</v>
      </c>
      <c r="H262" s="63">
        <v>0</v>
      </c>
      <c r="J262" s="57"/>
    </row>
    <row r="263" spans="1:10" x14ac:dyDescent="0.3">
      <c r="A263" s="8" t="s">
        <v>1598</v>
      </c>
      <c r="B263" s="8">
        <v>1503050</v>
      </c>
      <c r="C263" s="8">
        <v>3.2</v>
      </c>
      <c r="D263" s="174" t="s">
        <v>273</v>
      </c>
      <c r="E263" s="59">
        <v>12</v>
      </c>
      <c r="F263" s="59" t="s">
        <v>34</v>
      </c>
      <c r="G263" s="63">
        <v>0</v>
      </c>
      <c r="H263" s="63">
        <v>0</v>
      </c>
      <c r="J263" s="57" t="s">
        <v>14</v>
      </c>
    </row>
    <row r="264" spans="1:10" x14ac:dyDescent="0.3">
      <c r="A264" s="8" t="s">
        <v>1599</v>
      </c>
      <c r="B264" s="8">
        <v>1503050</v>
      </c>
      <c r="C264" s="8">
        <v>3.3</v>
      </c>
      <c r="D264" s="9" t="s">
        <v>275</v>
      </c>
      <c r="E264" s="59">
        <v>12</v>
      </c>
      <c r="F264" s="59" t="s">
        <v>34</v>
      </c>
      <c r="G264" s="63">
        <v>0</v>
      </c>
      <c r="H264" s="63">
        <v>0</v>
      </c>
      <c r="J264" s="57" t="s">
        <v>14</v>
      </c>
    </row>
    <row r="265" spans="1:10" ht="12.75" customHeight="1" x14ac:dyDescent="0.3">
      <c r="A265" s="8" t="s">
        <v>1600</v>
      </c>
      <c r="B265" s="8">
        <v>1503050</v>
      </c>
      <c r="C265" s="8">
        <v>3.5</v>
      </c>
      <c r="D265" s="9" t="s">
        <v>2808</v>
      </c>
      <c r="E265" s="59">
        <v>12</v>
      </c>
      <c r="F265" s="59" t="s">
        <v>34</v>
      </c>
      <c r="G265" s="63">
        <v>0</v>
      </c>
      <c r="H265" s="63">
        <v>0</v>
      </c>
      <c r="J265" s="57"/>
    </row>
    <row r="266" spans="1:10" x14ac:dyDescent="0.3">
      <c r="A266" s="8" t="s">
        <v>1601</v>
      </c>
      <c r="B266" s="8">
        <v>1503050</v>
      </c>
      <c r="C266" s="8">
        <v>3.6</v>
      </c>
      <c r="D266" s="172" t="s">
        <v>278</v>
      </c>
      <c r="E266" s="59">
        <v>12</v>
      </c>
      <c r="F266" s="56" t="s">
        <v>34</v>
      </c>
      <c r="G266" s="63">
        <f t="shared" ref="G266:G267" si="50">H266/E266</f>
        <v>0</v>
      </c>
      <c r="H266" s="63">
        <v>0</v>
      </c>
      <c r="J266" s="57"/>
    </row>
    <row r="267" spans="1:10" ht="12.75" customHeight="1" x14ac:dyDescent="0.3">
      <c r="A267" s="8" t="s">
        <v>1602</v>
      </c>
      <c r="B267" s="8">
        <v>1503050</v>
      </c>
      <c r="C267" s="146">
        <v>3.7</v>
      </c>
      <c r="D267" s="168" t="s">
        <v>280</v>
      </c>
      <c r="E267" s="59">
        <v>12</v>
      </c>
      <c r="F267" s="56" t="s">
        <v>34</v>
      </c>
      <c r="G267" s="63">
        <f t="shared" si="50"/>
        <v>0</v>
      </c>
      <c r="H267" s="63">
        <v>0</v>
      </c>
      <c r="J267" s="57"/>
    </row>
    <row r="268" spans="1:10" x14ac:dyDescent="0.3">
      <c r="A268" s="13"/>
      <c r="B268" s="13"/>
      <c r="C268" s="147"/>
      <c r="D268" s="175" t="s">
        <v>1603</v>
      </c>
      <c r="E268" s="59">
        <v>12</v>
      </c>
      <c r="F268" s="56" t="s">
        <v>34</v>
      </c>
      <c r="G268" s="63">
        <f t="shared" ref="G268" si="51">SUM(G266:G267)</f>
        <v>0</v>
      </c>
      <c r="H268" s="63">
        <f>SUM(H260:H267)</f>
        <v>0</v>
      </c>
      <c r="J268" s="57"/>
    </row>
    <row r="269" spans="1:10" x14ac:dyDescent="0.3">
      <c r="A269" s="13" t="s">
        <v>1523</v>
      </c>
      <c r="B269" s="13">
        <v>1503050</v>
      </c>
      <c r="C269" s="147" t="s">
        <v>14</v>
      </c>
      <c r="D269" s="173" t="s">
        <v>282</v>
      </c>
      <c r="E269" s="193">
        <v>12</v>
      </c>
      <c r="F269" s="193" t="s">
        <v>34</v>
      </c>
      <c r="G269" s="190">
        <v>0</v>
      </c>
      <c r="H269" s="63">
        <v>0</v>
      </c>
      <c r="J269" s="57"/>
    </row>
    <row r="270" spans="1:10" x14ac:dyDescent="0.3">
      <c r="A270" s="13" t="s">
        <v>1604</v>
      </c>
      <c r="B270" s="13"/>
      <c r="C270" s="147" t="s">
        <v>14</v>
      </c>
      <c r="D270" s="185" t="s">
        <v>284</v>
      </c>
      <c r="E270" s="56"/>
      <c r="F270" s="56"/>
      <c r="G270" s="63"/>
      <c r="H270" s="63"/>
      <c r="J270" s="57"/>
    </row>
    <row r="271" spans="1:10" x14ac:dyDescent="0.3">
      <c r="A271" s="13" t="s">
        <v>1605</v>
      </c>
      <c r="B271" s="13">
        <v>1503050</v>
      </c>
      <c r="C271" s="147"/>
      <c r="D271" s="163" t="s">
        <v>2809</v>
      </c>
      <c r="E271" s="194">
        <v>12</v>
      </c>
      <c r="F271" s="195" t="s">
        <v>34</v>
      </c>
      <c r="G271" s="196">
        <f t="shared" ref="G271:G272" si="52">H271/E271</f>
        <v>0</v>
      </c>
      <c r="H271" s="63">
        <v>0</v>
      </c>
      <c r="J271" s="57"/>
    </row>
    <row r="272" spans="1:10" x14ac:dyDescent="0.3">
      <c r="A272" s="8" t="s">
        <v>1606</v>
      </c>
      <c r="B272" s="8">
        <v>1503050</v>
      </c>
      <c r="C272" s="146">
        <v>3.1</v>
      </c>
      <c r="D272" s="170" t="s">
        <v>2810</v>
      </c>
      <c r="E272" s="59">
        <v>12</v>
      </c>
      <c r="F272" s="56" t="s">
        <v>34</v>
      </c>
      <c r="G272" s="63">
        <f t="shared" si="52"/>
        <v>0</v>
      </c>
      <c r="H272" s="63">
        <v>0</v>
      </c>
      <c r="J272" s="57"/>
    </row>
    <row r="273" spans="1:10" x14ac:dyDescent="0.3">
      <c r="A273" s="8" t="s">
        <v>1607</v>
      </c>
      <c r="B273" s="8">
        <v>1503050</v>
      </c>
      <c r="C273" s="146">
        <v>3.1</v>
      </c>
      <c r="D273" s="171" t="s">
        <v>2811</v>
      </c>
      <c r="E273" s="59">
        <v>12</v>
      </c>
      <c r="F273" s="56" t="s">
        <v>34</v>
      </c>
      <c r="G273" s="63">
        <f t="shared" ref="G273:H273" si="53">SUM(G271:G272)</f>
        <v>0</v>
      </c>
      <c r="H273" s="63">
        <f t="shared" si="53"/>
        <v>0</v>
      </c>
      <c r="J273" s="57"/>
    </row>
    <row r="274" spans="1:10" ht="12.75" customHeight="1" x14ac:dyDescent="0.3">
      <c r="A274" s="8" t="s">
        <v>1608</v>
      </c>
      <c r="B274" s="8">
        <v>1503050</v>
      </c>
      <c r="C274" s="8">
        <v>3.1</v>
      </c>
      <c r="D274" s="166" t="s">
        <v>289</v>
      </c>
      <c r="E274" s="59">
        <v>12</v>
      </c>
      <c r="F274" s="59" t="s">
        <v>34</v>
      </c>
      <c r="G274" s="63">
        <v>0</v>
      </c>
      <c r="H274" s="63">
        <v>0</v>
      </c>
      <c r="J274" s="57"/>
    </row>
    <row r="275" spans="1:10" x14ac:dyDescent="0.3">
      <c r="A275" s="8" t="s">
        <v>1609</v>
      </c>
      <c r="B275" s="8">
        <v>1503050</v>
      </c>
      <c r="C275" s="8">
        <v>3.2</v>
      </c>
      <c r="D275" s="60" t="s">
        <v>291</v>
      </c>
      <c r="E275" s="59">
        <v>12</v>
      </c>
      <c r="F275" s="56" t="s">
        <v>34</v>
      </c>
      <c r="G275" s="63">
        <f t="shared" ref="G275:G276" si="54">H275/E275</f>
        <v>0</v>
      </c>
      <c r="H275" s="63">
        <v>0</v>
      </c>
      <c r="J275" s="57"/>
    </row>
    <row r="276" spans="1:10" ht="12.75" customHeight="1" x14ac:dyDescent="0.3">
      <c r="A276" s="8" t="s">
        <v>1610</v>
      </c>
      <c r="B276" s="8">
        <v>1503050</v>
      </c>
      <c r="C276" s="8">
        <v>3.3</v>
      </c>
      <c r="D276" s="9" t="s">
        <v>2812</v>
      </c>
      <c r="E276" s="59">
        <v>12</v>
      </c>
      <c r="F276" s="56" t="s">
        <v>34</v>
      </c>
      <c r="G276" s="63">
        <f t="shared" si="54"/>
        <v>0</v>
      </c>
      <c r="H276" s="63">
        <v>0</v>
      </c>
      <c r="J276" s="57"/>
    </row>
    <row r="277" spans="1:10" x14ac:dyDescent="0.3">
      <c r="A277" s="8" t="s">
        <v>1611</v>
      </c>
      <c r="B277" s="8">
        <v>1503050</v>
      </c>
      <c r="C277" s="8">
        <v>3.5</v>
      </c>
      <c r="D277" s="172" t="s">
        <v>2813</v>
      </c>
      <c r="E277" s="59">
        <v>12</v>
      </c>
      <c r="F277" s="56" t="s">
        <v>34</v>
      </c>
      <c r="G277" s="63">
        <f t="shared" ref="G277" si="55">SUM(G275:G276)</f>
        <v>0</v>
      </c>
      <c r="H277" s="63">
        <f>SUM(H274:H276)</f>
        <v>0</v>
      </c>
      <c r="J277" s="57"/>
    </row>
    <row r="278" spans="1:10" x14ac:dyDescent="0.3">
      <c r="A278" s="8" t="s">
        <v>1612</v>
      </c>
      <c r="B278" s="8">
        <v>1503050</v>
      </c>
      <c r="C278" s="146">
        <v>3.6</v>
      </c>
      <c r="D278" s="168" t="s">
        <v>295</v>
      </c>
      <c r="E278" s="59">
        <v>12</v>
      </c>
      <c r="F278" s="59" t="s">
        <v>34</v>
      </c>
      <c r="G278" s="63">
        <v>0</v>
      </c>
      <c r="H278" s="63">
        <v>0</v>
      </c>
      <c r="J278" s="57"/>
    </row>
    <row r="279" spans="1:10" x14ac:dyDescent="0.3">
      <c r="A279" s="8" t="s">
        <v>1613</v>
      </c>
      <c r="B279" s="8">
        <v>1503050</v>
      </c>
      <c r="C279" s="146">
        <v>3.7</v>
      </c>
      <c r="D279" s="168" t="s">
        <v>297</v>
      </c>
      <c r="E279" s="59">
        <v>12</v>
      </c>
      <c r="F279" s="56" t="s">
        <v>34</v>
      </c>
      <c r="G279" s="63">
        <f t="shared" ref="G279:G280" si="56">H279/E279</f>
        <v>0</v>
      </c>
      <c r="H279" s="63">
        <v>0</v>
      </c>
      <c r="J279" s="57"/>
    </row>
    <row r="280" spans="1:10" x14ac:dyDescent="0.3">
      <c r="A280" s="13"/>
      <c r="B280" s="13"/>
      <c r="C280" s="147"/>
      <c r="D280" s="173" t="s">
        <v>3239</v>
      </c>
      <c r="E280" s="193">
        <v>12</v>
      </c>
      <c r="F280" s="189" t="s">
        <v>34</v>
      </c>
      <c r="G280" s="190">
        <f t="shared" si="56"/>
        <v>0</v>
      </c>
      <c r="H280" s="63">
        <v>0</v>
      </c>
      <c r="J280" s="57"/>
    </row>
    <row r="281" spans="1:10" x14ac:dyDescent="0.3">
      <c r="A281" s="13" t="s">
        <v>1614</v>
      </c>
      <c r="B281" s="13">
        <v>1503050</v>
      </c>
      <c r="C281" s="146"/>
      <c r="D281" s="179" t="s">
        <v>2815</v>
      </c>
      <c r="E281" s="59"/>
      <c r="F281" s="56"/>
      <c r="G281" s="63"/>
      <c r="H281" s="63"/>
      <c r="J281" s="57"/>
    </row>
    <row r="282" spans="1:10" ht="12.75" customHeight="1" x14ac:dyDescent="0.3">
      <c r="A282" s="8" t="s">
        <v>1615</v>
      </c>
      <c r="B282" s="8">
        <v>1503050</v>
      </c>
      <c r="C282" s="8">
        <v>3.1</v>
      </c>
      <c r="D282" s="53" t="s">
        <v>2816</v>
      </c>
      <c r="E282" s="194">
        <v>12</v>
      </c>
      <c r="F282" s="195" t="s">
        <v>34</v>
      </c>
      <c r="G282" s="196">
        <f>G281+G277+G273+G268</f>
        <v>0</v>
      </c>
      <c r="H282" s="63">
        <f>H281+H277+H273+H268</f>
        <v>0</v>
      </c>
      <c r="J282" s="57" t="s">
        <v>14</v>
      </c>
    </row>
    <row r="283" spans="1:10" ht="12.75" customHeight="1" x14ac:dyDescent="0.3">
      <c r="A283" s="8" t="s">
        <v>1616</v>
      </c>
      <c r="B283" s="8">
        <v>1503050</v>
      </c>
      <c r="C283" s="8">
        <v>3.1</v>
      </c>
      <c r="D283" s="152" t="s">
        <v>301</v>
      </c>
      <c r="E283" s="8">
        <v>12</v>
      </c>
      <c r="F283" s="8" t="s">
        <v>34</v>
      </c>
      <c r="G283" s="20">
        <f>G282+G258</f>
        <v>0</v>
      </c>
      <c r="H283" s="20">
        <f>H282+H258</f>
        <v>0</v>
      </c>
    </row>
    <row r="284" spans="1:10" ht="12.75" customHeight="1" x14ac:dyDescent="0.3">
      <c r="A284" s="8" t="s">
        <v>1617</v>
      </c>
      <c r="B284" s="8">
        <v>1503050</v>
      </c>
      <c r="C284" s="8">
        <v>3.1</v>
      </c>
      <c r="D284" s="9" t="s">
        <v>303</v>
      </c>
      <c r="E284" s="8">
        <v>12</v>
      </c>
      <c r="F284" s="8" t="s">
        <v>34</v>
      </c>
      <c r="G284" s="20">
        <f>G283+G228</f>
        <v>0</v>
      </c>
      <c r="H284" s="20">
        <f>H283+H228</f>
        <v>0</v>
      </c>
    </row>
    <row r="285" spans="1:10" x14ac:dyDescent="0.3">
      <c r="A285" s="8" t="s">
        <v>1618</v>
      </c>
      <c r="B285" s="8">
        <v>1503050</v>
      </c>
      <c r="C285" s="8">
        <v>3.2</v>
      </c>
      <c r="D285" s="152" t="s">
        <v>305</v>
      </c>
      <c r="E285" s="8">
        <v>12</v>
      </c>
      <c r="F285" s="8" t="s">
        <v>34</v>
      </c>
      <c r="G285" s="20">
        <v>0</v>
      </c>
      <c r="H285" s="20">
        <v>0</v>
      </c>
    </row>
    <row r="286" spans="1:10" x14ac:dyDescent="0.3">
      <c r="A286" s="8" t="s">
        <v>1619</v>
      </c>
      <c r="B286" s="8">
        <v>1503050</v>
      </c>
      <c r="C286" s="8">
        <v>3.3</v>
      </c>
      <c r="D286" s="152" t="s">
        <v>2817</v>
      </c>
      <c r="E286" s="8">
        <v>12</v>
      </c>
      <c r="F286" s="8" t="s">
        <v>34</v>
      </c>
      <c r="G286" s="20">
        <v>0</v>
      </c>
      <c r="H286" s="20">
        <v>0</v>
      </c>
    </row>
    <row r="287" spans="1:10" x14ac:dyDescent="0.3">
      <c r="A287" s="8" t="s">
        <v>1620</v>
      </c>
      <c r="B287" s="8">
        <v>1503050</v>
      </c>
      <c r="C287" s="8">
        <v>3.5</v>
      </c>
      <c r="D287" s="152" t="s">
        <v>2818</v>
      </c>
      <c r="E287" s="8">
        <v>12</v>
      </c>
      <c r="F287" s="8" t="s">
        <v>34</v>
      </c>
      <c r="G287" s="20">
        <v>0</v>
      </c>
      <c r="H287" s="20">
        <v>0</v>
      </c>
    </row>
    <row r="288" spans="1:10" x14ac:dyDescent="0.3">
      <c r="A288" s="8" t="s">
        <v>1621</v>
      </c>
      <c r="B288" s="8">
        <v>1503050</v>
      </c>
      <c r="C288" s="8">
        <v>3.6</v>
      </c>
      <c r="D288" s="152" t="s">
        <v>309</v>
      </c>
      <c r="E288" s="8">
        <v>12</v>
      </c>
      <c r="F288" s="8" t="s">
        <v>34</v>
      </c>
      <c r="G288" s="20">
        <v>0</v>
      </c>
      <c r="H288" s="20">
        <v>0</v>
      </c>
    </row>
    <row r="289" spans="1:8" x14ac:dyDescent="0.3">
      <c r="A289" s="8" t="s">
        <v>1622</v>
      </c>
      <c r="B289" s="8">
        <v>1503050</v>
      </c>
      <c r="C289" s="8">
        <v>3.7</v>
      </c>
      <c r="D289" s="152" t="s">
        <v>2819</v>
      </c>
      <c r="E289" s="8">
        <v>12</v>
      </c>
      <c r="F289" s="8" t="s">
        <v>34</v>
      </c>
      <c r="G289" s="20">
        <v>0</v>
      </c>
      <c r="H289" s="20">
        <v>0</v>
      </c>
    </row>
    <row r="290" spans="1:8" x14ac:dyDescent="0.3">
      <c r="A290" s="13"/>
      <c r="B290" s="13"/>
      <c r="C290" s="13"/>
      <c r="D290" s="155" t="s">
        <v>1623</v>
      </c>
      <c r="E290" s="157">
        <v>12</v>
      </c>
      <c r="F290" s="157" t="s">
        <v>34</v>
      </c>
      <c r="G290" s="201">
        <v>0</v>
      </c>
      <c r="H290" s="20">
        <v>0</v>
      </c>
    </row>
    <row r="291" spans="1:8" x14ac:dyDescent="0.3">
      <c r="A291" s="13" t="s">
        <v>1624</v>
      </c>
      <c r="B291" s="13">
        <v>1503050</v>
      </c>
      <c r="C291" s="147"/>
      <c r="D291" s="177" t="s">
        <v>2820</v>
      </c>
      <c r="E291" s="8"/>
      <c r="F291" s="8"/>
      <c r="G291" s="20"/>
      <c r="H291" s="20"/>
    </row>
    <row r="292" spans="1:8" x14ac:dyDescent="0.3">
      <c r="A292" s="8" t="s">
        <v>1625</v>
      </c>
      <c r="B292" s="8">
        <v>1503050</v>
      </c>
      <c r="C292" s="146">
        <v>3.1</v>
      </c>
      <c r="D292" s="165" t="s">
        <v>2821</v>
      </c>
      <c r="E292" s="149">
        <v>12</v>
      </c>
      <c r="F292" s="149" t="s">
        <v>34</v>
      </c>
      <c r="G292" s="191">
        <v>0</v>
      </c>
      <c r="H292" s="20">
        <v>0</v>
      </c>
    </row>
    <row r="293" spans="1:8" x14ac:dyDescent="0.3">
      <c r="A293" s="8" t="s">
        <v>1626</v>
      </c>
      <c r="B293" s="8">
        <v>1503050</v>
      </c>
      <c r="C293" s="146">
        <v>3.1</v>
      </c>
      <c r="D293" s="165" t="s">
        <v>315</v>
      </c>
      <c r="E293" s="8">
        <v>12</v>
      </c>
      <c r="F293" s="8" t="s">
        <v>34</v>
      </c>
      <c r="G293" s="20">
        <v>0</v>
      </c>
      <c r="H293" s="20">
        <v>0</v>
      </c>
    </row>
    <row r="294" spans="1:8" x14ac:dyDescent="0.3">
      <c r="A294" s="8" t="s">
        <v>1627</v>
      </c>
      <c r="B294" s="8">
        <v>1503050</v>
      </c>
      <c r="C294" s="8">
        <v>3.1</v>
      </c>
      <c r="D294" s="150" t="s">
        <v>317</v>
      </c>
      <c r="E294" s="8">
        <v>12</v>
      </c>
      <c r="F294" s="8" t="s">
        <v>34</v>
      </c>
      <c r="G294" s="20">
        <v>0</v>
      </c>
      <c r="H294" s="20">
        <v>0</v>
      </c>
    </row>
    <row r="295" spans="1:8" x14ac:dyDescent="0.3">
      <c r="A295" s="8" t="s">
        <v>1628</v>
      </c>
      <c r="B295" s="8">
        <v>1503050</v>
      </c>
      <c r="C295" s="8">
        <v>3.2</v>
      </c>
      <c r="D295" s="178" t="s">
        <v>319</v>
      </c>
      <c r="E295" s="8">
        <v>12</v>
      </c>
      <c r="F295" s="8" t="s">
        <v>34</v>
      </c>
      <c r="G295" s="20">
        <v>0</v>
      </c>
      <c r="H295" s="20">
        <v>0</v>
      </c>
    </row>
    <row r="296" spans="1:8" x14ac:dyDescent="0.3">
      <c r="A296" s="8" t="s">
        <v>1629</v>
      </c>
      <c r="B296" s="8">
        <v>1503050</v>
      </c>
      <c r="C296" s="8">
        <v>3.3</v>
      </c>
      <c r="D296" s="152" t="s">
        <v>321</v>
      </c>
      <c r="E296" s="8">
        <v>12</v>
      </c>
      <c r="F296" s="8" t="s">
        <v>34</v>
      </c>
      <c r="G296" s="20">
        <v>0</v>
      </c>
      <c r="H296" s="20">
        <v>0</v>
      </c>
    </row>
    <row r="297" spans="1:8" x14ac:dyDescent="0.3">
      <c r="A297" s="8" t="s">
        <v>1630</v>
      </c>
      <c r="B297" s="8">
        <v>1503050</v>
      </c>
      <c r="C297" s="8">
        <v>3.5</v>
      </c>
      <c r="D297" s="152" t="s">
        <v>2822</v>
      </c>
      <c r="E297" s="8">
        <v>12</v>
      </c>
      <c r="F297" s="8" t="s">
        <v>34</v>
      </c>
      <c r="G297" s="20">
        <v>0</v>
      </c>
      <c r="H297" s="20">
        <v>0</v>
      </c>
    </row>
    <row r="298" spans="1:8" x14ac:dyDescent="0.3">
      <c r="A298" s="8" t="s">
        <v>1631</v>
      </c>
      <c r="B298" s="8">
        <v>1503050</v>
      </c>
      <c r="C298" s="8">
        <v>3.6</v>
      </c>
      <c r="D298" s="152" t="s">
        <v>324</v>
      </c>
      <c r="E298" s="8">
        <v>12</v>
      </c>
      <c r="F298" s="8" t="s">
        <v>34</v>
      </c>
      <c r="G298" s="20">
        <v>0</v>
      </c>
      <c r="H298" s="20">
        <v>0</v>
      </c>
    </row>
    <row r="299" spans="1:8" x14ac:dyDescent="0.3">
      <c r="A299" s="8" t="s">
        <v>1632</v>
      </c>
      <c r="B299" s="8">
        <v>1503050</v>
      </c>
      <c r="C299" s="8">
        <v>3.7</v>
      </c>
      <c r="D299" s="152" t="s">
        <v>2823</v>
      </c>
      <c r="E299" s="8">
        <v>12</v>
      </c>
      <c r="F299" s="8" t="s">
        <v>34</v>
      </c>
      <c r="G299" s="20">
        <v>0</v>
      </c>
      <c r="H299" s="20">
        <v>0</v>
      </c>
    </row>
    <row r="300" spans="1:8" x14ac:dyDescent="0.3">
      <c r="A300" s="13"/>
      <c r="B300" s="13"/>
      <c r="C300" s="13"/>
      <c r="D300" s="155" t="s">
        <v>1633</v>
      </c>
      <c r="E300" s="157">
        <v>12</v>
      </c>
      <c r="F300" s="157" t="s">
        <v>34</v>
      </c>
      <c r="G300" s="201">
        <v>0</v>
      </c>
      <c r="H300" s="20">
        <v>0</v>
      </c>
    </row>
    <row r="301" spans="1:8" x14ac:dyDescent="0.3">
      <c r="A301" s="13" t="s">
        <v>1634</v>
      </c>
      <c r="B301" s="13">
        <v>1503050</v>
      </c>
      <c r="C301" s="146"/>
      <c r="D301" s="179" t="s">
        <v>2824</v>
      </c>
      <c r="E301" s="8"/>
      <c r="F301" s="8"/>
      <c r="G301" s="20"/>
      <c r="H301" s="20"/>
    </row>
    <row r="302" spans="1:8" x14ac:dyDescent="0.3">
      <c r="A302" s="8" t="s">
        <v>1635</v>
      </c>
      <c r="B302" s="8">
        <v>1503050</v>
      </c>
      <c r="C302" s="146">
        <v>3.1</v>
      </c>
      <c r="D302" s="180" t="s">
        <v>2825</v>
      </c>
      <c r="E302" s="149">
        <v>12</v>
      </c>
      <c r="F302" s="149" t="s">
        <v>34</v>
      </c>
      <c r="G302" s="191">
        <v>0</v>
      </c>
      <c r="H302" s="20">
        <v>0</v>
      </c>
    </row>
    <row r="303" spans="1:8" x14ac:dyDescent="0.3">
      <c r="A303" s="8" t="s">
        <v>1636</v>
      </c>
      <c r="B303" s="8">
        <v>1503050</v>
      </c>
      <c r="C303" s="146">
        <v>3.1</v>
      </c>
      <c r="D303" s="181" t="s">
        <v>330</v>
      </c>
      <c r="E303" s="8">
        <v>12</v>
      </c>
      <c r="F303" s="8" t="s">
        <v>34</v>
      </c>
      <c r="G303" s="20">
        <v>0</v>
      </c>
      <c r="H303" s="20">
        <v>0</v>
      </c>
    </row>
    <row r="304" spans="1:8" x14ac:dyDescent="0.3">
      <c r="A304" s="8" t="s">
        <v>1637</v>
      </c>
      <c r="B304" s="8">
        <v>1503050</v>
      </c>
      <c r="C304" s="8">
        <v>3.1</v>
      </c>
      <c r="D304" s="53" t="s">
        <v>332</v>
      </c>
      <c r="E304" s="8">
        <v>12</v>
      </c>
      <c r="F304" s="8" t="s">
        <v>34</v>
      </c>
      <c r="G304" s="20">
        <v>0</v>
      </c>
      <c r="H304" s="20">
        <v>0</v>
      </c>
    </row>
    <row r="305" spans="1:8" x14ac:dyDescent="0.3">
      <c r="A305" s="8" t="s">
        <v>1638</v>
      </c>
      <c r="B305" s="8">
        <v>1503050</v>
      </c>
      <c r="C305" s="8">
        <v>3.2</v>
      </c>
      <c r="D305" s="152" t="s">
        <v>334</v>
      </c>
      <c r="E305" s="8">
        <v>12</v>
      </c>
      <c r="F305" s="8" t="s">
        <v>34</v>
      </c>
      <c r="G305" s="20">
        <v>0</v>
      </c>
      <c r="H305" s="20">
        <v>0</v>
      </c>
    </row>
    <row r="306" spans="1:8" x14ac:dyDescent="0.3">
      <c r="A306" s="8" t="s">
        <v>1639</v>
      </c>
      <c r="B306" s="8">
        <v>1503050</v>
      </c>
      <c r="C306" s="8">
        <v>3.3</v>
      </c>
      <c r="D306" s="152" t="s">
        <v>336</v>
      </c>
      <c r="E306" s="8">
        <v>12</v>
      </c>
      <c r="F306" s="8" t="s">
        <v>34</v>
      </c>
      <c r="G306" s="20">
        <v>0</v>
      </c>
      <c r="H306" s="20">
        <v>0</v>
      </c>
    </row>
    <row r="307" spans="1:8" x14ac:dyDescent="0.3">
      <c r="A307" s="8" t="s">
        <v>1640</v>
      </c>
      <c r="B307" s="8">
        <v>1503050</v>
      </c>
      <c r="C307" s="8">
        <v>3.5</v>
      </c>
      <c r="D307" s="152" t="s">
        <v>2826</v>
      </c>
      <c r="E307" s="8">
        <v>12</v>
      </c>
      <c r="F307" s="8" t="s">
        <v>34</v>
      </c>
      <c r="G307" s="20">
        <v>0</v>
      </c>
      <c r="H307" s="20">
        <v>0</v>
      </c>
    </row>
    <row r="308" spans="1:8" x14ac:dyDescent="0.3">
      <c r="A308" s="8" t="s">
        <v>1641</v>
      </c>
      <c r="B308" s="8">
        <v>1503050</v>
      </c>
      <c r="C308" s="8">
        <v>3.6</v>
      </c>
      <c r="D308" s="152" t="s">
        <v>339</v>
      </c>
      <c r="E308" s="8">
        <v>12</v>
      </c>
      <c r="F308" s="8" t="s">
        <v>34</v>
      </c>
      <c r="G308" s="20">
        <v>0</v>
      </c>
      <c r="H308" s="20">
        <v>0</v>
      </c>
    </row>
    <row r="309" spans="1:8" x14ac:dyDescent="0.3">
      <c r="A309" s="8" t="s">
        <v>1642</v>
      </c>
      <c r="B309" s="8">
        <v>1503050</v>
      </c>
      <c r="C309" s="8">
        <v>3.7</v>
      </c>
      <c r="D309" s="152" t="s">
        <v>341</v>
      </c>
      <c r="E309" s="8">
        <v>12</v>
      </c>
      <c r="F309" s="8" t="s">
        <v>34</v>
      </c>
      <c r="G309" s="20">
        <v>0</v>
      </c>
      <c r="H309" s="20">
        <v>0</v>
      </c>
    </row>
    <row r="310" spans="1:8" x14ac:dyDescent="0.3">
      <c r="A310" s="13"/>
      <c r="B310" s="13"/>
      <c r="C310" s="13"/>
      <c r="D310" s="153" t="s">
        <v>1643</v>
      </c>
      <c r="E310" s="8">
        <v>12</v>
      </c>
      <c r="F310" s="8" t="s">
        <v>34</v>
      </c>
      <c r="G310" s="20">
        <v>0</v>
      </c>
      <c r="H310" s="20">
        <v>0</v>
      </c>
    </row>
    <row r="311" spans="1:8" x14ac:dyDescent="0.3">
      <c r="A311" s="13" t="s">
        <v>1604</v>
      </c>
      <c r="B311" s="13">
        <v>1503050</v>
      </c>
      <c r="C311" s="13" t="s">
        <v>14</v>
      </c>
      <c r="D311" s="153" t="s">
        <v>343</v>
      </c>
      <c r="E311" s="8">
        <v>12</v>
      </c>
      <c r="F311" s="8" t="s">
        <v>34</v>
      </c>
      <c r="G311" s="20">
        <v>0</v>
      </c>
      <c r="H311" s="20">
        <v>0</v>
      </c>
    </row>
    <row r="312" spans="1:8" x14ac:dyDescent="0.3">
      <c r="A312" s="214" t="s">
        <v>2827</v>
      </c>
      <c r="B312" s="214"/>
      <c r="C312" s="214"/>
      <c r="D312" s="215"/>
      <c r="E312" s="157">
        <v>12</v>
      </c>
      <c r="F312" s="157" t="s">
        <v>34</v>
      </c>
      <c r="G312" s="201">
        <v>0</v>
      </c>
      <c r="H312" s="20">
        <v>0</v>
      </c>
    </row>
    <row r="313" spans="1:8" x14ac:dyDescent="0.3">
      <c r="A313" s="212" t="s">
        <v>2828</v>
      </c>
      <c r="B313" s="212"/>
      <c r="C313" s="212"/>
      <c r="D313" s="213"/>
      <c r="E313" s="8"/>
      <c r="F313" s="8"/>
      <c r="G313" s="20"/>
      <c r="H313" s="205"/>
    </row>
    <row r="314" spans="1:8" x14ac:dyDescent="0.3">
      <c r="A314" s="160" t="s">
        <v>1448</v>
      </c>
      <c r="B314" s="160"/>
      <c r="C314" s="161" t="s">
        <v>14</v>
      </c>
      <c r="D314" s="182" t="s">
        <v>2829</v>
      </c>
      <c r="E314" s="8"/>
      <c r="F314" s="8"/>
      <c r="G314" s="20"/>
      <c r="H314" s="20"/>
    </row>
    <row r="315" spans="1:8" x14ac:dyDescent="0.3">
      <c r="A315" s="13" t="s">
        <v>3240</v>
      </c>
      <c r="B315" s="13">
        <v>1503060</v>
      </c>
      <c r="C315" s="147"/>
      <c r="D315" s="177" t="s">
        <v>2830</v>
      </c>
      <c r="E315" s="8"/>
      <c r="F315" s="8"/>
      <c r="G315" s="20"/>
      <c r="H315" s="20"/>
    </row>
    <row r="316" spans="1:8" x14ac:dyDescent="0.3">
      <c r="A316" s="8" t="s">
        <v>3241</v>
      </c>
      <c r="B316" s="8">
        <v>1503060</v>
      </c>
      <c r="C316" s="146">
        <v>3.1</v>
      </c>
      <c r="D316" s="181" t="s">
        <v>346</v>
      </c>
      <c r="E316" s="149">
        <v>12</v>
      </c>
      <c r="F316" s="149" t="s">
        <v>34</v>
      </c>
      <c r="G316" s="191">
        <v>0</v>
      </c>
      <c r="H316" s="20">
        <v>0</v>
      </c>
    </row>
    <row r="317" spans="1:8" x14ac:dyDescent="0.3">
      <c r="A317" s="8" t="s">
        <v>3242</v>
      </c>
      <c r="B317" s="8">
        <v>1503060</v>
      </c>
      <c r="C317" s="146">
        <v>3.2</v>
      </c>
      <c r="D317" s="181" t="s">
        <v>348</v>
      </c>
      <c r="E317" s="8">
        <v>12</v>
      </c>
      <c r="F317" s="8" t="s">
        <v>34</v>
      </c>
      <c r="G317" s="20">
        <v>0</v>
      </c>
      <c r="H317" s="20">
        <v>0</v>
      </c>
    </row>
    <row r="318" spans="1:8" x14ac:dyDescent="0.3">
      <c r="A318" s="13"/>
      <c r="B318" s="13"/>
      <c r="C318" s="147"/>
      <c r="D318" s="183" t="s">
        <v>3243</v>
      </c>
      <c r="E318" s="8"/>
      <c r="F318" s="8"/>
      <c r="G318" s="20"/>
      <c r="H318" s="20"/>
    </row>
    <row r="319" spans="1:8" x14ac:dyDescent="0.3">
      <c r="A319" s="13" t="s">
        <v>3244</v>
      </c>
      <c r="B319" s="13">
        <v>1503060</v>
      </c>
      <c r="C319" s="146"/>
      <c r="D319" s="177" t="s">
        <v>2831</v>
      </c>
      <c r="E319" s="8"/>
      <c r="F319" s="8"/>
      <c r="G319" s="20"/>
      <c r="H319" s="20"/>
    </row>
    <row r="320" spans="1:8" x14ac:dyDescent="0.3">
      <c r="A320" s="8" t="s">
        <v>3245</v>
      </c>
      <c r="B320" s="8">
        <v>1503060</v>
      </c>
      <c r="C320" s="146">
        <v>3.1</v>
      </c>
      <c r="D320" s="181" t="s">
        <v>352</v>
      </c>
      <c r="E320" s="8">
        <v>12</v>
      </c>
      <c r="F320" s="8" t="s">
        <v>34</v>
      </c>
      <c r="G320" s="20">
        <v>0</v>
      </c>
      <c r="H320" s="20">
        <v>0</v>
      </c>
    </row>
    <row r="321" spans="1:8" x14ac:dyDescent="0.3">
      <c r="A321" s="8" t="s">
        <v>3246</v>
      </c>
      <c r="B321" s="8">
        <v>1503060</v>
      </c>
      <c r="C321" s="146">
        <v>3.2</v>
      </c>
      <c r="D321" s="181" t="s">
        <v>354</v>
      </c>
      <c r="E321" s="8">
        <v>12</v>
      </c>
      <c r="F321" s="8" t="s">
        <v>34</v>
      </c>
      <c r="G321" s="20">
        <v>0</v>
      </c>
      <c r="H321" s="20">
        <v>0</v>
      </c>
    </row>
    <row r="322" spans="1:8" x14ac:dyDescent="0.3">
      <c r="A322" s="13"/>
      <c r="B322" s="13"/>
      <c r="C322" s="147"/>
      <c r="D322" s="183" t="s">
        <v>3247</v>
      </c>
      <c r="E322" s="8"/>
      <c r="F322" s="8"/>
      <c r="G322" s="20"/>
      <c r="H322" s="20"/>
    </row>
    <row r="323" spans="1:8" x14ac:dyDescent="0.3">
      <c r="A323" s="13" t="s">
        <v>3248</v>
      </c>
      <c r="B323" s="13">
        <v>1503060</v>
      </c>
      <c r="C323" s="147"/>
      <c r="D323" s="177" t="s">
        <v>2832</v>
      </c>
      <c r="E323" s="8"/>
      <c r="F323" s="8"/>
      <c r="G323" s="20"/>
      <c r="H323" s="20"/>
    </row>
    <row r="324" spans="1:8" x14ac:dyDescent="0.3">
      <c r="A324" s="8" t="s">
        <v>3249</v>
      </c>
      <c r="B324" s="8">
        <v>1503060</v>
      </c>
      <c r="C324" s="146">
        <v>3.1</v>
      </c>
      <c r="D324" s="184" t="s">
        <v>2833</v>
      </c>
      <c r="E324" s="8">
        <v>12</v>
      </c>
      <c r="F324" s="8" t="s">
        <v>34</v>
      </c>
      <c r="G324" s="20">
        <v>0</v>
      </c>
      <c r="H324" s="20">
        <v>0</v>
      </c>
    </row>
    <row r="325" spans="1:8" x14ac:dyDescent="0.3">
      <c r="A325" s="8" t="s">
        <v>3250</v>
      </c>
      <c r="B325" s="8">
        <v>1503060</v>
      </c>
      <c r="C325" s="146">
        <v>3.2</v>
      </c>
      <c r="D325" s="184" t="s">
        <v>2834</v>
      </c>
      <c r="E325" s="8">
        <v>12</v>
      </c>
      <c r="F325" s="8" t="s">
        <v>34</v>
      </c>
      <c r="G325" s="20">
        <v>0</v>
      </c>
      <c r="H325" s="20">
        <v>0</v>
      </c>
    </row>
    <row r="326" spans="1:8" x14ac:dyDescent="0.3">
      <c r="A326" s="13"/>
      <c r="B326" s="13"/>
      <c r="C326" s="147"/>
      <c r="D326" s="183" t="s">
        <v>3258</v>
      </c>
      <c r="E326" s="8"/>
      <c r="F326" s="8"/>
      <c r="G326" s="20"/>
      <c r="H326" s="20"/>
    </row>
    <row r="327" spans="1:8" x14ac:dyDescent="0.3">
      <c r="A327" s="13" t="s">
        <v>3251</v>
      </c>
      <c r="B327" s="13">
        <v>1503060</v>
      </c>
      <c r="C327" s="146"/>
      <c r="D327" s="177" t="s">
        <v>2835</v>
      </c>
      <c r="E327" s="8"/>
      <c r="F327" s="8"/>
      <c r="G327" s="20"/>
      <c r="H327" s="20"/>
    </row>
    <row r="328" spans="1:8" x14ac:dyDescent="0.3">
      <c r="A328" s="8" t="s">
        <v>3252</v>
      </c>
      <c r="B328" s="8">
        <v>1503060</v>
      </c>
      <c r="C328" s="146">
        <v>3.1</v>
      </c>
      <c r="D328" s="181" t="s">
        <v>2836</v>
      </c>
      <c r="E328" s="8">
        <v>12</v>
      </c>
      <c r="F328" s="8" t="s">
        <v>34</v>
      </c>
      <c r="G328" s="20">
        <v>0</v>
      </c>
      <c r="H328" s="20">
        <v>0</v>
      </c>
    </row>
    <row r="329" spans="1:8" x14ac:dyDescent="0.3">
      <c r="A329" s="8" t="s">
        <v>3253</v>
      </c>
      <c r="B329" s="8">
        <v>1503060</v>
      </c>
      <c r="C329" s="146">
        <v>3.2</v>
      </c>
      <c r="D329" s="181" t="s">
        <v>363</v>
      </c>
      <c r="E329" s="8">
        <v>12</v>
      </c>
      <c r="F329" s="8" t="s">
        <v>34</v>
      </c>
      <c r="G329" s="20">
        <v>0</v>
      </c>
      <c r="H329" s="20">
        <v>0</v>
      </c>
    </row>
    <row r="330" spans="1:8" x14ac:dyDescent="0.3">
      <c r="A330" s="13"/>
      <c r="B330" s="13"/>
      <c r="C330" s="147"/>
      <c r="D330" s="176" t="s">
        <v>3259</v>
      </c>
      <c r="E330" s="8"/>
      <c r="F330" s="8"/>
      <c r="G330" s="20"/>
      <c r="H330" s="20"/>
    </row>
    <row r="331" spans="1:8" x14ac:dyDescent="0.3">
      <c r="A331" s="13" t="s">
        <v>3254</v>
      </c>
      <c r="B331" s="13">
        <v>1503060</v>
      </c>
      <c r="C331" s="147"/>
      <c r="D331" s="177" t="s">
        <v>2837</v>
      </c>
      <c r="E331" s="8"/>
      <c r="F331" s="8"/>
      <c r="G331" s="20"/>
      <c r="H331" s="20"/>
    </row>
    <row r="332" spans="1:8" x14ac:dyDescent="0.3">
      <c r="A332" s="13" t="s">
        <v>3255</v>
      </c>
      <c r="B332" s="13">
        <v>1503060</v>
      </c>
      <c r="C332" s="146"/>
      <c r="D332" s="177" t="s">
        <v>2838</v>
      </c>
      <c r="E332" s="8"/>
      <c r="F332" s="8"/>
      <c r="G332" s="20"/>
      <c r="H332" s="20"/>
    </row>
    <row r="333" spans="1:8" x14ac:dyDescent="0.3">
      <c r="A333" s="8" t="s">
        <v>3256</v>
      </c>
      <c r="B333" s="8">
        <v>1503060</v>
      </c>
      <c r="C333" s="146">
        <v>3.1</v>
      </c>
      <c r="D333" s="181" t="s">
        <v>368</v>
      </c>
      <c r="E333" s="8">
        <v>12</v>
      </c>
      <c r="F333" s="8" t="s">
        <v>34</v>
      </c>
      <c r="G333" s="20">
        <v>0</v>
      </c>
      <c r="H333" s="20">
        <v>0</v>
      </c>
    </row>
    <row r="334" spans="1:8" x14ac:dyDescent="0.3">
      <c r="A334" s="8" t="s">
        <v>3257</v>
      </c>
      <c r="B334" s="8">
        <v>1503060</v>
      </c>
      <c r="C334" s="146">
        <v>3.2</v>
      </c>
      <c r="D334" s="181" t="s">
        <v>370</v>
      </c>
      <c r="E334" s="8">
        <v>12</v>
      </c>
      <c r="F334" s="8" t="s">
        <v>34</v>
      </c>
      <c r="G334" s="20">
        <v>0</v>
      </c>
      <c r="H334" s="20">
        <v>0</v>
      </c>
    </row>
    <row r="335" spans="1:8" x14ac:dyDescent="0.3">
      <c r="A335" s="13"/>
      <c r="B335" s="13"/>
      <c r="C335" s="147"/>
      <c r="D335" s="183" t="s">
        <v>3260</v>
      </c>
      <c r="E335" s="8"/>
      <c r="F335" s="8"/>
      <c r="G335" s="20"/>
      <c r="H335" s="20"/>
    </row>
    <row r="336" spans="1:8" x14ac:dyDescent="0.3">
      <c r="A336" s="13" t="s">
        <v>3261</v>
      </c>
      <c r="B336" s="13">
        <v>1503060</v>
      </c>
      <c r="C336" s="146"/>
      <c r="D336" s="177" t="s">
        <v>2839</v>
      </c>
      <c r="E336" s="8"/>
      <c r="F336" s="8"/>
      <c r="G336" s="20"/>
      <c r="H336" s="20"/>
    </row>
    <row r="337" spans="1:8" x14ac:dyDescent="0.3">
      <c r="A337" s="8" t="s">
        <v>3262</v>
      </c>
      <c r="B337" s="8">
        <v>1503060</v>
      </c>
      <c r="C337" s="146">
        <v>3.1</v>
      </c>
      <c r="D337" s="181" t="s">
        <v>374</v>
      </c>
      <c r="E337" s="8">
        <v>12</v>
      </c>
      <c r="F337" s="8" t="s">
        <v>34</v>
      </c>
      <c r="G337" s="20">
        <v>0</v>
      </c>
      <c r="H337" s="20">
        <v>0</v>
      </c>
    </row>
    <row r="338" spans="1:8" x14ac:dyDescent="0.3">
      <c r="A338" s="8" t="s">
        <v>3263</v>
      </c>
      <c r="B338" s="8">
        <v>1503060</v>
      </c>
      <c r="C338" s="146">
        <v>3.2</v>
      </c>
      <c r="D338" s="181" t="s">
        <v>2840</v>
      </c>
      <c r="E338" s="8">
        <v>12</v>
      </c>
      <c r="F338" s="8" t="s">
        <v>34</v>
      </c>
      <c r="G338" s="20">
        <v>0</v>
      </c>
      <c r="H338" s="20">
        <v>0</v>
      </c>
    </row>
    <row r="339" spans="1:8" x14ac:dyDescent="0.3">
      <c r="A339" s="13"/>
      <c r="B339" s="13"/>
      <c r="C339" s="147"/>
      <c r="D339" s="176" t="s">
        <v>3264</v>
      </c>
      <c r="E339" s="8">
        <v>12</v>
      </c>
      <c r="F339" s="8" t="s">
        <v>34</v>
      </c>
      <c r="G339" s="20">
        <v>0</v>
      </c>
      <c r="H339" s="20">
        <v>0</v>
      </c>
    </row>
    <row r="340" spans="1:8" x14ac:dyDescent="0.3">
      <c r="A340" s="13" t="s">
        <v>1644</v>
      </c>
      <c r="B340" s="13">
        <v>1503060</v>
      </c>
      <c r="C340" s="13"/>
      <c r="D340" s="154" t="s">
        <v>2841</v>
      </c>
      <c r="E340" s="8"/>
      <c r="F340" s="8"/>
      <c r="G340" s="20"/>
      <c r="H340" s="20"/>
    </row>
    <row r="341" spans="1:8" x14ac:dyDescent="0.3">
      <c r="A341" s="13" t="s">
        <v>1448</v>
      </c>
      <c r="B341" s="13">
        <v>1503060</v>
      </c>
      <c r="C341" s="13" t="s">
        <v>14</v>
      </c>
      <c r="D341" s="155" t="s">
        <v>2842</v>
      </c>
      <c r="E341" s="8">
        <v>12</v>
      </c>
      <c r="F341" s="8" t="s">
        <v>34</v>
      </c>
      <c r="G341" s="20">
        <v>0</v>
      </c>
      <c r="H341" s="20">
        <v>0</v>
      </c>
    </row>
    <row r="342" spans="1:8" x14ac:dyDescent="0.3">
      <c r="A342" s="13" t="s">
        <v>1519</v>
      </c>
      <c r="B342" s="13">
        <v>1503060</v>
      </c>
      <c r="C342" s="147" t="s">
        <v>14</v>
      </c>
      <c r="D342" s="185" t="s">
        <v>2843</v>
      </c>
      <c r="E342" s="8"/>
      <c r="F342" s="8"/>
      <c r="G342" s="20"/>
      <c r="H342" s="20"/>
    </row>
    <row r="343" spans="1:8" x14ac:dyDescent="0.3">
      <c r="A343" s="13" t="s">
        <v>1520</v>
      </c>
      <c r="B343" s="13">
        <v>1503060</v>
      </c>
      <c r="C343" s="147" t="s">
        <v>14</v>
      </c>
      <c r="D343" s="185" t="s">
        <v>2844</v>
      </c>
      <c r="E343" s="8"/>
      <c r="F343" s="8"/>
      <c r="G343" s="20"/>
      <c r="H343" s="20"/>
    </row>
    <row r="344" spans="1:8" x14ac:dyDescent="0.3">
      <c r="A344" s="13" t="s">
        <v>1521</v>
      </c>
      <c r="B344" s="13">
        <v>1503060</v>
      </c>
      <c r="C344" s="147" t="s">
        <v>14</v>
      </c>
      <c r="D344" s="185" t="s">
        <v>2784</v>
      </c>
      <c r="E344" s="8"/>
      <c r="F344" s="8"/>
      <c r="G344" s="20"/>
      <c r="H344" s="20"/>
    </row>
    <row r="345" spans="1:8" x14ac:dyDescent="0.3">
      <c r="A345" s="13" t="s">
        <v>1522</v>
      </c>
      <c r="B345" s="13">
        <v>1503060</v>
      </c>
      <c r="C345" s="147"/>
      <c r="D345" s="185" t="s">
        <v>2785</v>
      </c>
      <c r="E345" s="8"/>
      <c r="F345" s="8"/>
      <c r="G345" s="20"/>
      <c r="H345" s="20"/>
    </row>
    <row r="346" spans="1:8" x14ac:dyDescent="0.3">
      <c r="A346" s="13" t="s">
        <v>1523</v>
      </c>
      <c r="B346" s="13">
        <v>1503060</v>
      </c>
      <c r="C346" s="147" t="s">
        <v>14</v>
      </c>
      <c r="D346" s="186" t="s">
        <v>2845</v>
      </c>
      <c r="E346" s="8"/>
      <c r="F346" s="8"/>
      <c r="G346" s="20"/>
      <c r="H346" s="20"/>
    </row>
    <row r="347" spans="1:8" x14ac:dyDescent="0.3">
      <c r="A347" s="13" t="s">
        <v>1604</v>
      </c>
      <c r="B347" s="13">
        <v>1503060</v>
      </c>
      <c r="C347" s="147" t="s">
        <v>14</v>
      </c>
      <c r="D347" s="182" t="s">
        <v>284</v>
      </c>
      <c r="E347" s="8"/>
      <c r="F347" s="8"/>
      <c r="G347" s="20"/>
      <c r="H347" s="20"/>
    </row>
    <row r="348" spans="1:8" x14ac:dyDescent="0.3">
      <c r="A348" s="13" t="s">
        <v>1645</v>
      </c>
      <c r="B348" s="13">
        <v>1503060</v>
      </c>
      <c r="C348" s="147"/>
      <c r="D348" s="177" t="s">
        <v>2846</v>
      </c>
      <c r="E348" s="8"/>
      <c r="F348" s="8"/>
      <c r="G348" s="20"/>
      <c r="H348" s="20"/>
    </row>
    <row r="349" spans="1:8" x14ac:dyDescent="0.3">
      <c r="A349" s="8" t="s">
        <v>1646</v>
      </c>
      <c r="B349" s="8">
        <v>1503060</v>
      </c>
      <c r="C349" s="146">
        <v>3.1</v>
      </c>
      <c r="D349" s="165" t="s">
        <v>2847</v>
      </c>
      <c r="E349" s="8">
        <v>12</v>
      </c>
      <c r="F349" s="8" t="s">
        <v>34</v>
      </c>
      <c r="G349" s="20">
        <v>0</v>
      </c>
      <c r="H349" s="20">
        <v>0</v>
      </c>
    </row>
    <row r="350" spans="1:8" x14ac:dyDescent="0.3">
      <c r="A350" s="8" t="s">
        <v>1647</v>
      </c>
      <c r="B350" s="8">
        <v>1503060</v>
      </c>
      <c r="C350" s="146">
        <v>3.2</v>
      </c>
      <c r="D350" s="184" t="s">
        <v>382</v>
      </c>
      <c r="E350" s="8">
        <v>12</v>
      </c>
      <c r="F350" s="8" t="s">
        <v>34</v>
      </c>
      <c r="G350" s="20">
        <v>0</v>
      </c>
      <c r="H350" s="20">
        <v>0</v>
      </c>
    </row>
    <row r="351" spans="1:8" x14ac:dyDescent="0.3">
      <c r="A351" s="13"/>
      <c r="B351" s="13"/>
      <c r="C351" s="147"/>
      <c r="D351" s="183" t="s">
        <v>3265</v>
      </c>
      <c r="E351" s="8"/>
      <c r="F351" s="8"/>
      <c r="G351" s="20"/>
      <c r="H351" s="20"/>
    </row>
    <row r="352" spans="1:8" x14ac:dyDescent="0.3">
      <c r="A352" s="13" t="s">
        <v>1648</v>
      </c>
      <c r="B352" s="13">
        <v>1503060</v>
      </c>
      <c r="C352" s="146"/>
      <c r="D352" s="177" t="s">
        <v>2849</v>
      </c>
      <c r="E352" s="8"/>
      <c r="F352" s="8"/>
      <c r="G352" s="20"/>
      <c r="H352" s="20"/>
    </row>
    <row r="353" spans="1:8" x14ac:dyDescent="0.3">
      <c r="A353" s="8" t="s">
        <v>1649</v>
      </c>
      <c r="B353" s="8">
        <v>1503060</v>
      </c>
      <c r="C353" s="146">
        <v>3.1</v>
      </c>
      <c r="D353" s="181" t="s">
        <v>385</v>
      </c>
      <c r="E353" s="8">
        <v>12</v>
      </c>
      <c r="F353" s="8" t="s">
        <v>34</v>
      </c>
      <c r="G353" s="20">
        <v>0</v>
      </c>
      <c r="H353" s="20">
        <v>0</v>
      </c>
    </row>
    <row r="354" spans="1:8" x14ac:dyDescent="0.3">
      <c r="A354" s="8" t="s">
        <v>1650</v>
      </c>
      <c r="B354" s="8">
        <v>1503060</v>
      </c>
      <c r="C354" s="146">
        <v>3.2</v>
      </c>
      <c r="D354" s="181" t="s">
        <v>2850</v>
      </c>
      <c r="E354" s="8">
        <v>12</v>
      </c>
      <c r="F354" s="8" t="s">
        <v>34</v>
      </c>
      <c r="G354" s="20">
        <v>0</v>
      </c>
      <c r="H354" s="20">
        <v>0</v>
      </c>
    </row>
    <row r="355" spans="1:8" x14ac:dyDescent="0.3">
      <c r="A355" s="13"/>
      <c r="B355" s="13"/>
      <c r="C355" s="147"/>
      <c r="D355" s="183" t="s">
        <v>1651</v>
      </c>
      <c r="E355" s="8"/>
      <c r="F355" s="8"/>
      <c r="G355" s="20"/>
      <c r="H355" s="20"/>
    </row>
    <row r="356" spans="1:8" x14ac:dyDescent="0.3">
      <c r="A356" s="13" t="s">
        <v>1652</v>
      </c>
      <c r="B356" s="13">
        <v>1503060</v>
      </c>
      <c r="C356" s="147"/>
      <c r="D356" s="177" t="s">
        <v>2851</v>
      </c>
      <c r="E356" s="8"/>
      <c r="F356" s="8"/>
      <c r="G356" s="20"/>
      <c r="H356" s="20"/>
    </row>
    <row r="357" spans="1:8" x14ac:dyDescent="0.3">
      <c r="A357" s="8" t="s">
        <v>1653</v>
      </c>
      <c r="B357" s="8">
        <v>1503060</v>
      </c>
      <c r="C357" s="146">
        <v>3.1</v>
      </c>
      <c r="D357" s="165" t="s">
        <v>390</v>
      </c>
      <c r="E357" s="8">
        <v>12</v>
      </c>
      <c r="F357" s="8" t="s">
        <v>34</v>
      </c>
      <c r="G357" s="20">
        <v>0</v>
      </c>
      <c r="H357" s="20">
        <v>0</v>
      </c>
    </row>
    <row r="358" spans="1:8" x14ac:dyDescent="0.3">
      <c r="A358" s="8" t="s">
        <v>1654</v>
      </c>
      <c r="B358" s="8">
        <v>1503060</v>
      </c>
      <c r="C358" s="146">
        <v>3.2</v>
      </c>
      <c r="D358" s="184" t="s">
        <v>2852</v>
      </c>
      <c r="E358" s="8">
        <v>12</v>
      </c>
      <c r="F358" s="8" t="s">
        <v>34</v>
      </c>
      <c r="G358" s="20">
        <v>0</v>
      </c>
      <c r="H358" s="20">
        <v>0</v>
      </c>
    </row>
    <row r="359" spans="1:8" x14ac:dyDescent="0.3">
      <c r="A359" s="13"/>
      <c r="B359" s="13"/>
      <c r="C359" s="147"/>
      <c r="D359" s="183" t="s">
        <v>1655</v>
      </c>
      <c r="E359" s="8">
        <v>12</v>
      </c>
      <c r="F359" s="8" t="s">
        <v>34</v>
      </c>
      <c r="G359" s="20">
        <v>0</v>
      </c>
      <c r="H359" s="20">
        <v>0</v>
      </c>
    </row>
    <row r="360" spans="1:8" x14ac:dyDescent="0.3">
      <c r="A360" s="13" t="s">
        <v>1656</v>
      </c>
      <c r="B360" s="13">
        <v>1503060</v>
      </c>
      <c r="C360" s="146"/>
      <c r="D360" s="177" t="s">
        <v>2853</v>
      </c>
      <c r="E360" s="8"/>
      <c r="F360" s="8"/>
      <c r="G360" s="20"/>
      <c r="H360" s="20"/>
    </row>
    <row r="361" spans="1:8" x14ac:dyDescent="0.3">
      <c r="A361" s="8" t="s">
        <v>1657</v>
      </c>
      <c r="B361" s="8">
        <v>1503060</v>
      </c>
      <c r="C361" s="146">
        <v>3.1</v>
      </c>
      <c r="D361" s="181" t="s">
        <v>395</v>
      </c>
      <c r="E361" s="8">
        <v>12</v>
      </c>
      <c r="F361" s="8" t="s">
        <v>34</v>
      </c>
      <c r="G361" s="20">
        <v>0</v>
      </c>
      <c r="H361" s="20">
        <v>0</v>
      </c>
    </row>
    <row r="362" spans="1:8" x14ac:dyDescent="0.3">
      <c r="A362" s="8" t="s">
        <v>1658</v>
      </c>
      <c r="B362" s="8">
        <v>1503060</v>
      </c>
      <c r="C362" s="146">
        <v>3.2</v>
      </c>
      <c r="D362" s="181" t="s">
        <v>2854</v>
      </c>
      <c r="E362" s="8">
        <v>12</v>
      </c>
      <c r="F362" s="8" t="s">
        <v>34</v>
      </c>
      <c r="G362" s="20">
        <v>0</v>
      </c>
      <c r="H362" s="20">
        <v>0</v>
      </c>
    </row>
    <row r="363" spans="1:8" x14ac:dyDescent="0.3">
      <c r="A363" s="13"/>
      <c r="B363" s="13"/>
      <c r="C363" s="13"/>
      <c r="D363" s="187" t="s">
        <v>1659</v>
      </c>
      <c r="E363" s="8">
        <v>12</v>
      </c>
      <c r="F363" s="8" t="s">
        <v>34</v>
      </c>
      <c r="G363" s="20">
        <v>0</v>
      </c>
      <c r="H363" s="20">
        <v>0</v>
      </c>
    </row>
    <row r="364" spans="1:8" x14ac:dyDescent="0.3">
      <c r="A364" s="13" t="s">
        <v>1604</v>
      </c>
      <c r="B364" s="13">
        <v>1503060</v>
      </c>
      <c r="C364" s="13" t="s">
        <v>14</v>
      </c>
      <c r="D364" s="153" t="s">
        <v>2855</v>
      </c>
      <c r="E364" s="8">
        <v>12</v>
      </c>
      <c r="F364" s="8" t="s">
        <v>34</v>
      </c>
      <c r="G364" s="20">
        <v>0</v>
      </c>
      <c r="H364" s="20">
        <v>0</v>
      </c>
    </row>
    <row r="365" spans="1:8" x14ac:dyDescent="0.3">
      <c r="A365" s="214" t="s">
        <v>2856</v>
      </c>
      <c r="B365" s="214"/>
      <c r="C365" s="214"/>
      <c r="D365" s="215"/>
      <c r="E365" s="8">
        <v>12</v>
      </c>
      <c r="F365" s="8" t="s">
        <v>34</v>
      </c>
      <c r="G365" s="20">
        <v>0</v>
      </c>
      <c r="H365" s="20">
        <v>0</v>
      </c>
    </row>
    <row r="366" spans="1:8" x14ac:dyDescent="0.3">
      <c r="A366" s="214" t="s">
        <v>2857</v>
      </c>
      <c r="B366" s="214"/>
      <c r="C366" s="214"/>
      <c r="D366" s="215"/>
      <c r="E366" s="8">
        <v>12</v>
      </c>
      <c r="F366" s="8" t="s">
        <v>34</v>
      </c>
      <c r="G366" s="20">
        <v>0</v>
      </c>
      <c r="H366" s="20">
        <v>0</v>
      </c>
    </row>
  </sheetData>
  <mergeCells count="5">
    <mergeCell ref="A313:D313"/>
    <mergeCell ref="A365:D365"/>
    <mergeCell ref="A366:D366"/>
    <mergeCell ref="A9:D9"/>
    <mergeCell ref="A312:D31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59999389629810485"/>
  </sheetPr>
  <dimension ref="A1:G160"/>
  <sheetViews>
    <sheetView topLeftCell="A134" workbookViewId="0">
      <selection activeCell="C135" sqref="C135"/>
    </sheetView>
  </sheetViews>
  <sheetFormatPr defaultColWidth="9.1796875" defaultRowHeight="13" x14ac:dyDescent="0.3"/>
  <cols>
    <col min="1" max="1" width="6.26953125" style="62" customWidth="1"/>
    <col min="2" max="2" width="15.7265625" style="62" customWidth="1"/>
    <col min="3" max="3" width="50.7265625" style="61" customWidth="1"/>
    <col min="4" max="4" width="11.7265625" style="50" customWidth="1"/>
    <col min="5" max="5" width="6.7265625" style="49" customWidth="1"/>
    <col min="6" max="6" width="11.7265625" style="18" customWidth="1"/>
    <col min="7" max="7" width="13.7265625" style="18" customWidth="1"/>
    <col min="8" max="16384" width="9.1796875" style="61"/>
  </cols>
  <sheetData>
    <row r="1" spans="1:7" s="100" customFormat="1" x14ac:dyDescent="0.3">
      <c r="A1" s="101"/>
      <c r="B1" s="102"/>
      <c r="C1" s="103" t="s">
        <v>0</v>
      </c>
      <c r="D1" s="104"/>
      <c r="E1" s="102"/>
      <c r="F1" s="105"/>
      <c r="G1" s="106"/>
    </row>
    <row r="2" spans="1:7" s="100" customFormat="1" x14ac:dyDescent="0.3">
      <c r="A2" s="107"/>
      <c r="B2" s="108"/>
      <c r="C2" s="109" t="s">
        <v>1</v>
      </c>
      <c r="D2" s="110"/>
      <c r="E2" s="108"/>
      <c r="F2" s="111"/>
      <c r="G2" s="112"/>
    </row>
    <row r="3" spans="1:7" s="100" customFormat="1" x14ac:dyDescent="0.3">
      <c r="A3" s="107"/>
      <c r="B3" s="108"/>
      <c r="C3" s="109" t="s">
        <v>398</v>
      </c>
      <c r="D3" s="110"/>
      <c r="E3" s="108"/>
      <c r="F3" s="111"/>
      <c r="G3" s="112"/>
    </row>
    <row r="4" spans="1:7" s="100" customFormat="1" x14ac:dyDescent="0.3">
      <c r="A4" s="107"/>
      <c r="B4" s="108"/>
      <c r="C4" s="109" t="s">
        <v>3</v>
      </c>
      <c r="D4" s="110"/>
      <c r="E4" s="108"/>
      <c r="F4" s="111"/>
      <c r="G4" s="112"/>
    </row>
    <row r="5" spans="1:7" s="100" customFormat="1" x14ac:dyDescent="0.3">
      <c r="A5" s="230" t="s">
        <v>1660</v>
      </c>
      <c r="B5" s="231"/>
      <c r="C5" s="231"/>
      <c r="D5" s="110"/>
      <c r="E5" s="108"/>
      <c r="F5" s="111"/>
      <c r="G5" s="112"/>
    </row>
    <row r="6" spans="1:7" s="100" customFormat="1" x14ac:dyDescent="0.3">
      <c r="A6" s="230" t="s">
        <v>400</v>
      </c>
      <c r="B6" s="231"/>
      <c r="C6" s="231"/>
      <c r="D6" s="110"/>
      <c r="E6" s="108"/>
      <c r="F6" s="111"/>
      <c r="G6" s="112"/>
    </row>
    <row r="7" spans="1:7" s="100" customFormat="1" x14ac:dyDescent="0.3">
      <c r="A7" s="232" t="s">
        <v>1661</v>
      </c>
      <c r="B7" s="233"/>
      <c r="C7" s="233"/>
      <c r="D7" s="113"/>
      <c r="E7" s="114"/>
      <c r="F7" s="115"/>
      <c r="G7" s="116"/>
    </row>
    <row r="8" spans="1:7" s="100" customFormat="1" x14ac:dyDescent="0.3">
      <c r="A8" s="234"/>
      <c r="B8" s="235"/>
      <c r="C8" s="235"/>
    </row>
    <row r="9" spans="1:7" s="100" customFormat="1" x14ac:dyDescent="0.3">
      <c r="A9" s="117"/>
      <c r="B9" s="117"/>
      <c r="C9" s="117"/>
      <c r="D9" s="118"/>
      <c r="E9" s="119"/>
      <c r="F9" s="120"/>
      <c r="G9" s="120"/>
    </row>
    <row r="10" spans="1:7" s="100" customFormat="1" ht="26" x14ac:dyDescent="0.3">
      <c r="A10" s="121" t="s">
        <v>402</v>
      </c>
      <c r="B10" s="122" t="s">
        <v>403</v>
      </c>
      <c r="C10" s="123" t="s">
        <v>404</v>
      </c>
      <c r="D10" s="124" t="s">
        <v>405</v>
      </c>
      <c r="E10" s="125" t="s">
        <v>406</v>
      </c>
      <c r="F10" s="125" t="s">
        <v>27</v>
      </c>
      <c r="G10" s="122" t="s">
        <v>7</v>
      </c>
    </row>
    <row r="11" spans="1:7" s="100" customFormat="1" ht="39" x14ac:dyDescent="0.3">
      <c r="A11" s="126" t="s">
        <v>1662</v>
      </c>
      <c r="B11" s="127" t="s">
        <v>408</v>
      </c>
      <c r="C11" s="127" t="s">
        <v>409</v>
      </c>
      <c r="D11" s="128">
        <v>10000</v>
      </c>
      <c r="E11" s="129" t="s">
        <v>410</v>
      </c>
      <c r="F11" s="130">
        <v>0</v>
      </c>
      <c r="G11" s="131">
        <f>D11*F11</f>
        <v>0</v>
      </c>
    </row>
    <row r="12" spans="1:7" s="100" customFormat="1" ht="39" x14ac:dyDescent="0.3">
      <c r="A12" s="126" t="s">
        <v>1663</v>
      </c>
      <c r="B12" s="127" t="s">
        <v>412</v>
      </c>
      <c r="C12" s="127" t="s">
        <v>413</v>
      </c>
      <c r="D12" s="132">
        <v>500</v>
      </c>
      <c r="E12" s="133" t="s">
        <v>414</v>
      </c>
      <c r="F12" s="130">
        <v>0</v>
      </c>
      <c r="G12" s="131">
        <f t="shared" ref="G12:G75" si="0">D12*F12</f>
        <v>0</v>
      </c>
    </row>
    <row r="13" spans="1:7" s="100" customFormat="1" ht="39" x14ac:dyDescent="0.3">
      <c r="A13" s="126" t="s">
        <v>1664</v>
      </c>
      <c r="B13" s="127" t="s">
        <v>416</v>
      </c>
      <c r="C13" s="127" t="s">
        <v>417</v>
      </c>
      <c r="D13" s="132">
        <v>1000</v>
      </c>
      <c r="E13" s="133" t="s">
        <v>414</v>
      </c>
      <c r="F13" s="130">
        <v>0</v>
      </c>
      <c r="G13" s="131">
        <f t="shared" si="0"/>
        <v>0</v>
      </c>
    </row>
    <row r="14" spans="1:7" s="100" customFormat="1" ht="26" x14ac:dyDescent="0.3">
      <c r="A14" s="126" t="s">
        <v>1665</v>
      </c>
      <c r="B14" s="127" t="s">
        <v>419</v>
      </c>
      <c r="C14" s="127" t="s">
        <v>420</v>
      </c>
      <c r="D14" s="132">
        <v>50000</v>
      </c>
      <c r="E14" s="133" t="s">
        <v>421</v>
      </c>
      <c r="F14" s="130">
        <v>0</v>
      </c>
      <c r="G14" s="131">
        <f t="shared" si="0"/>
        <v>0</v>
      </c>
    </row>
    <row r="15" spans="1:7" s="100" customFormat="1" ht="52" x14ac:dyDescent="0.3">
      <c r="A15" s="126" t="s">
        <v>1666</v>
      </c>
      <c r="B15" s="127" t="s">
        <v>423</v>
      </c>
      <c r="C15" s="127" t="s">
        <v>424</v>
      </c>
      <c r="D15" s="132">
        <v>200000</v>
      </c>
      <c r="E15" s="133" t="s">
        <v>410</v>
      </c>
      <c r="F15" s="130">
        <v>0</v>
      </c>
      <c r="G15" s="131">
        <f t="shared" si="0"/>
        <v>0</v>
      </c>
    </row>
    <row r="16" spans="1:7" s="100" customFormat="1" ht="91" x14ac:dyDescent="0.3">
      <c r="A16" s="126" t="s">
        <v>1667</v>
      </c>
      <c r="B16" s="127" t="s">
        <v>426</v>
      </c>
      <c r="C16" s="127" t="s">
        <v>427</v>
      </c>
      <c r="D16" s="132">
        <v>100</v>
      </c>
      <c r="E16" s="133" t="s">
        <v>428</v>
      </c>
      <c r="F16" s="130">
        <v>0</v>
      </c>
      <c r="G16" s="131">
        <f t="shared" si="0"/>
        <v>0</v>
      </c>
    </row>
    <row r="17" spans="1:7" s="100" customFormat="1" ht="91" x14ac:dyDescent="0.3">
      <c r="A17" s="126" t="s">
        <v>1668</v>
      </c>
      <c r="B17" s="127" t="s">
        <v>430</v>
      </c>
      <c r="C17" s="127" t="s">
        <v>431</v>
      </c>
      <c r="D17" s="132">
        <v>100</v>
      </c>
      <c r="E17" s="133" t="s">
        <v>428</v>
      </c>
      <c r="F17" s="130">
        <v>0</v>
      </c>
      <c r="G17" s="131">
        <f t="shared" si="0"/>
        <v>0</v>
      </c>
    </row>
    <row r="18" spans="1:7" s="100" customFormat="1" ht="91" x14ac:dyDescent="0.3">
      <c r="A18" s="126" t="s">
        <v>1669</v>
      </c>
      <c r="B18" s="127" t="s">
        <v>433</v>
      </c>
      <c r="C18" s="127" t="s">
        <v>434</v>
      </c>
      <c r="D18" s="132">
        <v>100</v>
      </c>
      <c r="E18" s="133" t="s">
        <v>428</v>
      </c>
      <c r="F18" s="130">
        <v>0</v>
      </c>
      <c r="G18" s="131">
        <f t="shared" si="0"/>
        <v>0</v>
      </c>
    </row>
    <row r="19" spans="1:7" s="100" customFormat="1" ht="65" x14ac:dyDescent="0.3">
      <c r="A19" s="126" t="s">
        <v>1670</v>
      </c>
      <c r="B19" s="127" t="s">
        <v>436</v>
      </c>
      <c r="C19" s="127" t="s">
        <v>437</v>
      </c>
      <c r="D19" s="132">
        <v>100</v>
      </c>
      <c r="E19" s="133" t="s">
        <v>428</v>
      </c>
      <c r="F19" s="130">
        <v>0</v>
      </c>
      <c r="G19" s="131">
        <f t="shared" si="0"/>
        <v>0</v>
      </c>
    </row>
    <row r="20" spans="1:7" s="100" customFormat="1" ht="91" x14ac:dyDescent="0.3">
      <c r="A20" s="126" t="s">
        <v>1671</v>
      </c>
      <c r="B20" s="127" t="s">
        <v>439</v>
      </c>
      <c r="C20" s="127" t="s">
        <v>440</v>
      </c>
      <c r="D20" s="132">
        <v>200</v>
      </c>
      <c r="E20" s="133" t="s">
        <v>428</v>
      </c>
      <c r="F20" s="130">
        <v>0</v>
      </c>
      <c r="G20" s="131">
        <f t="shared" si="0"/>
        <v>0</v>
      </c>
    </row>
    <row r="21" spans="1:7" s="100" customFormat="1" ht="91" x14ac:dyDescent="0.3">
      <c r="A21" s="126" t="s">
        <v>1672</v>
      </c>
      <c r="B21" s="127" t="s">
        <v>442</v>
      </c>
      <c r="C21" s="127" t="s">
        <v>443</v>
      </c>
      <c r="D21" s="132">
        <v>200</v>
      </c>
      <c r="E21" s="133" t="s">
        <v>428</v>
      </c>
      <c r="F21" s="130">
        <v>0</v>
      </c>
      <c r="G21" s="131">
        <f t="shared" si="0"/>
        <v>0</v>
      </c>
    </row>
    <row r="22" spans="1:7" s="100" customFormat="1" ht="91" x14ac:dyDescent="0.3">
      <c r="A22" s="126" t="s">
        <v>1673</v>
      </c>
      <c r="B22" s="127" t="s">
        <v>445</v>
      </c>
      <c r="C22" s="127" t="s">
        <v>446</v>
      </c>
      <c r="D22" s="132">
        <v>25</v>
      </c>
      <c r="E22" s="133" t="s">
        <v>428</v>
      </c>
      <c r="F22" s="130">
        <v>0</v>
      </c>
      <c r="G22" s="131">
        <f t="shared" si="0"/>
        <v>0</v>
      </c>
    </row>
    <row r="23" spans="1:7" s="100" customFormat="1" ht="91" x14ac:dyDescent="0.3">
      <c r="A23" s="126" t="s">
        <v>1674</v>
      </c>
      <c r="B23" s="127" t="s">
        <v>448</v>
      </c>
      <c r="C23" s="127" t="s">
        <v>449</v>
      </c>
      <c r="D23" s="132">
        <v>25</v>
      </c>
      <c r="E23" s="133" t="s">
        <v>428</v>
      </c>
      <c r="F23" s="130">
        <v>0</v>
      </c>
      <c r="G23" s="131">
        <f t="shared" si="0"/>
        <v>0</v>
      </c>
    </row>
    <row r="24" spans="1:7" s="100" customFormat="1" ht="65" x14ac:dyDescent="0.3">
      <c r="A24" s="126" t="s">
        <v>1675</v>
      </c>
      <c r="B24" s="127" t="s">
        <v>451</v>
      </c>
      <c r="C24" s="127" t="s">
        <v>452</v>
      </c>
      <c r="D24" s="132">
        <v>10</v>
      </c>
      <c r="E24" s="133" t="s">
        <v>428</v>
      </c>
      <c r="F24" s="130">
        <v>0</v>
      </c>
      <c r="G24" s="131">
        <f t="shared" si="0"/>
        <v>0</v>
      </c>
    </row>
    <row r="25" spans="1:7" s="100" customFormat="1" ht="195" x14ac:dyDescent="0.3">
      <c r="A25" s="126" t="s">
        <v>1676</v>
      </c>
      <c r="B25" s="127" t="s">
        <v>454</v>
      </c>
      <c r="C25" s="127" t="s">
        <v>455</v>
      </c>
      <c r="D25" s="132">
        <v>50</v>
      </c>
      <c r="E25" s="133" t="s">
        <v>414</v>
      </c>
      <c r="F25" s="130">
        <v>0</v>
      </c>
      <c r="G25" s="131">
        <f t="shared" si="0"/>
        <v>0</v>
      </c>
    </row>
    <row r="26" spans="1:7" s="100" customFormat="1" ht="169" x14ac:dyDescent="0.3">
      <c r="A26" s="126" t="s">
        <v>1677</v>
      </c>
      <c r="B26" s="127" t="s">
        <v>457</v>
      </c>
      <c r="C26" s="127" t="s">
        <v>458</v>
      </c>
      <c r="D26" s="132">
        <v>50</v>
      </c>
      <c r="E26" s="133" t="s">
        <v>428</v>
      </c>
      <c r="F26" s="130">
        <v>0</v>
      </c>
      <c r="G26" s="131">
        <f t="shared" si="0"/>
        <v>0</v>
      </c>
    </row>
    <row r="27" spans="1:7" s="100" customFormat="1" ht="169" x14ac:dyDescent="0.3">
      <c r="A27" s="126" t="s">
        <v>1678</v>
      </c>
      <c r="B27" s="127" t="s">
        <v>460</v>
      </c>
      <c r="C27" s="127" t="s">
        <v>458</v>
      </c>
      <c r="D27" s="132">
        <v>60</v>
      </c>
      <c r="E27" s="133" t="s">
        <v>428</v>
      </c>
      <c r="F27" s="130">
        <v>0</v>
      </c>
      <c r="G27" s="131">
        <f t="shared" si="0"/>
        <v>0</v>
      </c>
    </row>
    <row r="28" spans="1:7" s="100" customFormat="1" ht="169" x14ac:dyDescent="0.3">
      <c r="A28" s="126" t="s">
        <v>1679</v>
      </c>
      <c r="B28" s="127" t="s">
        <v>462</v>
      </c>
      <c r="C28" s="127" t="s">
        <v>463</v>
      </c>
      <c r="D28" s="132">
        <v>15</v>
      </c>
      <c r="E28" s="133" t="s">
        <v>428</v>
      </c>
      <c r="F28" s="130">
        <v>0</v>
      </c>
      <c r="G28" s="131">
        <f t="shared" si="0"/>
        <v>0</v>
      </c>
    </row>
    <row r="29" spans="1:7" s="100" customFormat="1" ht="182" x14ac:dyDescent="0.3">
      <c r="A29" s="126" t="s">
        <v>1680</v>
      </c>
      <c r="B29" s="127" t="s">
        <v>465</v>
      </c>
      <c r="C29" s="127" t="s">
        <v>466</v>
      </c>
      <c r="D29" s="132">
        <v>5000</v>
      </c>
      <c r="E29" s="133" t="s">
        <v>428</v>
      </c>
      <c r="F29" s="130">
        <v>0</v>
      </c>
      <c r="G29" s="131">
        <f t="shared" si="0"/>
        <v>0</v>
      </c>
    </row>
    <row r="30" spans="1:7" s="100" customFormat="1" ht="156" x14ac:dyDescent="0.3">
      <c r="A30" s="126" t="s">
        <v>1681</v>
      </c>
      <c r="B30" s="127" t="s">
        <v>468</v>
      </c>
      <c r="C30" s="127" t="s">
        <v>469</v>
      </c>
      <c r="D30" s="132">
        <v>1000</v>
      </c>
      <c r="E30" s="133" t="s">
        <v>410</v>
      </c>
      <c r="F30" s="130">
        <v>0</v>
      </c>
      <c r="G30" s="131">
        <f t="shared" si="0"/>
        <v>0</v>
      </c>
    </row>
    <row r="31" spans="1:7" s="100" customFormat="1" ht="143" x14ac:dyDescent="0.3">
      <c r="A31" s="126" t="s">
        <v>1682</v>
      </c>
      <c r="B31" s="127" t="s">
        <v>471</v>
      </c>
      <c r="C31" s="127" t="s">
        <v>472</v>
      </c>
      <c r="D31" s="132">
        <v>850</v>
      </c>
      <c r="E31" s="133" t="s">
        <v>410</v>
      </c>
      <c r="F31" s="130">
        <v>0</v>
      </c>
      <c r="G31" s="131">
        <f t="shared" si="0"/>
        <v>0</v>
      </c>
    </row>
    <row r="32" spans="1:7" s="100" customFormat="1" ht="78" x14ac:dyDescent="0.3">
      <c r="A32" s="126" t="s">
        <v>1683</v>
      </c>
      <c r="B32" s="127" t="s">
        <v>474</v>
      </c>
      <c r="C32" s="127" t="s">
        <v>475</v>
      </c>
      <c r="D32" s="132">
        <v>25</v>
      </c>
      <c r="E32" s="133" t="s">
        <v>414</v>
      </c>
      <c r="F32" s="130">
        <v>0</v>
      </c>
      <c r="G32" s="131">
        <f t="shared" si="0"/>
        <v>0</v>
      </c>
    </row>
    <row r="33" spans="1:7" s="100" customFormat="1" ht="78" x14ac:dyDescent="0.3">
      <c r="A33" s="126" t="s">
        <v>1684</v>
      </c>
      <c r="B33" s="127" t="s">
        <v>477</v>
      </c>
      <c r="C33" s="127" t="s">
        <v>478</v>
      </c>
      <c r="D33" s="132">
        <v>50</v>
      </c>
      <c r="E33" s="133" t="s">
        <v>428</v>
      </c>
      <c r="F33" s="130">
        <v>0</v>
      </c>
      <c r="G33" s="131">
        <f t="shared" si="0"/>
        <v>0</v>
      </c>
    </row>
    <row r="34" spans="1:7" s="100" customFormat="1" ht="91" x14ac:dyDescent="0.3">
      <c r="A34" s="126" t="s">
        <v>1685</v>
      </c>
      <c r="B34" s="127" t="s">
        <v>480</v>
      </c>
      <c r="C34" s="127" t="s">
        <v>481</v>
      </c>
      <c r="D34" s="132">
        <v>5000</v>
      </c>
      <c r="E34" s="133" t="s">
        <v>410</v>
      </c>
      <c r="F34" s="130">
        <v>0</v>
      </c>
      <c r="G34" s="131">
        <f t="shared" si="0"/>
        <v>0</v>
      </c>
    </row>
    <row r="35" spans="1:7" s="100" customFormat="1" ht="91" x14ac:dyDescent="0.3">
      <c r="A35" s="126" t="s">
        <v>1686</v>
      </c>
      <c r="B35" s="127" t="s">
        <v>483</v>
      </c>
      <c r="C35" s="127" t="s">
        <v>481</v>
      </c>
      <c r="D35" s="132">
        <v>100</v>
      </c>
      <c r="E35" s="133" t="s">
        <v>428</v>
      </c>
      <c r="F35" s="130">
        <v>0</v>
      </c>
      <c r="G35" s="131">
        <f t="shared" si="0"/>
        <v>0</v>
      </c>
    </row>
    <row r="36" spans="1:7" s="100" customFormat="1" ht="52" x14ac:dyDescent="0.3">
      <c r="A36" s="126" t="s">
        <v>1687</v>
      </c>
      <c r="B36" s="127" t="s">
        <v>485</v>
      </c>
      <c r="C36" s="127" t="s">
        <v>486</v>
      </c>
      <c r="D36" s="132">
        <v>50</v>
      </c>
      <c r="E36" s="133" t="s">
        <v>414</v>
      </c>
      <c r="F36" s="130">
        <v>0</v>
      </c>
      <c r="G36" s="131">
        <f t="shared" si="0"/>
        <v>0</v>
      </c>
    </row>
    <row r="37" spans="1:7" s="100" customFormat="1" ht="26" x14ac:dyDescent="0.3">
      <c r="A37" s="126" t="s">
        <v>1688</v>
      </c>
      <c r="B37" s="127" t="s">
        <v>488</v>
      </c>
      <c r="C37" s="127" t="s">
        <v>489</v>
      </c>
      <c r="D37" s="132">
        <v>50</v>
      </c>
      <c r="E37" s="133" t="s">
        <v>414</v>
      </c>
      <c r="F37" s="130">
        <v>0</v>
      </c>
      <c r="G37" s="131">
        <f t="shared" si="0"/>
        <v>0</v>
      </c>
    </row>
    <row r="38" spans="1:7" s="100" customFormat="1" ht="91" x14ac:dyDescent="0.3">
      <c r="A38" s="126" t="s">
        <v>1689</v>
      </c>
      <c r="B38" s="127" t="s">
        <v>491</v>
      </c>
      <c r="C38" s="127" t="s">
        <v>492</v>
      </c>
      <c r="D38" s="132">
        <v>100</v>
      </c>
      <c r="E38" s="133" t="s">
        <v>428</v>
      </c>
      <c r="F38" s="130">
        <v>0</v>
      </c>
      <c r="G38" s="131">
        <f t="shared" si="0"/>
        <v>0</v>
      </c>
    </row>
    <row r="39" spans="1:7" s="100" customFormat="1" ht="91" x14ac:dyDescent="0.3">
      <c r="A39" s="126" t="s">
        <v>1690</v>
      </c>
      <c r="B39" s="127" t="s">
        <v>494</v>
      </c>
      <c r="C39" s="127" t="s">
        <v>495</v>
      </c>
      <c r="D39" s="132">
        <v>1000</v>
      </c>
      <c r="E39" s="133" t="s">
        <v>421</v>
      </c>
      <c r="F39" s="130">
        <v>0</v>
      </c>
      <c r="G39" s="131">
        <f t="shared" si="0"/>
        <v>0</v>
      </c>
    </row>
    <row r="40" spans="1:7" s="100" customFormat="1" ht="91" x14ac:dyDescent="0.3">
      <c r="A40" s="126" t="s">
        <v>1691</v>
      </c>
      <c r="B40" s="127" t="s">
        <v>497</v>
      </c>
      <c r="C40" s="127" t="s">
        <v>498</v>
      </c>
      <c r="D40" s="132">
        <v>100</v>
      </c>
      <c r="E40" s="133" t="s">
        <v>499</v>
      </c>
      <c r="F40" s="130">
        <v>0</v>
      </c>
      <c r="G40" s="131">
        <f t="shared" si="0"/>
        <v>0</v>
      </c>
    </row>
    <row r="41" spans="1:7" s="100" customFormat="1" ht="26" x14ac:dyDescent="0.3">
      <c r="A41" s="126" t="s">
        <v>1692</v>
      </c>
      <c r="B41" s="127" t="s">
        <v>501</v>
      </c>
      <c r="C41" s="127" t="s">
        <v>502</v>
      </c>
      <c r="D41" s="132">
        <v>3000</v>
      </c>
      <c r="E41" s="133" t="s">
        <v>410</v>
      </c>
      <c r="F41" s="130">
        <v>0</v>
      </c>
      <c r="G41" s="131">
        <f t="shared" si="0"/>
        <v>0</v>
      </c>
    </row>
    <row r="42" spans="1:7" s="100" customFormat="1" ht="52" x14ac:dyDescent="0.3">
      <c r="A42" s="126" t="s">
        <v>1693</v>
      </c>
      <c r="B42" s="127" t="s">
        <v>504</v>
      </c>
      <c r="C42" s="127" t="s">
        <v>505</v>
      </c>
      <c r="D42" s="132">
        <v>125</v>
      </c>
      <c r="E42" s="133" t="s">
        <v>499</v>
      </c>
      <c r="F42" s="130">
        <v>0</v>
      </c>
      <c r="G42" s="131">
        <f t="shared" si="0"/>
        <v>0</v>
      </c>
    </row>
    <row r="43" spans="1:7" s="100" customFormat="1" ht="130" x14ac:dyDescent="0.3">
      <c r="A43" s="126" t="s">
        <v>1694</v>
      </c>
      <c r="B43" s="127" t="s">
        <v>507</v>
      </c>
      <c r="C43" s="127" t="s">
        <v>508</v>
      </c>
      <c r="D43" s="132">
        <v>8500</v>
      </c>
      <c r="E43" s="133" t="s">
        <v>410</v>
      </c>
      <c r="F43" s="130">
        <v>0</v>
      </c>
      <c r="G43" s="131">
        <f t="shared" si="0"/>
        <v>0</v>
      </c>
    </row>
    <row r="44" spans="1:7" s="100" customFormat="1" ht="65" x14ac:dyDescent="0.3">
      <c r="A44" s="126" t="s">
        <v>1695</v>
      </c>
      <c r="B44" s="127" t="s">
        <v>510</v>
      </c>
      <c r="C44" s="127" t="s">
        <v>511</v>
      </c>
      <c r="D44" s="132">
        <v>50</v>
      </c>
      <c r="E44" s="133" t="s">
        <v>414</v>
      </c>
      <c r="F44" s="130">
        <v>0</v>
      </c>
      <c r="G44" s="131">
        <f t="shared" si="0"/>
        <v>0</v>
      </c>
    </row>
    <row r="45" spans="1:7" s="100" customFormat="1" ht="195" x14ac:dyDescent="0.3">
      <c r="A45" s="126" t="s">
        <v>1696</v>
      </c>
      <c r="B45" s="127" t="s">
        <v>513</v>
      </c>
      <c r="C45" s="127" t="s">
        <v>514</v>
      </c>
      <c r="D45" s="132">
        <v>200</v>
      </c>
      <c r="E45" s="133" t="s">
        <v>515</v>
      </c>
      <c r="F45" s="130">
        <v>0</v>
      </c>
      <c r="G45" s="131">
        <f t="shared" si="0"/>
        <v>0</v>
      </c>
    </row>
    <row r="46" spans="1:7" s="100" customFormat="1" ht="104" x14ac:dyDescent="0.3">
      <c r="A46" s="126" t="s">
        <v>1697</v>
      </c>
      <c r="B46" s="127" t="s">
        <v>517</v>
      </c>
      <c r="C46" s="127" t="s">
        <v>518</v>
      </c>
      <c r="D46" s="132">
        <v>10000</v>
      </c>
      <c r="E46" s="133" t="s">
        <v>421</v>
      </c>
      <c r="F46" s="130">
        <v>0</v>
      </c>
      <c r="G46" s="131">
        <f t="shared" si="0"/>
        <v>0</v>
      </c>
    </row>
    <row r="47" spans="1:7" s="100" customFormat="1" ht="104" x14ac:dyDescent="0.3">
      <c r="A47" s="126" t="s">
        <v>1698</v>
      </c>
      <c r="B47" s="127" t="s">
        <v>520</v>
      </c>
      <c r="C47" s="127" t="s">
        <v>521</v>
      </c>
      <c r="D47" s="132">
        <v>10000</v>
      </c>
      <c r="E47" s="133" t="s">
        <v>421</v>
      </c>
      <c r="F47" s="130">
        <v>0</v>
      </c>
      <c r="G47" s="131">
        <f t="shared" si="0"/>
        <v>0</v>
      </c>
    </row>
    <row r="48" spans="1:7" s="100" customFormat="1" ht="104" x14ac:dyDescent="0.3">
      <c r="A48" s="126" t="s">
        <v>1699</v>
      </c>
      <c r="B48" s="127" t="s">
        <v>523</v>
      </c>
      <c r="C48" s="127" t="s">
        <v>521</v>
      </c>
      <c r="D48" s="132">
        <v>4000</v>
      </c>
      <c r="E48" s="133" t="s">
        <v>421</v>
      </c>
      <c r="F48" s="130">
        <v>0</v>
      </c>
      <c r="G48" s="131">
        <f t="shared" si="0"/>
        <v>0</v>
      </c>
    </row>
    <row r="49" spans="1:7" s="100" customFormat="1" ht="130" x14ac:dyDescent="0.3">
      <c r="A49" s="126" t="s">
        <v>1700</v>
      </c>
      <c r="B49" s="127" t="s">
        <v>525</v>
      </c>
      <c r="C49" s="127" t="s">
        <v>526</v>
      </c>
      <c r="D49" s="132">
        <v>10000</v>
      </c>
      <c r="E49" s="133" t="s">
        <v>421</v>
      </c>
      <c r="F49" s="130">
        <v>0</v>
      </c>
      <c r="G49" s="131">
        <f t="shared" si="0"/>
        <v>0</v>
      </c>
    </row>
    <row r="50" spans="1:7" s="100" customFormat="1" ht="78" x14ac:dyDescent="0.3">
      <c r="A50" s="126" t="s">
        <v>1701</v>
      </c>
      <c r="B50" s="127" t="s">
        <v>528</v>
      </c>
      <c r="C50" s="127" t="s">
        <v>529</v>
      </c>
      <c r="D50" s="132">
        <v>5000</v>
      </c>
      <c r="E50" s="133" t="s">
        <v>421</v>
      </c>
      <c r="F50" s="130">
        <v>0</v>
      </c>
      <c r="G50" s="131">
        <f t="shared" si="0"/>
        <v>0</v>
      </c>
    </row>
    <row r="51" spans="1:7" s="100" customFormat="1" ht="104" x14ac:dyDescent="0.3">
      <c r="A51" s="126" t="s">
        <v>1702</v>
      </c>
      <c r="B51" s="127" t="s">
        <v>531</v>
      </c>
      <c r="C51" s="127" t="s">
        <v>532</v>
      </c>
      <c r="D51" s="132">
        <v>5000</v>
      </c>
      <c r="E51" s="133" t="s">
        <v>421</v>
      </c>
      <c r="F51" s="130">
        <v>0</v>
      </c>
      <c r="G51" s="131">
        <f t="shared" si="0"/>
        <v>0</v>
      </c>
    </row>
    <row r="52" spans="1:7" s="100" customFormat="1" ht="104" x14ac:dyDescent="0.3">
      <c r="A52" s="126" t="s">
        <v>1703</v>
      </c>
      <c r="B52" s="127" t="s">
        <v>534</v>
      </c>
      <c r="C52" s="127" t="s">
        <v>535</v>
      </c>
      <c r="D52" s="132">
        <v>10</v>
      </c>
      <c r="E52" s="133" t="s">
        <v>428</v>
      </c>
      <c r="F52" s="130">
        <v>0</v>
      </c>
      <c r="G52" s="131">
        <f t="shared" si="0"/>
        <v>0</v>
      </c>
    </row>
    <row r="53" spans="1:7" s="100" customFormat="1" ht="117" x14ac:dyDescent="0.3">
      <c r="A53" s="126" t="s">
        <v>1704</v>
      </c>
      <c r="B53" s="127" t="s">
        <v>537</v>
      </c>
      <c r="C53" s="127" t="s">
        <v>538</v>
      </c>
      <c r="D53" s="132">
        <v>5000</v>
      </c>
      <c r="E53" s="133" t="s">
        <v>421</v>
      </c>
      <c r="F53" s="130">
        <v>0</v>
      </c>
      <c r="G53" s="131">
        <f t="shared" si="0"/>
        <v>0</v>
      </c>
    </row>
    <row r="54" spans="1:7" s="100" customFormat="1" ht="39" x14ac:dyDescent="0.3">
      <c r="A54" s="126" t="s">
        <v>1705</v>
      </c>
      <c r="B54" s="127" t="s">
        <v>540</v>
      </c>
      <c r="C54" s="127" t="s">
        <v>541</v>
      </c>
      <c r="D54" s="132">
        <v>50</v>
      </c>
      <c r="E54" s="133" t="s">
        <v>428</v>
      </c>
      <c r="F54" s="130">
        <v>0</v>
      </c>
      <c r="G54" s="131">
        <f t="shared" si="0"/>
        <v>0</v>
      </c>
    </row>
    <row r="55" spans="1:7" s="100" customFormat="1" ht="65" x14ac:dyDescent="0.3">
      <c r="A55" s="126" t="s">
        <v>1706</v>
      </c>
      <c r="B55" s="127" t="s">
        <v>543</v>
      </c>
      <c r="C55" s="127" t="s">
        <v>544</v>
      </c>
      <c r="D55" s="132">
        <v>100</v>
      </c>
      <c r="E55" s="133" t="s">
        <v>428</v>
      </c>
      <c r="F55" s="130">
        <v>0</v>
      </c>
      <c r="G55" s="131">
        <f t="shared" si="0"/>
        <v>0</v>
      </c>
    </row>
    <row r="56" spans="1:7" s="100" customFormat="1" ht="130" x14ac:dyDescent="0.3">
      <c r="A56" s="126" t="s">
        <v>1707</v>
      </c>
      <c r="B56" s="127" t="s">
        <v>546</v>
      </c>
      <c r="C56" s="127" t="s">
        <v>547</v>
      </c>
      <c r="D56" s="132">
        <v>10000</v>
      </c>
      <c r="E56" s="133" t="s">
        <v>548</v>
      </c>
      <c r="F56" s="130">
        <v>0</v>
      </c>
      <c r="G56" s="131">
        <f t="shared" si="0"/>
        <v>0</v>
      </c>
    </row>
    <row r="57" spans="1:7" s="100" customFormat="1" ht="104" x14ac:dyDescent="0.3">
      <c r="A57" s="126" t="s">
        <v>1708</v>
      </c>
      <c r="B57" s="127" t="s">
        <v>550</v>
      </c>
      <c r="C57" s="127" t="s">
        <v>551</v>
      </c>
      <c r="D57" s="132">
        <v>10</v>
      </c>
      <c r="E57" s="133" t="s">
        <v>428</v>
      </c>
      <c r="F57" s="130">
        <v>0</v>
      </c>
      <c r="G57" s="131">
        <f t="shared" si="0"/>
        <v>0</v>
      </c>
    </row>
    <row r="58" spans="1:7" s="100" customFormat="1" ht="91" x14ac:dyDescent="0.3">
      <c r="A58" s="126" t="s">
        <v>1709</v>
      </c>
      <c r="B58" s="127" t="s">
        <v>553</v>
      </c>
      <c r="C58" s="127" t="s">
        <v>554</v>
      </c>
      <c r="D58" s="132">
        <v>2000</v>
      </c>
      <c r="E58" s="133" t="s">
        <v>548</v>
      </c>
      <c r="F58" s="130">
        <v>0</v>
      </c>
      <c r="G58" s="131">
        <f t="shared" si="0"/>
        <v>0</v>
      </c>
    </row>
    <row r="59" spans="1:7" s="100" customFormat="1" ht="78" x14ac:dyDescent="0.3">
      <c r="A59" s="126" t="s">
        <v>1710</v>
      </c>
      <c r="B59" s="127" t="s">
        <v>556</v>
      </c>
      <c r="C59" s="127" t="s">
        <v>557</v>
      </c>
      <c r="D59" s="132">
        <v>9</v>
      </c>
      <c r="E59" s="133" t="s">
        <v>558</v>
      </c>
      <c r="F59" s="130">
        <v>0</v>
      </c>
      <c r="G59" s="131">
        <f t="shared" si="0"/>
        <v>0</v>
      </c>
    </row>
    <row r="60" spans="1:7" s="100" customFormat="1" ht="65" x14ac:dyDescent="0.3">
      <c r="A60" s="126" t="s">
        <v>1711</v>
      </c>
      <c r="B60" s="127" t="s">
        <v>560</v>
      </c>
      <c r="C60" s="127" t="s">
        <v>561</v>
      </c>
      <c r="D60" s="132">
        <v>9</v>
      </c>
      <c r="E60" s="133" t="s">
        <v>558</v>
      </c>
      <c r="F60" s="130">
        <v>0</v>
      </c>
      <c r="G60" s="131">
        <f t="shared" si="0"/>
        <v>0</v>
      </c>
    </row>
    <row r="61" spans="1:7" s="100" customFormat="1" ht="78" x14ac:dyDescent="0.3">
      <c r="A61" s="126" t="s">
        <v>1712</v>
      </c>
      <c r="B61" s="127" t="s">
        <v>563</v>
      </c>
      <c r="C61" s="127" t="s">
        <v>564</v>
      </c>
      <c r="D61" s="132">
        <v>25000</v>
      </c>
      <c r="E61" s="133" t="s">
        <v>548</v>
      </c>
      <c r="F61" s="130">
        <v>0</v>
      </c>
      <c r="G61" s="131">
        <f t="shared" si="0"/>
        <v>0</v>
      </c>
    </row>
    <row r="62" spans="1:7" s="100" customFormat="1" ht="65.25" customHeight="1" x14ac:dyDescent="0.3">
      <c r="A62" s="126" t="s">
        <v>1713</v>
      </c>
      <c r="B62" s="127" t="s">
        <v>566</v>
      </c>
      <c r="C62" s="127" t="s">
        <v>567</v>
      </c>
      <c r="D62" s="132">
        <v>25000</v>
      </c>
      <c r="E62" s="133" t="s">
        <v>548</v>
      </c>
      <c r="F62" s="130">
        <v>0</v>
      </c>
      <c r="G62" s="131">
        <f t="shared" si="0"/>
        <v>0</v>
      </c>
    </row>
    <row r="63" spans="1:7" s="100" customFormat="1" ht="52" x14ac:dyDescent="0.3">
      <c r="A63" s="126" t="s">
        <v>1714</v>
      </c>
      <c r="B63" s="127" t="s">
        <v>569</v>
      </c>
      <c r="C63" s="127" t="s">
        <v>570</v>
      </c>
      <c r="D63" s="132">
        <v>200000</v>
      </c>
      <c r="E63" s="133" t="s">
        <v>548</v>
      </c>
      <c r="F63" s="130">
        <v>0</v>
      </c>
      <c r="G63" s="131">
        <f t="shared" si="0"/>
        <v>0</v>
      </c>
    </row>
    <row r="64" spans="1:7" s="100" customFormat="1" ht="65" x14ac:dyDescent="0.3">
      <c r="A64" s="126" t="s">
        <v>1715</v>
      </c>
      <c r="B64" s="127" t="s">
        <v>572</v>
      </c>
      <c r="C64" s="127" t="s">
        <v>573</v>
      </c>
      <c r="D64" s="132">
        <v>800000</v>
      </c>
      <c r="E64" s="133" t="s">
        <v>548</v>
      </c>
      <c r="F64" s="130">
        <v>0</v>
      </c>
      <c r="G64" s="131">
        <f t="shared" si="0"/>
        <v>0</v>
      </c>
    </row>
    <row r="65" spans="1:7" s="100" customFormat="1" ht="65" x14ac:dyDescent="0.3">
      <c r="A65" s="126" t="s">
        <v>1716</v>
      </c>
      <c r="B65" s="127" t="s">
        <v>575</v>
      </c>
      <c r="C65" s="127" t="s">
        <v>576</v>
      </c>
      <c r="D65" s="132">
        <v>20000</v>
      </c>
      <c r="E65" s="133" t="s">
        <v>548</v>
      </c>
      <c r="F65" s="130">
        <v>0</v>
      </c>
      <c r="G65" s="131">
        <f t="shared" si="0"/>
        <v>0</v>
      </c>
    </row>
    <row r="66" spans="1:7" s="100" customFormat="1" ht="39" x14ac:dyDescent="0.3">
      <c r="A66" s="126" t="s">
        <v>1717</v>
      </c>
      <c r="B66" s="127" t="s">
        <v>578</v>
      </c>
      <c r="C66" s="127" t="s">
        <v>579</v>
      </c>
      <c r="D66" s="132">
        <v>10000</v>
      </c>
      <c r="E66" s="133" t="s">
        <v>548</v>
      </c>
      <c r="F66" s="130">
        <v>0</v>
      </c>
      <c r="G66" s="131">
        <f t="shared" si="0"/>
        <v>0</v>
      </c>
    </row>
    <row r="67" spans="1:7" s="100" customFormat="1" ht="52" x14ac:dyDescent="0.3">
      <c r="A67" s="126" t="s">
        <v>1718</v>
      </c>
      <c r="B67" s="127" t="s">
        <v>581</v>
      </c>
      <c r="C67" s="127" t="s">
        <v>582</v>
      </c>
      <c r="D67" s="132">
        <v>500</v>
      </c>
      <c r="E67" s="133" t="s">
        <v>583</v>
      </c>
      <c r="F67" s="130">
        <v>0</v>
      </c>
      <c r="G67" s="131">
        <f t="shared" si="0"/>
        <v>0</v>
      </c>
    </row>
    <row r="68" spans="1:7" s="100" customFormat="1" ht="52" x14ac:dyDescent="0.3">
      <c r="A68" s="126" t="s">
        <v>1719</v>
      </c>
      <c r="B68" s="127" t="s">
        <v>585</v>
      </c>
      <c r="C68" s="127" t="s">
        <v>586</v>
      </c>
      <c r="D68" s="132">
        <v>100</v>
      </c>
      <c r="E68" s="133" t="s">
        <v>583</v>
      </c>
      <c r="F68" s="130">
        <v>0</v>
      </c>
      <c r="G68" s="131">
        <f t="shared" si="0"/>
        <v>0</v>
      </c>
    </row>
    <row r="69" spans="1:7" s="100" customFormat="1" ht="78" x14ac:dyDescent="0.3">
      <c r="A69" s="126" t="s">
        <v>1720</v>
      </c>
      <c r="B69" s="127" t="s">
        <v>588</v>
      </c>
      <c r="C69" s="127" t="s">
        <v>589</v>
      </c>
      <c r="D69" s="132">
        <v>100</v>
      </c>
      <c r="E69" s="133" t="s">
        <v>583</v>
      </c>
      <c r="F69" s="130">
        <v>0</v>
      </c>
      <c r="G69" s="131">
        <f t="shared" si="0"/>
        <v>0</v>
      </c>
    </row>
    <row r="70" spans="1:7" s="100" customFormat="1" ht="26" x14ac:dyDescent="0.3">
      <c r="A70" s="126" t="s">
        <v>1721</v>
      </c>
      <c r="B70" s="127" t="s">
        <v>591</v>
      </c>
      <c r="C70" s="127" t="s">
        <v>592</v>
      </c>
      <c r="D70" s="132">
        <v>10000</v>
      </c>
      <c r="E70" s="133" t="s">
        <v>583</v>
      </c>
      <c r="F70" s="130">
        <v>0</v>
      </c>
      <c r="G70" s="131">
        <f t="shared" si="0"/>
        <v>0</v>
      </c>
    </row>
    <row r="71" spans="1:7" s="100" customFormat="1" ht="260" x14ac:dyDescent="0.3">
      <c r="A71" s="126" t="s">
        <v>1722</v>
      </c>
      <c r="B71" s="134" t="s">
        <v>594</v>
      </c>
      <c r="C71" s="134" t="s">
        <v>595</v>
      </c>
      <c r="D71" s="132">
        <v>4</v>
      </c>
      <c r="E71" s="133" t="s">
        <v>428</v>
      </c>
      <c r="F71" s="130">
        <v>0</v>
      </c>
      <c r="G71" s="131">
        <f t="shared" si="0"/>
        <v>0</v>
      </c>
    </row>
    <row r="72" spans="1:7" s="100" customFormat="1" ht="104" x14ac:dyDescent="0.3">
      <c r="A72" s="126" t="s">
        <v>1723</v>
      </c>
      <c r="B72" s="134" t="s">
        <v>597</v>
      </c>
      <c r="C72" s="135" t="s">
        <v>598</v>
      </c>
      <c r="D72" s="132">
        <v>4</v>
      </c>
      <c r="E72" s="133" t="s">
        <v>428</v>
      </c>
      <c r="F72" s="130">
        <v>0</v>
      </c>
      <c r="G72" s="131">
        <f t="shared" si="0"/>
        <v>0</v>
      </c>
    </row>
    <row r="73" spans="1:7" s="100" customFormat="1" ht="91" x14ac:dyDescent="0.3">
      <c r="A73" s="126" t="s">
        <v>1724</v>
      </c>
      <c r="B73" s="134" t="s">
        <v>600</v>
      </c>
      <c r="C73" s="136" t="s">
        <v>601</v>
      </c>
      <c r="D73" s="132">
        <v>4</v>
      </c>
      <c r="E73" s="133" t="s">
        <v>428</v>
      </c>
      <c r="F73" s="130">
        <v>0</v>
      </c>
      <c r="G73" s="131">
        <f t="shared" si="0"/>
        <v>0</v>
      </c>
    </row>
    <row r="74" spans="1:7" s="100" customFormat="1" ht="78" x14ac:dyDescent="0.3">
      <c r="A74" s="126" t="s">
        <v>1725</v>
      </c>
      <c r="B74" s="134" t="s">
        <v>603</v>
      </c>
      <c r="C74" s="134" t="s">
        <v>604</v>
      </c>
      <c r="D74" s="132">
        <v>4</v>
      </c>
      <c r="E74" s="133" t="s">
        <v>428</v>
      </c>
      <c r="F74" s="130">
        <v>0</v>
      </c>
      <c r="G74" s="131">
        <f t="shared" si="0"/>
        <v>0</v>
      </c>
    </row>
    <row r="75" spans="1:7" s="100" customFormat="1" ht="78" x14ac:dyDescent="0.3">
      <c r="A75" s="126" t="s">
        <v>1726</v>
      </c>
      <c r="B75" s="134" t="s">
        <v>606</v>
      </c>
      <c r="C75" s="134" t="s">
        <v>607</v>
      </c>
      <c r="D75" s="132">
        <v>4</v>
      </c>
      <c r="E75" s="133" t="s">
        <v>428</v>
      </c>
      <c r="F75" s="130">
        <v>0</v>
      </c>
      <c r="G75" s="131">
        <f t="shared" si="0"/>
        <v>0</v>
      </c>
    </row>
    <row r="76" spans="1:7" s="100" customFormat="1" ht="65" x14ac:dyDescent="0.3">
      <c r="A76" s="126" t="s">
        <v>1727</v>
      </c>
      <c r="B76" s="134" t="s">
        <v>609</v>
      </c>
      <c r="C76" s="134" t="s">
        <v>610</v>
      </c>
      <c r="D76" s="132">
        <v>2</v>
      </c>
      <c r="E76" s="133" t="s">
        <v>428</v>
      </c>
      <c r="F76" s="130">
        <v>0</v>
      </c>
      <c r="G76" s="131">
        <f t="shared" ref="G76:G135" si="1">D76*F76</f>
        <v>0</v>
      </c>
    </row>
    <row r="77" spans="1:7" s="100" customFormat="1" ht="65" x14ac:dyDescent="0.3">
      <c r="A77" s="126" t="s">
        <v>1728</v>
      </c>
      <c r="B77" s="134" t="s">
        <v>612</v>
      </c>
      <c r="C77" s="134" t="s">
        <v>613</v>
      </c>
      <c r="D77" s="132">
        <v>1</v>
      </c>
      <c r="E77" s="133" t="s">
        <v>428</v>
      </c>
      <c r="F77" s="130">
        <v>0</v>
      </c>
      <c r="G77" s="131">
        <f t="shared" si="1"/>
        <v>0</v>
      </c>
    </row>
    <row r="78" spans="1:7" s="100" customFormat="1" ht="260" x14ac:dyDescent="0.3">
      <c r="A78" s="126" t="s">
        <v>1729</v>
      </c>
      <c r="B78" s="134" t="s">
        <v>615</v>
      </c>
      <c r="C78" s="134" t="s">
        <v>595</v>
      </c>
      <c r="D78" s="132">
        <v>4</v>
      </c>
      <c r="E78" s="133" t="s">
        <v>428</v>
      </c>
      <c r="F78" s="130">
        <v>0</v>
      </c>
      <c r="G78" s="131">
        <f t="shared" si="1"/>
        <v>0</v>
      </c>
    </row>
    <row r="79" spans="1:7" s="100" customFormat="1" ht="104" x14ac:dyDescent="0.3">
      <c r="A79" s="126" t="s">
        <v>1730</v>
      </c>
      <c r="B79" s="134" t="s">
        <v>617</v>
      </c>
      <c r="C79" s="135" t="s">
        <v>598</v>
      </c>
      <c r="D79" s="132">
        <v>4</v>
      </c>
      <c r="E79" s="133" t="s">
        <v>428</v>
      </c>
      <c r="F79" s="130">
        <v>0</v>
      </c>
      <c r="G79" s="131">
        <f t="shared" si="1"/>
        <v>0</v>
      </c>
    </row>
    <row r="80" spans="1:7" s="100" customFormat="1" ht="91" x14ac:dyDescent="0.3">
      <c r="A80" s="126" t="s">
        <v>1731</v>
      </c>
      <c r="B80" s="134" t="s">
        <v>619</v>
      </c>
      <c r="C80" s="136" t="s">
        <v>601</v>
      </c>
      <c r="D80" s="132">
        <v>4</v>
      </c>
      <c r="E80" s="133" t="s">
        <v>428</v>
      </c>
      <c r="F80" s="130">
        <v>0</v>
      </c>
      <c r="G80" s="131">
        <f t="shared" si="1"/>
        <v>0</v>
      </c>
    </row>
    <row r="81" spans="1:7" s="100" customFormat="1" ht="78" x14ac:dyDescent="0.3">
      <c r="A81" s="126" t="s">
        <v>1732</v>
      </c>
      <c r="B81" s="134" t="s">
        <v>621</v>
      </c>
      <c r="C81" s="134" t="s">
        <v>604</v>
      </c>
      <c r="D81" s="132">
        <v>4</v>
      </c>
      <c r="E81" s="133" t="s">
        <v>428</v>
      </c>
      <c r="F81" s="130">
        <v>0</v>
      </c>
      <c r="G81" s="131">
        <f t="shared" si="1"/>
        <v>0</v>
      </c>
    </row>
    <row r="82" spans="1:7" s="100" customFormat="1" ht="78" x14ac:dyDescent="0.3">
      <c r="A82" s="126" t="s">
        <v>1733</v>
      </c>
      <c r="B82" s="134" t="s">
        <v>623</v>
      </c>
      <c r="C82" s="134" t="s">
        <v>607</v>
      </c>
      <c r="D82" s="132">
        <v>4</v>
      </c>
      <c r="E82" s="133" t="s">
        <v>428</v>
      </c>
      <c r="F82" s="130">
        <v>0</v>
      </c>
      <c r="G82" s="131">
        <f t="shared" si="1"/>
        <v>0</v>
      </c>
    </row>
    <row r="83" spans="1:7" s="100" customFormat="1" ht="65" x14ac:dyDescent="0.3">
      <c r="A83" s="126" t="s">
        <v>1734</v>
      </c>
      <c r="B83" s="134" t="s">
        <v>625</v>
      </c>
      <c r="C83" s="134" t="s">
        <v>610</v>
      </c>
      <c r="D83" s="132">
        <v>2</v>
      </c>
      <c r="E83" s="133" t="s">
        <v>428</v>
      </c>
      <c r="F83" s="130">
        <v>0</v>
      </c>
      <c r="G83" s="131">
        <f t="shared" si="1"/>
        <v>0</v>
      </c>
    </row>
    <row r="84" spans="1:7" s="100" customFormat="1" ht="65" x14ac:dyDescent="0.3">
      <c r="A84" s="126" t="s">
        <v>1735</v>
      </c>
      <c r="B84" s="134" t="s">
        <v>627</v>
      </c>
      <c r="C84" s="134" t="s">
        <v>628</v>
      </c>
      <c r="D84" s="132">
        <v>1</v>
      </c>
      <c r="E84" s="133" t="s">
        <v>428</v>
      </c>
      <c r="F84" s="130">
        <v>0</v>
      </c>
      <c r="G84" s="131">
        <f t="shared" si="1"/>
        <v>0</v>
      </c>
    </row>
    <row r="85" spans="1:7" s="100" customFormat="1" ht="260" x14ac:dyDescent="0.3">
      <c r="A85" s="126" t="s">
        <v>1736</v>
      </c>
      <c r="B85" s="134" t="s">
        <v>630</v>
      </c>
      <c r="C85" s="134" t="s">
        <v>595</v>
      </c>
      <c r="D85" s="132">
        <v>4</v>
      </c>
      <c r="E85" s="133" t="s">
        <v>428</v>
      </c>
      <c r="F85" s="130">
        <v>0</v>
      </c>
      <c r="G85" s="131">
        <f t="shared" si="1"/>
        <v>0</v>
      </c>
    </row>
    <row r="86" spans="1:7" s="100" customFormat="1" ht="104" x14ac:dyDescent="0.3">
      <c r="A86" s="126" t="s">
        <v>1737</v>
      </c>
      <c r="B86" s="134" t="s">
        <v>632</v>
      </c>
      <c r="C86" s="135" t="s">
        <v>598</v>
      </c>
      <c r="D86" s="132">
        <v>4</v>
      </c>
      <c r="E86" s="133" t="s">
        <v>428</v>
      </c>
      <c r="F86" s="130">
        <v>0</v>
      </c>
      <c r="G86" s="131">
        <f t="shared" si="1"/>
        <v>0</v>
      </c>
    </row>
    <row r="87" spans="1:7" s="100" customFormat="1" ht="91" x14ac:dyDescent="0.3">
      <c r="A87" s="126" t="s">
        <v>1738</v>
      </c>
      <c r="B87" s="134" t="s">
        <v>634</v>
      </c>
      <c r="C87" s="136" t="s">
        <v>601</v>
      </c>
      <c r="D87" s="132">
        <v>4</v>
      </c>
      <c r="E87" s="133" t="s">
        <v>428</v>
      </c>
      <c r="F87" s="130">
        <v>0</v>
      </c>
      <c r="G87" s="131">
        <f t="shared" si="1"/>
        <v>0</v>
      </c>
    </row>
    <row r="88" spans="1:7" s="100" customFormat="1" ht="78" x14ac:dyDescent="0.3">
      <c r="A88" s="126" t="s">
        <v>1739</v>
      </c>
      <c r="B88" s="134" t="s">
        <v>636</v>
      </c>
      <c r="C88" s="134" t="s">
        <v>604</v>
      </c>
      <c r="D88" s="132">
        <v>4</v>
      </c>
      <c r="E88" s="133" t="s">
        <v>428</v>
      </c>
      <c r="F88" s="130">
        <v>0</v>
      </c>
      <c r="G88" s="131">
        <f t="shared" si="1"/>
        <v>0</v>
      </c>
    </row>
    <row r="89" spans="1:7" s="100" customFormat="1" ht="78" x14ac:dyDescent="0.3">
      <c r="A89" s="126" t="s">
        <v>1740</v>
      </c>
      <c r="B89" s="134" t="s">
        <v>638</v>
      </c>
      <c r="C89" s="134" t="s">
        <v>607</v>
      </c>
      <c r="D89" s="132">
        <v>4</v>
      </c>
      <c r="E89" s="133" t="s">
        <v>428</v>
      </c>
      <c r="F89" s="130">
        <v>0</v>
      </c>
      <c r="G89" s="131">
        <f t="shared" si="1"/>
        <v>0</v>
      </c>
    </row>
    <row r="90" spans="1:7" s="100" customFormat="1" ht="65" x14ac:dyDescent="0.3">
      <c r="A90" s="126" t="s">
        <v>1741</v>
      </c>
      <c r="B90" s="134" t="s">
        <v>640</v>
      </c>
      <c r="C90" s="134" t="s">
        <v>610</v>
      </c>
      <c r="D90" s="132">
        <v>2</v>
      </c>
      <c r="E90" s="133" t="s">
        <v>428</v>
      </c>
      <c r="F90" s="130">
        <v>0</v>
      </c>
      <c r="G90" s="131">
        <f t="shared" si="1"/>
        <v>0</v>
      </c>
    </row>
    <row r="91" spans="1:7" s="100" customFormat="1" ht="65" x14ac:dyDescent="0.3">
      <c r="A91" s="126" t="s">
        <v>1742</v>
      </c>
      <c r="B91" s="134" t="s">
        <v>642</v>
      </c>
      <c r="C91" s="134" t="s">
        <v>628</v>
      </c>
      <c r="D91" s="132">
        <v>1</v>
      </c>
      <c r="E91" s="133" t="s">
        <v>428</v>
      </c>
      <c r="F91" s="130">
        <v>0</v>
      </c>
      <c r="G91" s="131">
        <f t="shared" si="1"/>
        <v>0</v>
      </c>
    </row>
    <row r="92" spans="1:7" s="100" customFormat="1" ht="260" x14ac:dyDescent="0.3">
      <c r="A92" s="126" t="s">
        <v>1743</v>
      </c>
      <c r="B92" s="134" t="s">
        <v>644</v>
      </c>
      <c r="C92" s="134" t="s">
        <v>595</v>
      </c>
      <c r="D92" s="132">
        <v>4</v>
      </c>
      <c r="E92" s="133" t="s">
        <v>428</v>
      </c>
      <c r="F92" s="130">
        <v>0</v>
      </c>
      <c r="G92" s="131">
        <f t="shared" si="1"/>
        <v>0</v>
      </c>
    </row>
    <row r="93" spans="1:7" s="100" customFormat="1" ht="104" x14ac:dyDescent="0.3">
      <c r="A93" s="126" t="s">
        <v>1744</v>
      </c>
      <c r="B93" s="134" t="s">
        <v>646</v>
      </c>
      <c r="C93" s="135" t="s">
        <v>598</v>
      </c>
      <c r="D93" s="132">
        <v>4</v>
      </c>
      <c r="E93" s="133" t="s">
        <v>428</v>
      </c>
      <c r="F93" s="130">
        <v>0</v>
      </c>
      <c r="G93" s="131">
        <f t="shared" si="1"/>
        <v>0</v>
      </c>
    </row>
    <row r="94" spans="1:7" s="100" customFormat="1" ht="91" x14ac:dyDescent="0.3">
      <c r="A94" s="126" t="s">
        <v>1745</v>
      </c>
      <c r="B94" s="134" t="s">
        <v>648</v>
      </c>
      <c r="C94" s="136" t="s">
        <v>601</v>
      </c>
      <c r="D94" s="132">
        <v>4</v>
      </c>
      <c r="E94" s="133" t="s">
        <v>428</v>
      </c>
      <c r="F94" s="130">
        <v>0</v>
      </c>
      <c r="G94" s="131">
        <f t="shared" si="1"/>
        <v>0</v>
      </c>
    </row>
    <row r="95" spans="1:7" s="100" customFormat="1" ht="78" x14ac:dyDescent="0.3">
      <c r="A95" s="126" t="s">
        <v>1746</v>
      </c>
      <c r="B95" s="134" t="s">
        <v>650</v>
      </c>
      <c r="C95" s="134" t="s">
        <v>604</v>
      </c>
      <c r="D95" s="132">
        <v>4</v>
      </c>
      <c r="E95" s="133" t="s">
        <v>428</v>
      </c>
      <c r="F95" s="130">
        <v>0</v>
      </c>
      <c r="G95" s="131">
        <f t="shared" si="1"/>
        <v>0</v>
      </c>
    </row>
    <row r="96" spans="1:7" s="100" customFormat="1" ht="78" x14ac:dyDescent="0.3">
      <c r="A96" s="126" t="s">
        <v>1747</v>
      </c>
      <c r="B96" s="134" t="s">
        <v>652</v>
      </c>
      <c r="C96" s="134" t="s">
        <v>607</v>
      </c>
      <c r="D96" s="132">
        <v>4</v>
      </c>
      <c r="E96" s="133" t="s">
        <v>428</v>
      </c>
      <c r="F96" s="130">
        <v>0</v>
      </c>
      <c r="G96" s="131">
        <f t="shared" si="1"/>
        <v>0</v>
      </c>
    </row>
    <row r="97" spans="1:7" s="100" customFormat="1" ht="65" x14ac:dyDescent="0.3">
      <c r="A97" s="126" t="s">
        <v>1748</v>
      </c>
      <c r="B97" s="134" t="s">
        <v>654</v>
      </c>
      <c r="C97" s="134" t="s">
        <v>610</v>
      </c>
      <c r="D97" s="132">
        <v>2</v>
      </c>
      <c r="E97" s="133" t="s">
        <v>428</v>
      </c>
      <c r="F97" s="130">
        <v>0</v>
      </c>
      <c r="G97" s="131">
        <f t="shared" si="1"/>
        <v>0</v>
      </c>
    </row>
    <row r="98" spans="1:7" s="100" customFormat="1" ht="65" x14ac:dyDescent="0.3">
      <c r="A98" s="126" t="s">
        <v>1749</v>
      </c>
      <c r="B98" s="134" t="s">
        <v>656</v>
      </c>
      <c r="C98" s="134" t="s">
        <v>628</v>
      </c>
      <c r="D98" s="132">
        <v>1</v>
      </c>
      <c r="E98" s="133" t="s">
        <v>428</v>
      </c>
      <c r="F98" s="130">
        <v>0</v>
      </c>
      <c r="G98" s="131">
        <f t="shared" si="1"/>
        <v>0</v>
      </c>
    </row>
    <row r="99" spans="1:7" s="100" customFormat="1" ht="260" x14ac:dyDescent="0.3">
      <c r="A99" s="126" t="s">
        <v>1750</v>
      </c>
      <c r="B99" s="134" t="s">
        <v>658</v>
      </c>
      <c r="C99" s="134" t="s">
        <v>595</v>
      </c>
      <c r="D99" s="132">
        <v>4</v>
      </c>
      <c r="E99" s="133" t="s">
        <v>428</v>
      </c>
      <c r="F99" s="130">
        <v>0</v>
      </c>
      <c r="G99" s="131">
        <f t="shared" si="1"/>
        <v>0</v>
      </c>
    </row>
    <row r="100" spans="1:7" s="100" customFormat="1" ht="104" x14ac:dyDescent="0.3">
      <c r="A100" s="126" t="s">
        <v>1751</v>
      </c>
      <c r="B100" s="134" t="s">
        <v>660</v>
      </c>
      <c r="C100" s="135" t="s">
        <v>598</v>
      </c>
      <c r="D100" s="132">
        <v>4</v>
      </c>
      <c r="E100" s="133" t="s">
        <v>428</v>
      </c>
      <c r="F100" s="130">
        <v>0</v>
      </c>
      <c r="G100" s="131">
        <f t="shared" si="1"/>
        <v>0</v>
      </c>
    </row>
    <row r="101" spans="1:7" s="100" customFormat="1" ht="91" x14ac:dyDescent="0.3">
      <c r="A101" s="126" t="s">
        <v>1752</v>
      </c>
      <c r="B101" s="134" t="s">
        <v>662</v>
      </c>
      <c r="C101" s="136" t="s">
        <v>601</v>
      </c>
      <c r="D101" s="132">
        <v>4</v>
      </c>
      <c r="E101" s="133" t="s">
        <v>428</v>
      </c>
      <c r="F101" s="130">
        <v>0</v>
      </c>
      <c r="G101" s="131">
        <f t="shared" si="1"/>
        <v>0</v>
      </c>
    </row>
    <row r="102" spans="1:7" s="100" customFormat="1" ht="78" x14ac:dyDescent="0.3">
      <c r="A102" s="126" t="s">
        <v>1753</v>
      </c>
      <c r="B102" s="134" t="s">
        <v>664</v>
      </c>
      <c r="C102" s="134" t="s">
        <v>604</v>
      </c>
      <c r="D102" s="132">
        <v>4</v>
      </c>
      <c r="E102" s="133" t="s">
        <v>428</v>
      </c>
      <c r="F102" s="130">
        <v>0</v>
      </c>
      <c r="G102" s="131">
        <f t="shared" si="1"/>
        <v>0</v>
      </c>
    </row>
    <row r="103" spans="1:7" s="100" customFormat="1" ht="78" x14ac:dyDescent="0.3">
      <c r="A103" s="126" t="s">
        <v>1754</v>
      </c>
      <c r="B103" s="134" t="s">
        <v>666</v>
      </c>
      <c r="C103" s="134" t="s">
        <v>607</v>
      </c>
      <c r="D103" s="132">
        <v>4</v>
      </c>
      <c r="E103" s="133" t="s">
        <v>428</v>
      </c>
      <c r="F103" s="130">
        <v>0</v>
      </c>
      <c r="G103" s="131">
        <f t="shared" si="1"/>
        <v>0</v>
      </c>
    </row>
    <row r="104" spans="1:7" s="100" customFormat="1" ht="65" x14ac:dyDescent="0.3">
      <c r="A104" s="126" t="s">
        <v>1755</v>
      </c>
      <c r="B104" s="134" t="s">
        <v>668</v>
      </c>
      <c r="C104" s="134" t="s">
        <v>610</v>
      </c>
      <c r="D104" s="132">
        <v>2</v>
      </c>
      <c r="E104" s="133" t="s">
        <v>428</v>
      </c>
      <c r="F104" s="130">
        <v>0</v>
      </c>
      <c r="G104" s="131">
        <f t="shared" si="1"/>
        <v>0</v>
      </c>
    </row>
    <row r="105" spans="1:7" s="100" customFormat="1" ht="65" x14ac:dyDescent="0.3">
      <c r="A105" s="126" t="s">
        <v>1756</v>
      </c>
      <c r="B105" s="134" t="s">
        <v>670</v>
      </c>
      <c r="C105" s="134" t="s">
        <v>628</v>
      </c>
      <c r="D105" s="132">
        <v>1</v>
      </c>
      <c r="E105" s="133" t="s">
        <v>428</v>
      </c>
      <c r="F105" s="130">
        <v>0</v>
      </c>
      <c r="G105" s="131">
        <f t="shared" si="1"/>
        <v>0</v>
      </c>
    </row>
    <row r="106" spans="1:7" s="100" customFormat="1" ht="260" x14ac:dyDescent="0.3">
      <c r="A106" s="126" t="s">
        <v>1757</v>
      </c>
      <c r="B106" s="134" t="s">
        <v>672</v>
      </c>
      <c r="C106" s="134" t="s">
        <v>595</v>
      </c>
      <c r="D106" s="132">
        <v>4</v>
      </c>
      <c r="E106" s="133" t="s">
        <v>428</v>
      </c>
      <c r="F106" s="130">
        <v>0</v>
      </c>
      <c r="G106" s="131">
        <f t="shared" si="1"/>
        <v>0</v>
      </c>
    </row>
    <row r="107" spans="1:7" s="100" customFormat="1" ht="104" x14ac:dyDescent="0.3">
      <c r="A107" s="126" t="s">
        <v>1758</v>
      </c>
      <c r="B107" s="134" t="s">
        <v>674</v>
      </c>
      <c r="C107" s="135" t="s">
        <v>598</v>
      </c>
      <c r="D107" s="132">
        <v>4</v>
      </c>
      <c r="E107" s="133" t="s">
        <v>428</v>
      </c>
      <c r="F107" s="130">
        <v>0</v>
      </c>
      <c r="G107" s="131">
        <f t="shared" si="1"/>
        <v>0</v>
      </c>
    </row>
    <row r="108" spans="1:7" s="100" customFormat="1" ht="91" x14ac:dyDescent="0.3">
      <c r="A108" s="126" t="s">
        <v>1759</v>
      </c>
      <c r="B108" s="134" t="s">
        <v>676</v>
      </c>
      <c r="C108" s="136" t="s">
        <v>601</v>
      </c>
      <c r="D108" s="132">
        <v>4</v>
      </c>
      <c r="E108" s="133" t="s">
        <v>428</v>
      </c>
      <c r="F108" s="130">
        <v>0</v>
      </c>
      <c r="G108" s="131">
        <f t="shared" si="1"/>
        <v>0</v>
      </c>
    </row>
    <row r="109" spans="1:7" s="100" customFormat="1" ht="78" x14ac:dyDescent="0.3">
      <c r="A109" s="126" t="s">
        <v>1760</v>
      </c>
      <c r="B109" s="134" t="s">
        <v>678</v>
      </c>
      <c r="C109" s="134" t="s">
        <v>604</v>
      </c>
      <c r="D109" s="132">
        <v>4</v>
      </c>
      <c r="E109" s="133" t="s">
        <v>428</v>
      </c>
      <c r="F109" s="130">
        <v>0</v>
      </c>
      <c r="G109" s="131">
        <f t="shared" si="1"/>
        <v>0</v>
      </c>
    </row>
    <row r="110" spans="1:7" s="100" customFormat="1" ht="78" x14ac:dyDescent="0.3">
      <c r="A110" s="126" t="s">
        <v>1761</v>
      </c>
      <c r="B110" s="134" t="s">
        <v>680</v>
      </c>
      <c r="C110" s="134" t="s">
        <v>607</v>
      </c>
      <c r="D110" s="132">
        <v>4</v>
      </c>
      <c r="E110" s="133" t="s">
        <v>428</v>
      </c>
      <c r="F110" s="130">
        <v>0</v>
      </c>
      <c r="G110" s="131">
        <f t="shared" si="1"/>
        <v>0</v>
      </c>
    </row>
    <row r="111" spans="1:7" s="100" customFormat="1" ht="65" x14ac:dyDescent="0.3">
      <c r="A111" s="126" t="s">
        <v>1762</v>
      </c>
      <c r="B111" s="134" t="s">
        <v>682</v>
      </c>
      <c r="C111" s="134" t="s">
        <v>610</v>
      </c>
      <c r="D111" s="132">
        <v>2</v>
      </c>
      <c r="E111" s="133" t="s">
        <v>428</v>
      </c>
      <c r="F111" s="130">
        <v>0</v>
      </c>
      <c r="G111" s="131">
        <f t="shared" si="1"/>
        <v>0</v>
      </c>
    </row>
    <row r="112" spans="1:7" s="100" customFormat="1" ht="65" x14ac:dyDescent="0.3">
      <c r="A112" s="126" t="s">
        <v>1763</v>
      </c>
      <c r="B112" s="134" t="s">
        <v>684</v>
      </c>
      <c r="C112" s="134" t="s">
        <v>628</v>
      </c>
      <c r="D112" s="132">
        <v>1</v>
      </c>
      <c r="E112" s="133" t="s">
        <v>428</v>
      </c>
      <c r="F112" s="130">
        <v>0</v>
      </c>
      <c r="G112" s="131">
        <f t="shared" si="1"/>
        <v>0</v>
      </c>
    </row>
    <row r="113" spans="1:7" s="100" customFormat="1" ht="117" x14ac:dyDescent="0.3">
      <c r="A113" s="126" t="s">
        <v>1764</v>
      </c>
      <c r="B113" s="134" t="s">
        <v>686</v>
      </c>
      <c r="C113" s="134" t="s">
        <v>687</v>
      </c>
      <c r="D113" s="132">
        <v>12</v>
      </c>
      <c r="E113" s="133" t="s">
        <v>428</v>
      </c>
      <c r="F113" s="130">
        <v>0</v>
      </c>
      <c r="G113" s="131">
        <f t="shared" si="1"/>
        <v>0</v>
      </c>
    </row>
    <row r="114" spans="1:7" s="100" customFormat="1" ht="52" x14ac:dyDescent="0.3">
      <c r="A114" s="126" t="s">
        <v>1765</v>
      </c>
      <c r="B114" s="134" t="s">
        <v>689</v>
      </c>
      <c r="C114" s="127" t="s">
        <v>690</v>
      </c>
      <c r="D114" s="132">
        <v>10</v>
      </c>
      <c r="E114" s="133" t="s">
        <v>428</v>
      </c>
      <c r="F114" s="130">
        <v>0</v>
      </c>
      <c r="G114" s="131">
        <f t="shared" si="1"/>
        <v>0</v>
      </c>
    </row>
    <row r="115" spans="1:7" s="100" customFormat="1" ht="65" x14ac:dyDescent="0.3">
      <c r="A115" s="126" t="s">
        <v>1766</v>
      </c>
      <c r="B115" s="134" t="s">
        <v>692</v>
      </c>
      <c r="C115" s="134" t="s">
        <v>693</v>
      </c>
      <c r="D115" s="132">
        <v>4</v>
      </c>
      <c r="E115" s="133" t="s">
        <v>428</v>
      </c>
      <c r="F115" s="130">
        <v>0</v>
      </c>
      <c r="G115" s="131">
        <f t="shared" si="1"/>
        <v>0</v>
      </c>
    </row>
    <row r="116" spans="1:7" s="100" customFormat="1" ht="91" x14ac:dyDescent="0.3">
      <c r="A116" s="126" t="s">
        <v>1767</v>
      </c>
      <c r="B116" s="134" t="s">
        <v>695</v>
      </c>
      <c r="C116" s="134" t="s">
        <v>696</v>
      </c>
      <c r="D116" s="134">
        <v>6</v>
      </c>
      <c r="E116" s="137" t="s">
        <v>428</v>
      </c>
      <c r="F116" s="130">
        <v>0</v>
      </c>
      <c r="G116" s="131">
        <f t="shared" si="1"/>
        <v>0</v>
      </c>
    </row>
    <row r="117" spans="1:7" s="100" customFormat="1" ht="91" x14ac:dyDescent="0.3">
      <c r="A117" s="126" t="s">
        <v>1768</v>
      </c>
      <c r="B117" s="134" t="s">
        <v>698</v>
      </c>
      <c r="C117" s="134" t="s">
        <v>699</v>
      </c>
      <c r="D117" s="134">
        <v>3</v>
      </c>
      <c r="E117" s="138" t="s">
        <v>428</v>
      </c>
      <c r="F117" s="130">
        <v>0</v>
      </c>
      <c r="G117" s="131">
        <f t="shared" si="1"/>
        <v>0</v>
      </c>
    </row>
    <row r="118" spans="1:7" s="100" customFormat="1" ht="78" x14ac:dyDescent="0.3">
      <c r="A118" s="126" t="s">
        <v>1769</v>
      </c>
      <c r="B118" s="134" t="s">
        <v>701</v>
      </c>
      <c r="C118" s="134" t="s">
        <v>702</v>
      </c>
      <c r="D118" s="134">
        <v>2</v>
      </c>
      <c r="E118" s="138" t="s">
        <v>428</v>
      </c>
      <c r="F118" s="130">
        <v>0</v>
      </c>
      <c r="G118" s="131">
        <f t="shared" si="1"/>
        <v>0</v>
      </c>
    </row>
    <row r="119" spans="1:7" s="100" customFormat="1" ht="78" x14ac:dyDescent="0.3">
      <c r="A119" s="126" t="s">
        <v>1770</v>
      </c>
      <c r="B119" s="134" t="s">
        <v>704</v>
      </c>
      <c r="C119" s="134" t="s">
        <v>705</v>
      </c>
      <c r="D119" s="132">
        <v>1</v>
      </c>
      <c r="E119" s="133" t="s">
        <v>428</v>
      </c>
      <c r="F119" s="130">
        <v>0</v>
      </c>
      <c r="G119" s="131">
        <f t="shared" si="1"/>
        <v>0</v>
      </c>
    </row>
    <row r="120" spans="1:7" s="100" customFormat="1" ht="117" x14ac:dyDescent="0.3">
      <c r="A120" s="126" t="s">
        <v>1771</v>
      </c>
      <c r="B120" s="134" t="s">
        <v>707</v>
      </c>
      <c r="C120" s="134" t="s">
        <v>687</v>
      </c>
      <c r="D120" s="132">
        <v>12</v>
      </c>
      <c r="E120" s="133" t="s">
        <v>428</v>
      </c>
      <c r="F120" s="130">
        <v>0</v>
      </c>
      <c r="G120" s="131">
        <f t="shared" si="1"/>
        <v>0</v>
      </c>
    </row>
    <row r="121" spans="1:7" s="100" customFormat="1" ht="52" x14ac:dyDescent="0.3">
      <c r="A121" s="126" t="s">
        <v>1772</v>
      </c>
      <c r="B121" s="127" t="s">
        <v>709</v>
      </c>
      <c r="C121" s="134" t="s">
        <v>690</v>
      </c>
      <c r="D121" s="132">
        <v>10</v>
      </c>
      <c r="E121" s="133" t="s">
        <v>428</v>
      </c>
      <c r="F121" s="130">
        <v>0</v>
      </c>
      <c r="G121" s="131">
        <f t="shared" si="1"/>
        <v>0</v>
      </c>
    </row>
    <row r="122" spans="1:7" s="100" customFormat="1" ht="78" x14ac:dyDescent="0.3">
      <c r="A122" s="126" t="s">
        <v>1773</v>
      </c>
      <c r="B122" s="134" t="s">
        <v>711</v>
      </c>
      <c r="C122" s="134" t="s">
        <v>712</v>
      </c>
      <c r="D122" s="132">
        <v>4</v>
      </c>
      <c r="E122" s="133" t="s">
        <v>428</v>
      </c>
      <c r="F122" s="130">
        <v>0</v>
      </c>
      <c r="G122" s="131">
        <f t="shared" si="1"/>
        <v>0</v>
      </c>
    </row>
    <row r="123" spans="1:7" s="100" customFormat="1" ht="91" x14ac:dyDescent="0.3">
      <c r="A123" s="126" t="s">
        <v>1774</v>
      </c>
      <c r="B123" s="134" t="s">
        <v>714</v>
      </c>
      <c r="C123" s="134" t="s">
        <v>715</v>
      </c>
      <c r="D123" s="132">
        <v>6</v>
      </c>
      <c r="E123" s="133" t="s">
        <v>428</v>
      </c>
      <c r="F123" s="130">
        <v>0</v>
      </c>
      <c r="G123" s="131">
        <f t="shared" si="1"/>
        <v>0</v>
      </c>
    </row>
    <row r="124" spans="1:7" s="100" customFormat="1" ht="91" x14ac:dyDescent="0.3">
      <c r="A124" s="126" t="s">
        <v>1775</v>
      </c>
      <c r="B124" s="134" t="s">
        <v>717</v>
      </c>
      <c r="C124" s="134" t="s">
        <v>718</v>
      </c>
      <c r="D124" s="132">
        <v>3</v>
      </c>
      <c r="E124" s="133" t="s">
        <v>428</v>
      </c>
      <c r="F124" s="130">
        <v>0</v>
      </c>
      <c r="G124" s="131">
        <f t="shared" si="1"/>
        <v>0</v>
      </c>
    </row>
    <row r="125" spans="1:7" s="100" customFormat="1" ht="78" x14ac:dyDescent="0.3">
      <c r="A125" s="126" t="s">
        <v>1776</v>
      </c>
      <c r="B125" s="134" t="s">
        <v>720</v>
      </c>
      <c r="C125" s="134" t="s">
        <v>721</v>
      </c>
      <c r="D125" s="132">
        <v>2</v>
      </c>
      <c r="E125" s="133" t="s">
        <v>428</v>
      </c>
      <c r="F125" s="130">
        <v>0</v>
      </c>
      <c r="G125" s="131">
        <f t="shared" si="1"/>
        <v>0</v>
      </c>
    </row>
    <row r="126" spans="1:7" s="100" customFormat="1" ht="91" x14ac:dyDescent="0.3">
      <c r="A126" s="126" t="s">
        <v>1777</v>
      </c>
      <c r="B126" s="134" t="s">
        <v>723</v>
      </c>
      <c r="C126" s="134" t="s">
        <v>724</v>
      </c>
      <c r="D126" s="132">
        <v>1</v>
      </c>
      <c r="E126" s="133" t="s">
        <v>428</v>
      </c>
      <c r="F126" s="130">
        <v>0</v>
      </c>
      <c r="G126" s="131">
        <f t="shared" si="1"/>
        <v>0</v>
      </c>
    </row>
    <row r="127" spans="1:7" s="100" customFormat="1" ht="221" x14ac:dyDescent="0.3">
      <c r="A127" s="126" t="s">
        <v>1778</v>
      </c>
      <c r="B127" s="134" t="s">
        <v>726</v>
      </c>
      <c r="C127" s="134" t="s">
        <v>727</v>
      </c>
      <c r="D127" s="132">
        <v>12</v>
      </c>
      <c r="E127" s="133" t="s">
        <v>428</v>
      </c>
      <c r="F127" s="130">
        <v>0</v>
      </c>
      <c r="G127" s="131">
        <f t="shared" si="1"/>
        <v>0</v>
      </c>
    </row>
    <row r="128" spans="1:7" s="100" customFormat="1" ht="117" x14ac:dyDescent="0.3">
      <c r="A128" s="126" t="s">
        <v>1779</v>
      </c>
      <c r="B128" s="134" t="s">
        <v>729</v>
      </c>
      <c r="C128" s="134" t="s">
        <v>730</v>
      </c>
      <c r="D128" s="132">
        <v>12</v>
      </c>
      <c r="E128" s="133" t="s">
        <v>428</v>
      </c>
      <c r="F128" s="130">
        <v>0</v>
      </c>
      <c r="G128" s="131">
        <f t="shared" si="1"/>
        <v>0</v>
      </c>
    </row>
    <row r="129" spans="1:7" s="100" customFormat="1" ht="52" x14ac:dyDescent="0.3">
      <c r="A129" s="126" t="s">
        <v>1780</v>
      </c>
      <c r="B129" s="134" t="s">
        <v>732</v>
      </c>
      <c r="C129" s="134" t="s">
        <v>733</v>
      </c>
      <c r="D129" s="132">
        <v>12</v>
      </c>
      <c r="E129" s="133" t="s">
        <v>428</v>
      </c>
      <c r="F129" s="130">
        <v>0</v>
      </c>
      <c r="G129" s="131">
        <f t="shared" si="1"/>
        <v>0</v>
      </c>
    </row>
    <row r="130" spans="1:7" s="100" customFormat="1" ht="52.5" customHeight="1" x14ac:dyDescent="0.3">
      <c r="A130" s="126" t="s">
        <v>1781</v>
      </c>
      <c r="B130" s="134" t="s">
        <v>735</v>
      </c>
      <c r="C130" s="134" t="s">
        <v>693</v>
      </c>
      <c r="D130" s="132">
        <v>6</v>
      </c>
      <c r="E130" s="133" t="s">
        <v>428</v>
      </c>
      <c r="F130" s="130">
        <v>0</v>
      </c>
      <c r="G130" s="131">
        <f t="shared" si="1"/>
        <v>0</v>
      </c>
    </row>
    <row r="131" spans="1:7" s="100" customFormat="1" ht="91" x14ac:dyDescent="0.3">
      <c r="A131" s="126" t="s">
        <v>1782</v>
      </c>
      <c r="B131" s="134" t="s">
        <v>737</v>
      </c>
      <c r="C131" s="134" t="s">
        <v>696</v>
      </c>
      <c r="D131" s="132">
        <v>4</v>
      </c>
      <c r="E131" s="133" t="s">
        <v>428</v>
      </c>
      <c r="F131" s="130">
        <v>0</v>
      </c>
      <c r="G131" s="131">
        <f t="shared" si="1"/>
        <v>0</v>
      </c>
    </row>
    <row r="132" spans="1:7" s="100" customFormat="1" ht="91" x14ac:dyDescent="0.3">
      <c r="A132" s="126" t="s">
        <v>1783</v>
      </c>
      <c r="B132" s="134" t="s">
        <v>739</v>
      </c>
      <c r="C132" s="134" t="s">
        <v>740</v>
      </c>
      <c r="D132" s="132">
        <v>6</v>
      </c>
      <c r="E132" s="133" t="s">
        <v>428</v>
      </c>
      <c r="F132" s="130">
        <v>0</v>
      </c>
      <c r="G132" s="131">
        <f t="shared" si="1"/>
        <v>0</v>
      </c>
    </row>
    <row r="133" spans="1:7" s="100" customFormat="1" ht="78" x14ac:dyDescent="0.3">
      <c r="A133" s="126" t="s">
        <v>1784</v>
      </c>
      <c r="B133" s="134" t="s">
        <v>742</v>
      </c>
      <c r="C133" s="134" t="s">
        <v>743</v>
      </c>
      <c r="D133" s="132">
        <v>2</v>
      </c>
      <c r="E133" s="133" t="s">
        <v>428</v>
      </c>
      <c r="F133" s="130">
        <v>0</v>
      </c>
      <c r="G133" s="131">
        <f t="shared" si="1"/>
        <v>0</v>
      </c>
    </row>
    <row r="134" spans="1:7" s="100" customFormat="1" ht="65.25" customHeight="1" x14ac:dyDescent="0.3">
      <c r="A134" s="126" t="s">
        <v>1785</v>
      </c>
      <c r="B134" s="134" t="s">
        <v>745</v>
      </c>
      <c r="C134" s="134" t="s">
        <v>746</v>
      </c>
      <c r="D134" s="132">
        <v>1</v>
      </c>
      <c r="E134" s="133" t="s">
        <v>428</v>
      </c>
      <c r="F134" s="130">
        <v>0</v>
      </c>
      <c r="G134" s="131">
        <f t="shared" si="1"/>
        <v>0</v>
      </c>
    </row>
    <row r="135" spans="1:7" s="100" customFormat="1" ht="109.5" customHeight="1" x14ac:dyDescent="0.3">
      <c r="A135" s="126" t="s">
        <v>1786</v>
      </c>
      <c r="B135" s="135" t="s">
        <v>748</v>
      </c>
      <c r="C135" s="135" t="s">
        <v>749</v>
      </c>
      <c r="D135" s="132">
        <v>12</v>
      </c>
      <c r="E135" s="133" t="s">
        <v>428</v>
      </c>
      <c r="F135" s="130">
        <v>0</v>
      </c>
      <c r="G135" s="131">
        <f t="shared" si="1"/>
        <v>0</v>
      </c>
    </row>
    <row r="136" spans="1:7" s="100" customFormat="1" ht="109.5" customHeight="1" x14ac:dyDescent="0.3">
      <c r="A136" s="126" t="s">
        <v>1787</v>
      </c>
      <c r="B136" s="135" t="s">
        <v>751</v>
      </c>
      <c r="C136" s="135" t="s">
        <v>1788</v>
      </c>
      <c r="D136" s="132">
        <f>G136-F136</f>
        <v>0</v>
      </c>
      <c r="E136" s="133" t="s">
        <v>515</v>
      </c>
      <c r="F136" s="130">
        <v>0</v>
      </c>
      <c r="G136" s="131">
        <v>0</v>
      </c>
    </row>
    <row r="137" spans="1:7" s="100" customFormat="1" ht="109.5" customHeight="1" x14ac:dyDescent="0.3">
      <c r="A137" s="126" t="s">
        <v>1789</v>
      </c>
      <c r="B137" s="135" t="s">
        <v>754</v>
      </c>
      <c r="C137" s="135" t="s">
        <v>1790</v>
      </c>
      <c r="D137" s="132">
        <f>G137-F137</f>
        <v>0</v>
      </c>
      <c r="E137" s="133" t="s">
        <v>428</v>
      </c>
      <c r="F137" s="130">
        <v>0</v>
      </c>
      <c r="G137" s="131">
        <v>0</v>
      </c>
    </row>
    <row r="138" spans="1:7" s="100" customFormat="1" ht="109.5" customHeight="1" x14ac:dyDescent="0.3">
      <c r="A138" s="93" t="s">
        <v>1791</v>
      </c>
      <c r="B138" s="94" t="s">
        <v>757</v>
      </c>
      <c r="C138" s="95" t="s">
        <v>758</v>
      </c>
      <c r="D138" s="96">
        <v>180000</v>
      </c>
      <c r="E138" s="97" t="s">
        <v>421</v>
      </c>
      <c r="F138" s="98">
        <v>0</v>
      </c>
      <c r="G138" s="99">
        <v>0</v>
      </c>
    </row>
    <row r="139" spans="1:7" s="100" customFormat="1" ht="15" customHeight="1" x14ac:dyDescent="0.3">
      <c r="A139" s="228" t="s">
        <v>1792</v>
      </c>
      <c r="B139" s="229"/>
      <c r="C139" s="229"/>
      <c r="D139" s="139"/>
      <c r="E139" s="139"/>
      <c r="F139" s="140"/>
      <c r="G139" s="141">
        <f>SUM(G11:G138)</f>
        <v>0</v>
      </c>
    </row>
    <row r="141" spans="1:7" ht="14.25" customHeight="1" x14ac:dyDescent="0.3"/>
    <row r="142" spans="1:7" ht="15" customHeight="1" x14ac:dyDescent="0.3"/>
    <row r="143" spans="1:7" ht="15" customHeight="1" x14ac:dyDescent="0.3"/>
    <row r="144" spans="1:7" ht="15" customHeight="1" x14ac:dyDescent="0.3"/>
    <row r="145" ht="15" customHeight="1" x14ac:dyDescent="0.3"/>
    <row r="146" ht="15" customHeight="1" x14ac:dyDescent="0.3"/>
    <row r="147" ht="15" customHeight="1" x14ac:dyDescent="0.3"/>
    <row r="148" ht="15" customHeight="1" x14ac:dyDescent="0.3"/>
    <row r="149" ht="15" customHeight="1" x14ac:dyDescent="0.3"/>
    <row r="150" ht="15" customHeight="1" x14ac:dyDescent="0.3"/>
    <row r="151" ht="15" customHeight="1" x14ac:dyDescent="0.3"/>
    <row r="152" ht="15" customHeight="1" x14ac:dyDescent="0.3"/>
    <row r="153" ht="15" customHeight="1" x14ac:dyDescent="0.3"/>
    <row r="154" ht="15" customHeight="1" x14ac:dyDescent="0.3"/>
    <row r="155" ht="15" customHeight="1" x14ac:dyDescent="0.3"/>
    <row r="156" ht="15" customHeight="1" x14ac:dyDescent="0.3"/>
    <row r="157" ht="15" customHeight="1" x14ac:dyDescent="0.3"/>
    <row r="158" ht="15" customHeight="1" x14ac:dyDescent="0.3"/>
    <row r="159" ht="15" customHeight="1" x14ac:dyDescent="0.3"/>
    <row r="160" ht="15" customHeight="1" x14ac:dyDescent="0.3"/>
  </sheetData>
  <mergeCells count="5">
    <mergeCell ref="A139:C139"/>
    <mergeCell ref="A5:C5"/>
    <mergeCell ref="A6:C6"/>
    <mergeCell ref="A7:C7"/>
    <mergeCell ref="A8:C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A1:J366"/>
  <sheetViews>
    <sheetView topLeftCell="A325" workbookViewId="0">
      <selection activeCell="A14" sqref="A14"/>
    </sheetView>
  </sheetViews>
  <sheetFormatPr defaultColWidth="9.1796875" defaultRowHeight="13" x14ac:dyDescent="0.3"/>
  <cols>
    <col min="1" max="1" width="9.1796875" style="49"/>
    <col min="2" max="3" width="10.7265625" style="49" customWidth="1"/>
    <col min="4" max="4" width="62" style="18" customWidth="1"/>
    <col min="5" max="6" width="15.7265625" style="49" customWidth="1"/>
    <col min="7" max="8" width="15.7265625" style="74" customWidth="1"/>
    <col min="9" max="10" width="10.7265625" style="18" customWidth="1"/>
    <col min="11" max="11" width="9.81640625" style="18" customWidth="1"/>
    <col min="12" max="16384" width="9.1796875" style="18"/>
  </cols>
  <sheetData>
    <row r="1" spans="1:10" ht="15.75" customHeight="1" x14ac:dyDescent="0.3">
      <c r="A1" s="21"/>
      <c r="B1" s="22"/>
      <c r="C1" s="22"/>
      <c r="D1" s="79" t="s">
        <v>0</v>
      </c>
      <c r="E1" s="22"/>
      <c r="F1" s="22"/>
      <c r="G1" s="71"/>
      <c r="H1" s="75"/>
    </row>
    <row r="2" spans="1:10" ht="15.75" customHeight="1" x14ac:dyDescent="0.3">
      <c r="A2" s="26"/>
      <c r="B2" s="17"/>
      <c r="C2" s="17"/>
      <c r="D2" s="142" t="s">
        <v>1</v>
      </c>
      <c r="E2" s="17"/>
      <c r="F2" s="17"/>
      <c r="G2" s="72"/>
      <c r="H2" s="76"/>
    </row>
    <row r="3" spans="1:10" ht="15.75" customHeight="1" x14ac:dyDescent="0.3">
      <c r="A3" s="26"/>
      <c r="B3" s="17"/>
      <c r="C3" s="17"/>
      <c r="D3" s="206" t="s">
        <v>398</v>
      </c>
      <c r="E3" s="17"/>
      <c r="F3" s="17"/>
      <c r="G3" s="72"/>
      <c r="H3" s="76"/>
    </row>
    <row r="4" spans="1:10" ht="15.75" customHeight="1" x14ac:dyDescent="0.3">
      <c r="A4" s="26"/>
      <c r="B4" s="17"/>
      <c r="C4" s="17"/>
      <c r="D4" s="142" t="s">
        <v>3</v>
      </c>
      <c r="E4" s="17"/>
      <c r="F4" s="17"/>
      <c r="G4" s="72"/>
      <c r="H4" s="76"/>
    </row>
    <row r="5" spans="1:10" ht="15.75" customHeight="1" x14ac:dyDescent="0.3">
      <c r="A5" s="51" t="s">
        <v>18</v>
      </c>
      <c r="B5" s="52"/>
      <c r="C5" s="52"/>
      <c r="D5" s="52"/>
      <c r="E5" s="17"/>
      <c r="F5" s="17"/>
      <c r="G5" s="72"/>
      <c r="H5" s="76"/>
    </row>
    <row r="6" spans="1:10" ht="15.75" customHeight="1" x14ac:dyDescent="0.3">
      <c r="A6" s="51" t="s">
        <v>19</v>
      </c>
      <c r="B6" s="52"/>
      <c r="C6" s="52"/>
      <c r="D6" s="52"/>
      <c r="E6" s="17"/>
      <c r="F6" s="17"/>
      <c r="G6" s="72"/>
      <c r="H6" s="76"/>
    </row>
    <row r="7" spans="1:10" ht="15.75" customHeight="1" x14ac:dyDescent="0.3">
      <c r="A7" s="53" t="s">
        <v>1793</v>
      </c>
      <c r="B7" s="54"/>
      <c r="C7" s="54"/>
      <c r="D7" s="54"/>
      <c r="E7" s="30"/>
      <c r="F7" s="30"/>
      <c r="G7" s="73"/>
      <c r="H7" s="77"/>
    </row>
    <row r="8" spans="1:10" ht="53.25" customHeight="1" x14ac:dyDescent="0.3">
      <c r="A8" s="145" t="s">
        <v>21</v>
      </c>
      <c r="B8" s="145" t="s">
        <v>22</v>
      </c>
      <c r="C8" s="145" t="s">
        <v>23</v>
      </c>
      <c r="D8" s="55" t="s">
        <v>24</v>
      </c>
      <c r="E8" s="38" t="s">
        <v>25</v>
      </c>
      <c r="F8" s="38" t="s">
        <v>26</v>
      </c>
      <c r="G8" s="38" t="s">
        <v>27</v>
      </c>
      <c r="H8" s="38" t="s">
        <v>7</v>
      </c>
    </row>
    <row r="9" spans="1:10" x14ac:dyDescent="0.3">
      <c r="A9" s="216" t="s">
        <v>28</v>
      </c>
      <c r="B9" s="217"/>
      <c r="C9" s="217"/>
      <c r="D9" s="218"/>
      <c r="E9" s="38"/>
      <c r="F9" s="38"/>
      <c r="G9" s="38"/>
      <c r="H9" s="38"/>
    </row>
    <row r="10" spans="1:10" x14ac:dyDescent="0.3">
      <c r="A10" s="13" t="s">
        <v>1794</v>
      </c>
      <c r="B10" s="13"/>
      <c r="C10" s="13" t="s">
        <v>14</v>
      </c>
      <c r="D10" s="15" t="s">
        <v>30</v>
      </c>
      <c r="E10" s="56"/>
      <c r="F10" s="56"/>
      <c r="G10" s="63"/>
      <c r="H10" s="63"/>
      <c r="J10" s="57" t="s">
        <v>14</v>
      </c>
    </row>
    <row r="11" spans="1:10" x14ac:dyDescent="0.3">
      <c r="A11" s="13" t="s">
        <v>1795</v>
      </c>
      <c r="B11" s="13">
        <v>1503050</v>
      </c>
      <c r="C11" s="13"/>
      <c r="D11" s="58" t="s">
        <v>32</v>
      </c>
      <c r="E11" s="56"/>
      <c r="F11" s="56"/>
      <c r="G11" s="63"/>
      <c r="H11" s="63"/>
      <c r="J11" s="57" t="s">
        <v>14</v>
      </c>
    </row>
    <row r="12" spans="1:10" ht="12.75" customHeight="1" x14ac:dyDescent="0.3">
      <c r="A12" s="8" t="s">
        <v>1796</v>
      </c>
      <c r="B12" s="8">
        <v>1503050</v>
      </c>
      <c r="C12" s="8">
        <v>3.1</v>
      </c>
      <c r="D12" s="9" t="s">
        <v>2869</v>
      </c>
      <c r="E12" s="59">
        <v>12</v>
      </c>
      <c r="F12" s="56" t="s">
        <v>34</v>
      </c>
      <c r="G12" s="63">
        <f>H12/E12</f>
        <v>0</v>
      </c>
      <c r="H12" s="63">
        <v>0</v>
      </c>
      <c r="J12" s="57" t="s">
        <v>14</v>
      </c>
    </row>
    <row r="13" spans="1:10" x14ac:dyDescent="0.3">
      <c r="A13" s="8" t="s">
        <v>1797</v>
      </c>
      <c r="B13" s="8">
        <v>1503050</v>
      </c>
      <c r="C13" s="8">
        <v>3.1</v>
      </c>
      <c r="D13" s="9" t="s">
        <v>36</v>
      </c>
      <c r="E13" s="59">
        <v>12</v>
      </c>
      <c r="F13" s="56" t="s">
        <v>34</v>
      </c>
      <c r="G13" s="63">
        <f t="shared" ref="G13:G19" si="0">H13/E13</f>
        <v>0</v>
      </c>
      <c r="H13" s="63">
        <v>0</v>
      </c>
      <c r="J13" s="57"/>
    </row>
    <row r="14" spans="1:10" x14ac:dyDescent="0.3">
      <c r="A14" s="8" t="s">
        <v>1798</v>
      </c>
      <c r="B14" s="8">
        <v>1503050</v>
      </c>
      <c r="C14" s="8">
        <v>3.1</v>
      </c>
      <c r="D14" s="9" t="s">
        <v>38</v>
      </c>
      <c r="E14" s="59">
        <v>12</v>
      </c>
      <c r="F14" s="56" t="s">
        <v>34</v>
      </c>
      <c r="G14" s="63">
        <f t="shared" si="0"/>
        <v>0</v>
      </c>
      <c r="H14" s="63">
        <v>0</v>
      </c>
      <c r="J14" s="57"/>
    </row>
    <row r="15" spans="1:10" ht="12.75" customHeight="1" x14ac:dyDescent="0.3">
      <c r="A15" s="8" t="s">
        <v>1799</v>
      </c>
      <c r="B15" s="8">
        <v>1503050</v>
      </c>
      <c r="C15" s="8">
        <v>3.2</v>
      </c>
      <c r="D15" s="9" t="s">
        <v>40</v>
      </c>
      <c r="E15" s="59">
        <v>12</v>
      </c>
      <c r="F15" s="56" t="s">
        <v>34</v>
      </c>
      <c r="G15" s="63">
        <f t="shared" si="0"/>
        <v>0</v>
      </c>
      <c r="H15" s="63">
        <v>0</v>
      </c>
      <c r="J15" s="57" t="s">
        <v>14</v>
      </c>
    </row>
    <row r="16" spans="1:10" x14ac:dyDescent="0.3">
      <c r="A16" s="8" t="s">
        <v>1800</v>
      </c>
      <c r="B16" s="8">
        <v>1503050</v>
      </c>
      <c r="C16" s="8">
        <v>3.3</v>
      </c>
      <c r="D16" s="9" t="s">
        <v>2870</v>
      </c>
      <c r="E16" s="59">
        <v>12</v>
      </c>
      <c r="F16" s="56" t="s">
        <v>34</v>
      </c>
      <c r="G16" s="63">
        <f t="shared" si="0"/>
        <v>0</v>
      </c>
      <c r="H16" s="63">
        <v>0</v>
      </c>
      <c r="J16" s="57" t="s">
        <v>14</v>
      </c>
    </row>
    <row r="17" spans="1:10" x14ac:dyDescent="0.3">
      <c r="A17" s="8" t="s">
        <v>1801</v>
      </c>
      <c r="B17" s="8">
        <v>1503050</v>
      </c>
      <c r="C17" s="8">
        <v>3.5</v>
      </c>
      <c r="D17" s="9" t="s">
        <v>2871</v>
      </c>
      <c r="E17" s="59">
        <v>12</v>
      </c>
      <c r="F17" s="56" t="s">
        <v>34</v>
      </c>
      <c r="G17" s="63">
        <f t="shared" si="0"/>
        <v>0</v>
      </c>
      <c r="H17" s="63">
        <v>0</v>
      </c>
      <c r="J17" s="57" t="s">
        <v>14</v>
      </c>
    </row>
    <row r="18" spans="1:10" x14ac:dyDescent="0.3">
      <c r="A18" s="8" t="s">
        <v>1802</v>
      </c>
      <c r="B18" s="8">
        <v>1503050</v>
      </c>
      <c r="C18" s="8">
        <v>3.6</v>
      </c>
      <c r="D18" s="9" t="s">
        <v>44</v>
      </c>
      <c r="E18" s="59">
        <v>12</v>
      </c>
      <c r="F18" s="56" t="s">
        <v>34</v>
      </c>
      <c r="G18" s="63">
        <f t="shared" si="0"/>
        <v>0</v>
      </c>
      <c r="H18" s="63">
        <v>0</v>
      </c>
      <c r="J18" s="57"/>
    </row>
    <row r="19" spans="1:10" x14ac:dyDescent="0.3">
      <c r="A19" s="49" t="s">
        <v>1803</v>
      </c>
      <c r="B19" s="8">
        <v>1503050</v>
      </c>
      <c r="C19" s="8">
        <v>3.7</v>
      </c>
      <c r="D19" s="9" t="s">
        <v>46</v>
      </c>
      <c r="E19" s="59">
        <v>12</v>
      </c>
      <c r="F19" s="56" t="s">
        <v>34</v>
      </c>
      <c r="G19" s="63">
        <f t="shared" si="0"/>
        <v>0</v>
      </c>
      <c r="H19" s="63">
        <v>0</v>
      </c>
      <c r="J19" s="57" t="s">
        <v>14</v>
      </c>
    </row>
    <row r="20" spans="1:10" x14ac:dyDescent="0.3">
      <c r="A20" s="13"/>
      <c r="B20" s="13"/>
      <c r="C20" s="13"/>
      <c r="D20" s="144" t="s">
        <v>1804</v>
      </c>
      <c r="E20" s="59">
        <v>12</v>
      </c>
      <c r="F20" s="56" t="s">
        <v>34</v>
      </c>
      <c r="G20" s="63">
        <f>SUM(G12:G19)</f>
        <v>0</v>
      </c>
      <c r="H20" s="63">
        <f>SUM(H12:H19)</f>
        <v>0</v>
      </c>
      <c r="J20" s="57"/>
    </row>
    <row r="21" spans="1:10" x14ac:dyDescent="0.3">
      <c r="A21" s="13" t="s">
        <v>1805</v>
      </c>
      <c r="B21" s="13">
        <v>1503050</v>
      </c>
      <c r="C21" s="8"/>
      <c r="D21" s="58" t="s">
        <v>49</v>
      </c>
      <c r="E21" s="56"/>
      <c r="F21" s="56"/>
      <c r="G21" s="63"/>
      <c r="H21" s="63"/>
      <c r="J21" s="57"/>
    </row>
    <row r="22" spans="1:10" x14ac:dyDescent="0.3">
      <c r="A22" s="8" t="s">
        <v>1806</v>
      </c>
      <c r="B22" s="8">
        <v>1503050</v>
      </c>
      <c r="C22" s="8">
        <v>3.1</v>
      </c>
      <c r="D22" s="9" t="s">
        <v>51</v>
      </c>
      <c r="E22" s="8">
        <v>12</v>
      </c>
      <c r="F22" s="8" t="s">
        <v>34</v>
      </c>
      <c r="G22" s="20">
        <v>0</v>
      </c>
      <c r="H22" s="20">
        <v>0</v>
      </c>
      <c r="J22" s="57"/>
    </row>
    <row r="23" spans="1:10" x14ac:dyDescent="0.3">
      <c r="A23" s="8" t="s">
        <v>1807</v>
      </c>
      <c r="B23" s="8">
        <v>1503050</v>
      </c>
      <c r="C23" s="8">
        <v>3.1</v>
      </c>
      <c r="D23" s="9" t="s">
        <v>2872</v>
      </c>
      <c r="E23" s="59">
        <v>12</v>
      </c>
      <c r="F23" s="56" t="s">
        <v>34</v>
      </c>
      <c r="G23" s="63">
        <f>H23/E23</f>
        <v>0</v>
      </c>
      <c r="H23" s="63">
        <v>0</v>
      </c>
      <c r="J23" s="57"/>
    </row>
    <row r="24" spans="1:10" x14ac:dyDescent="0.3">
      <c r="A24" s="8" t="s">
        <v>1808</v>
      </c>
      <c r="B24" s="8">
        <v>1503050</v>
      </c>
      <c r="C24" s="8">
        <v>3.1</v>
      </c>
      <c r="D24" s="9" t="s">
        <v>2873</v>
      </c>
      <c r="E24" s="59">
        <v>12</v>
      </c>
      <c r="F24" s="56" t="s">
        <v>34</v>
      </c>
      <c r="G24" s="63">
        <f t="shared" ref="G24:G29" si="1">H24/E24</f>
        <v>0</v>
      </c>
      <c r="H24" s="63">
        <v>0</v>
      </c>
      <c r="J24" s="57"/>
    </row>
    <row r="25" spans="1:10" x14ac:dyDescent="0.3">
      <c r="A25" s="8" t="s">
        <v>1809</v>
      </c>
      <c r="B25" s="8">
        <v>1503050</v>
      </c>
      <c r="C25" s="8">
        <v>3.2</v>
      </c>
      <c r="D25" s="9" t="s">
        <v>55</v>
      </c>
      <c r="E25" s="59">
        <v>12</v>
      </c>
      <c r="F25" s="56" t="s">
        <v>34</v>
      </c>
      <c r="G25" s="63">
        <f t="shared" si="1"/>
        <v>0</v>
      </c>
      <c r="H25" s="63">
        <v>0</v>
      </c>
      <c r="J25" s="57"/>
    </row>
    <row r="26" spans="1:10" x14ac:dyDescent="0.3">
      <c r="A26" s="8" t="s">
        <v>1810</v>
      </c>
      <c r="B26" s="8">
        <v>1503050</v>
      </c>
      <c r="C26" s="8">
        <v>3.3</v>
      </c>
      <c r="D26" s="9" t="s">
        <v>57</v>
      </c>
      <c r="E26" s="59">
        <v>12</v>
      </c>
      <c r="F26" s="56" t="s">
        <v>34</v>
      </c>
      <c r="G26" s="63">
        <f t="shared" si="1"/>
        <v>0</v>
      </c>
      <c r="H26" s="63">
        <v>0</v>
      </c>
      <c r="J26" s="57"/>
    </row>
    <row r="27" spans="1:10" x14ac:dyDescent="0.3">
      <c r="A27" s="8" t="s">
        <v>1811</v>
      </c>
      <c r="B27" s="8">
        <v>1503050</v>
      </c>
      <c r="C27" s="8">
        <v>3.5</v>
      </c>
      <c r="D27" s="9" t="s">
        <v>2874</v>
      </c>
      <c r="E27" s="59">
        <v>12</v>
      </c>
      <c r="F27" s="56" t="s">
        <v>34</v>
      </c>
      <c r="G27" s="63">
        <f t="shared" si="1"/>
        <v>0</v>
      </c>
      <c r="H27" s="63">
        <v>0</v>
      </c>
      <c r="J27" s="57"/>
    </row>
    <row r="28" spans="1:10" x14ac:dyDescent="0.3">
      <c r="A28" s="8" t="s">
        <v>1812</v>
      </c>
      <c r="B28" s="8">
        <v>1503050</v>
      </c>
      <c r="C28" s="8">
        <v>3.6</v>
      </c>
      <c r="D28" s="9" t="s">
        <v>60</v>
      </c>
      <c r="E28" s="59">
        <v>12</v>
      </c>
      <c r="F28" s="56" t="s">
        <v>34</v>
      </c>
      <c r="G28" s="63">
        <f t="shared" si="1"/>
        <v>0</v>
      </c>
      <c r="H28" s="63">
        <v>0</v>
      </c>
      <c r="J28" s="57"/>
    </row>
    <row r="29" spans="1:10" x14ac:dyDescent="0.3">
      <c r="A29" s="8" t="s">
        <v>1813</v>
      </c>
      <c r="B29" s="8">
        <v>1503050</v>
      </c>
      <c r="C29" s="8">
        <v>3.7</v>
      </c>
      <c r="D29" s="9" t="s">
        <v>62</v>
      </c>
      <c r="E29" s="59">
        <v>12</v>
      </c>
      <c r="F29" s="56" t="s">
        <v>34</v>
      </c>
      <c r="G29" s="63">
        <f t="shared" si="1"/>
        <v>0</v>
      </c>
      <c r="H29" s="63">
        <v>0</v>
      </c>
      <c r="J29" s="57"/>
    </row>
    <row r="30" spans="1:10" x14ac:dyDescent="0.3">
      <c r="A30" s="13"/>
      <c r="B30" s="13"/>
      <c r="C30" s="13"/>
      <c r="D30" s="144" t="s">
        <v>1814</v>
      </c>
      <c r="E30" s="59">
        <v>12</v>
      </c>
      <c r="F30" s="56" t="s">
        <v>34</v>
      </c>
      <c r="G30" s="63">
        <f>SUM(G22:G29)</f>
        <v>0</v>
      </c>
      <c r="H30" s="63">
        <f>SUM(H22:H29)</f>
        <v>0</v>
      </c>
      <c r="J30" s="57"/>
    </row>
    <row r="31" spans="1:10" x14ac:dyDescent="0.3">
      <c r="A31" s="13" t="s">
        <v>1815</v>
      </c>
      <c r="B31" s="13">
        <v>1503050</v>
      </c>
      <c r="C31" s="13"/>
      <c r="D31" s="192" t="s">
        <v>65</v>
      </c>
      <c r="E31" s="56"/>
      <c r="F31" s="56"/>
      <c r="G31" s="63"/>
      <c r="H31" s="63"/>
      <c r="J31" s="57"/>
    </row>
    <row r="32" spans="1:10" x14ac:dyDescent="0.3">
      <c r="A32" s="8" t="s">
        <v>1816</v>
      </c>
      <c r="B32" s="8">
        <v>1503050</v>
      </c>
      <c r="C32" s="8">
        <v>3.1</v>
      </c>
      <c r="D32" s="4" t="s">
        <v>67</v>
      </c>
      <c r="E32" s="59">
        <v>12</v>
      </c>
      <c r="F32" s="56" t="s">
        <v>34</v>
      </c>
      <c r="G32" s="63">
        <f t="shared" ref="G32:G39" si="2">H32/E32</f>
        <v>0</v>
      </c>
      <c r="H32" s="63">
        <v>0</v>
      </c>
      <c r="J32" s="57"/>
    </row>
    <row r="33" spans="1:10" x14ac:dyDescent="0.3">
      <c r="A33" s="8" t="s">
        <v>1817</v>
      </c>
      <c r="B33" s="8">
        <v>1503050</v>
      </c>
      <c r="C33" s="8">
        <v>3.1</v>
      </c>
      <c r="D33" s="4" t="s">
        <v>2875</v>
      </c>
      <c r="E33" s="59">
        <v>12</v>
      </c>
      <c r="F33" s="56" t="s">
        <v>34</v>
      </c>
      <c r="G33" s="63">
        <f t="shared" si="2"/>
        <v>0</v>
      </c>
      <c r="H33" s="63">
        <v>0</v>
      </c>
      <c r="J33" s="57"/>
    </row>
    <row r="34" spans="1:10" x14ac:dyDescent="0.3">
      <c r="A34" s="8" t="s">
        <v>1818</v>
      </c>
      <c r="B34" s="8">
        <v>1503050</v>
      </c>
      <c r="C34" s="8">
        <v>3.1</v>
      </c>
      <c r="D34" s="4" t="s">
        <v>70</v>
      </c>
      <c r="E34" s="59">
        <v>12</v>
      </c>
      <c r="F34" s="56" t="s">
        <v>34</v>
      </c>
      <c r="G34" s="63">
        <f t="shared" si="2"/>
        <v>0</v>
      </c>
      <c r="H34" s="63">
        <v>0</v>
      </c>
      <c r="J34" s="57"/>
    </row>
    <row r="35" spans="1:10" ht="12.75" customHeight="1" x14ac:dyDescent="0.3">
      <c r="A35" s="8" t="s">
        <v>1819</v>
      </c>
      <c r="B35" s="8">
        <v>1503050</v>
      </c>
      <c r="C35" s="8">
        <v>3.2</v>
      </c>
      <c r="D35" s="60" t="s">
        <v>72</v>
      </c>
      <c r="E35" s="59">
        <v>12</v>
      </c>
      <c r="F35" s="56" t="s">
        <v>34</v>
      </c>
      <c r="G35" s="63">
        <f t="shared" si="2"/>
        <v>0</v>
      </c>
      <c r="H35" s="63">
        <v>0</v>
      </c>
      <c r="J35" s="57"/>
    </row>
    <row r="36" spans="1:10" x14ac:dyDescent="0.3">
      <c r="A36" s="8" t="s">
        <v>1820</v>
      </c>
      <c r="B36" s="8">
        <v>1503050</v>
      </c>
      <c r="C36" s="8">
        <v>3.3</v>
      </c>
      <c r="D36" s="9" t="s">
        <v>74</v>
      </c>
      <c r="E36" s="59">
        <v>12</v>
      </c>
      <c r="F36" s="56" t="s">
        <v>34</v>
      </c>
      <c r="G36" s="63">
        <f t="shared" si="2"/>
        <v>0</v>
      </c>
      <c r="H36" s="63">
        <v>0</v>
      </c>
      <c r="J36" s="57"/>
    </row>
    <row r="37" spans="1:10" x14ac:dyDescent="0.3">
      <c r="A37" s="8" t="s">
        <v>1821</v>
      </c>
      <c r="B37" s="8">
        <v>1503050</v>
      </c>
      <c r="C37" s="8">
        <v>3.5</v>
      </c>
      <c r="D37" s="9" t="s">
        <v>2876</v>
      </c>
      <c r="E37" s="59">
        <v>12</v>
      </c>
      <c r="F37" s="56" t="s">
        <v>34</v>
      </c>
      <c r="G37" s="63">
        <f t="shared" si="2"/>
        <v>0</v>
      </c>
      <c r="H37" s="63">
        <v>0</v>
      </c>
      <c r="J37" s="57"/>
    </row>
    <row r="38" spans="1:10" x14ac:dyDescent="0.3">
      <c r="A38" s="8" t="s">
        <v>1822</v>
      </c>
      <c r="B38" s="8">
        <v>1503050</v>
      </c>
      <c r="C38" s="8">
        <v>3.6</v>
      </c>
      <c r="D38" s="9" t="s">
        <v>77</v>
      </c>
      <c r="E38" s="59">
        <v>12</v>
      </c>
      <c r="F38" s="56" t="s">
        <v>34</v>
      </c>
      <c r="G38" s="63">
        <f t="shared" si="2"/>
        <v>0</v>
      </c>
      <c r="H38" s="63">
        <v>0</v>
      </c>
      <c r="J38" s="57"/>
    </row>
    <row r="39" spans="1:10" x14ac:dyDescent="0.3">
      <c r="A39" s="8" t="s">
        <v>1823</v>
      </c>
      <c r="B39" s="8">
        <v>1503050</v>
      </c>
      <c r="C39" s="8">
        <v>3.7</v>
      </c>
      <c r="D39" s="9" t="s">
        <v>79</v>
      </c>
      <c r="E39" s="59">
        <v>12</v>
      </c>
      <c r="F39" s="56" t="s">
        <v>34</v>
      </c>
      <c r="G39" s="63">
        <f t="shared" si="2"/>
        <v>0</v>
      </c>
      <c r="H39" s="63">
        <v>0</v>
      </c>
      <c r="J39" s="57"/>
    </row>
    <row r="40" spans="1:10" ht="12.75" customHeight="1" x14ac:dyDescent="0.3">
      <c r="A40" s="13"/>
      <c r="B40" s="13"/>
      <c r="C40" s="13"/>
      <c r="D40" s="144" t="s">
        <v>1824</v>
      </c>
      <c r="E40" s="59">
        <v>12</v>
      </c>
      <c r="F40" s="56" t="s">
        <v>34</v>
      </c>
      <c r="G40" s="63">
        <f t="shared" ref="G40:H40" si="3">SUM(G32:G39)</f>
        <v>0</v>
      </c>
      <c r="H40" s="63">
        <f t="shared" si="3"/>
        <v>0</v>
      </c>
      <c r="J40" s="57"/>
    </row>
    <row r="41" spans="1:10" x14ac:dyDescent="0.3">
      <c r="A41" s="13" t="s">
        <v>1825</v>
      </c>
      <c r="B41" s="13">
        <v>1503050</v>
      </c>
      <c r="C41" s="8"/>
      <c r="D41" s="192" t="s">
        <v>82</v>
      </c>
      <c r="E41" s="56"/>
      <c r="F41" s="56"/>
      <c r="G41" s="63"/>
      <c r="H41" s="63"/>
      <c r="J41" s="57"/>
    </row>
    <row r="42" spans="1:10" x14ac:dyDescent="0.3">
      <c r="A42" s="8" t="s">
        <v>1826</v>
      </c>
      <c r="B42" s="8">
        <v>1503050</v>
      </c>
      <c r="C42" s="8">
        <v>3.1</v>
      </c>
      <c r="D42" s="9" t="s">
        <v>84</v>
      </c>
      <c r="E42" s="59">
        <v>12</v>
      </c>
      <c r="F42" s="56" t="s">
        <v>34</v>
      </c>
      <c r="G42" s="63">
        <f t="shared" ref="G42:G49" si="4">H42/E42</f>
        <v>0</v>
      </c>
      <c r="H42" s="63">
        <v>0</v>
      </c>
      <c r="J42" s="57"/>
    </row>
    <row r="43" spans="1:10" x14ac:dyDescent="0.3">
      <c r="A43" s="8" t="s">
        <v>1827</v>
      </c>
      <c r="B43" s="8">
        <v>1503050</v>
      </c>
      <c r="C43" s="8">
        <v>3.1</v>
      </c>
      <c r="D43" s="9" t="s">
        <v>86</v>
      </c>
      <c r="E43" s="59">
        <v>12</v>
      </c>
      <c r="F43" s="56" t="s">
        <v>34</v>
      </c>
      <c r="G43" s="63">
        <f t="shared" si="4"/>
        <v>0</v>
      </c>
      <c r="H43" s="63">
        <v>0</v>
      </c>
      <c r="J43" s="57"/>
    </row>
    <row r="44" spans="1:10" x14ac:dyDescent="0.3">
      <c r="A44" s="8" t="s">
        <v>1828</v>
      </c>
      <c r="B44" s="8">
        <v>1503050</v>
      </c>
      <c r="C44" s="8">
        <v>3.1</v>
      </c>
      <c r="D44" s="9" t="s">
        <v>88</v>
      </c>
      <c r="E44" s="59">
        <v>12</v>
      </c>
      <c r="F44" s="56" t="s">
        <v>34</v>
      </c>
      <c r="G44" s="63">
        <f t="shared" si="4"/>
        <v>0</v>
      </c>
      <c r="H44" s="63">
        <v>0</v>
      </c>
      <c r="J44" s="57"/>
    </row>
    <row r="45" spans="1:10" x14ac:dyDescent="0.3">
      <c r="A45" s="8" t="s">
        <v>1829</v>
      </c>
      <c r="B45" s="8">
        <v>1503050</v>
      </c>
      <c r="C45" s="8">
        <v>3.2</v>
      </c>
      <c r="D45" s="9" t="s">
        <v>90</v>
      </c>
      <c r="E45" s="59">
        <v>12</v>
      </c>
      <c r="F45" s="56" t="s">
        <v>34</v>
      </c>
      <c r="G45" s="63">
        <f t="shared" si="4"/>
        <v>0</v>
      </c>
      <c r="H45" s="63">
        <v>0</v>
      </c>
      <c r="J45" s="57"/>
    </row>
    <row r="46" spans="1:10" x14ac:dyDescent="0.3">
      <c r="A46" s="8" t="s">
        <v>1830</v>
      </c>
      <c r="B46" s="8">
        <v>1503050</v>
      </c>
      <c r="C46" s="8">
        <v>3.3</v>
      </c>
      <c r="D46" s="9" t="s">
        <v>92</v>
      </c>
      <c r="E46" s="59">
        <v>12</v>
      </c>
      <c r="F46" s="56" t="s">
        <v>34</v>
      </c>
      <c r="G46" s="63">
        <f t="shared" si="4"/>
        <v>0</v>
      </c>
      <c r="H46" s="63">
        <v>0</v>
      </c>
      <c r="J46" s="57"/>
    </row>
    <row r="47" spans="1:10" x14ac:dyDescent="0.3">
      <c r="A47" s="8" t="s">
        <v>1831</v>
      </c>
      <c r="B47" s="8">
        <v>1503050</v>
      </c>
      <c r="C47" s="8">
        <v>3.5</v>
      </c>
      <c r="D47" s="9" t="s">
        <v>94</v>
      </c>
      <c r="E47" s="59">
        <v>12</v>
      </c>
      <c r="F47" s="56" t="s">
        <v>34</v>
      </c>
      <c r="G47" s="63">
        <f t="shared" si="4"/>
        <v>0</v>
      </c>
      <c r="H47" s="63">
        <v>0</v>
      </c>
      <c r="J47" s="57"/>
    </row>
    <row r="48" spans="1:10" x14ac:dyDescent="0.3">
      <c r="A48" s="8" t="s">
        <v>1832</v>
      </c>
      <c r="B48" s="8">
        <v>1503050</v>
      </c>
      <c r="C48" s="8">
        <v>3.6</v>
      </c>
      <c r="D48" s="9" t="s">
        <v>96</v>
      </c>
      <c r="E48" s="59">
        <v>12</v>
      </c>
      <c r="F48" s="56" t="s">
        <v>34</v>
      </c>
      <c r="G48" s="63">
        <f t="shared" si="4"/>
        <v>0</v>
      </c>
      <c r="H48" s="63">
        <v>0</v>
      </c>
      <c r="J48" s="57"/>
    </row>
    <row r="49" spans="1:10" x14ac:dyDescent="0.3">
      <c r="A49" s="8" t="s">
        <v>1833</v>
      </c>
      <c r="B49" s="8">
        <v>1503050</v>
      </c>
      <c r="C49" s="8">
        <v>3.7</v>
      </c>
      <c r="D49" s="9" t="s">
        <v>98</v>
      </c>
      <c r="E49" s="59">
        <v>12</v>
      </c>
      <c r="F49" s="56" t="s">
        <v>34</v>
      </c>
      <c r="G49" s="63">
        <f t="shared" si="4"/>
        <v>0</v>
      </c>
      <c r="H49" s="63">
        <v>0</v>
      </c>
      <c r="J49" s="57"/>
    </row>
    <row r="50" spans="1:10" x14ac:dyDescent="0.3">
      <c r="A50" s="13"/>
      <c r="B50" s="13"/>
      <c r="C50" s="13"/>
      <c r="D50" s="144" t="s">
        <v>1834</v>
      </c>
      <c r="E50" s="59">
        <v>12</v>
      </c>
      <c r="F50" s="56" t="s">
        <v>34</v>
      </c>
      <c r="G50" s="63">
        <f t="shared" ref="G50:H50" si="5">SUM(G42:G49)</f>
        <v>0</v>
      </c>
      <c r="H50" s="63">
        <f t="shared" si="5"/>
        <v>0</v>
      </c>
      <c r="J50" s="57"/>
    </row>
    <row r="51" spans="1:10" ht="12.75" customHeight="1" x14ac:dyDescent="0.3">
      <c r="A51" s="13" t="s">
        <v>1835</v>
      </c>
      <c r="B51" s="13">
        <v>1503050</v>
      </c>
      <c r="C51" s="13"/>
      <c r="D51" s="192" t="s">
        <v>101</v>
      </c>
      <c r="E51" s="56"/>
      <c r="F51" s="56"/>
      <c r="G51" s="63"/>
      <c r="H51" s="63"/>
      <c r="J51" s="57"/>
    </row>
    <row r="52" spans="1:10" x14ac:dyDescent="0.3">
      <c r="A52" s="8" t="s">
        <v>1836</v>
      </c>
      <c r="B52" s="8">
        <v>1503050</v>
      </c>
      <c r="C52" s="8">
        <v>3.1</v>
      </c>
      <c r="D52" s="4" t="s">
        <v>2877</v>
      </c>
      <c r="E52" s="59">
        <v>12</v>
      </c>
      <c r="F52" s="56" t="s">
        <v>34</v>
      </c>
      <c r="G52" s="63">
        <f t="shared" ref="G52:G59" si="6">H52/E52</f>
        <v>0</v>
      </c>
      <c r="H52" s="63">
        <v>0</v>
      </c>
      <c r="J52" s="57"/>
    </row>
    <row r="53" spans="1:10" x14ac:dyDescent="0.3">
      <c r="A53" s="8" t="s">
        <v>1837</v>
      </c>
      <c r="B53" s="8">
        <v>1503050</v>
      </c>
      <c r="C53" s="8">
        <v>3.1</v>
      </c>
      <c r="D53" s="4" t="s">
        <v>2878</v>
      </c>
      <c r="E53" s="59">
        <v>12</v>
      </c>
      <c r="F53" s="56" t="s">
        <v>34</v>
      </c>
      <c r="G53" s="63">
        <f t="shared" si="6"/>
        <v>0</v>
      </c>
      <c r="H53" s="63">
        <v>0</v>
      </c>
      <c r="J53" s="57"/>
    </row>
    <row r="54" spans="1:10" x14ac:dyDescent="0.3">
      <c r="A54" s="8" t="s">
        <v>1838</v>
      </c>
      <c r="B54" s="8">
        <v>1503050</v>
      </c>
      <c r="C54" s="8">
        <v>3.1</v>
      </c>
      <c r="D54" s="4" t="s">
        <v>105</v>
      </c>
      <c r="E54" s="59">
        <v>12</v>
      </c>
      <c r="F54" s="56" t="s">
        <v>34</v>
      </c>
      <c r="G54" s="63">
        <f t="shared" si="6"/>
        <v>0</v>
      </c>
      <c r="H54" s="63">
        <v>0</v>
      </c>
      <c r="J54" s="57"/>
    </row>
    <row r="55" spans="1:10" ht="12.75" customHeight="1" x14ac:dyDescent="0.3">
      <c r="A55" s="8" t="s">
        <v>1839</v>
      </c>
      <c r="B55" s="8">
        <v>1503050</v>
      </c>
      <c r="C55" s="8">
        <v>3.2</v>
      </c>
      <c r="D55" s="60" t="s">
        <v>2879</v>
      </c>
      <c r="E55" s="59">
        <v>12</v>
      </c>
      <c r="F55" s="56" t="s">
        <v>34</v>
      </c>
      <c r="G55" s="63">
        <f t="shared" si="6"/>
        <v>0</v>
      </c>
      <c r="H55" s="63">
        <v>0</v>
      </c>
      <c r="J55" s="57"/>
    </row>
    <row r="56" spans="1:10" x14ac:dyDescent="0.3">
      <c r="A56" s="8" t="s">
        <v>1840</v>
      </c>
      <c r="B56" s="8">
        <v>1503050</v>
      </c>
      <c r="C56" s="8">
        <v>3.3</v>
      </c>
      <c r="D56" s="9" t="s">
        <v>108</v>
      </c>
      <c r="E56" s="59">
        <v>12</v>
      </c>
      <c r="F56" s="56" t="s">
        <v>34</v>
      </c>
      <c r="G56" s="63">
        <f t="shared" si="6"/>
        <v>0</v>
      </c>
      <c r="H56" s="63">
        <v>0</v>
      </c>
      <c r="J56" s="57"/>
    </row>
    <row r="57" spans="1:10" x14ac:dyDescent="0.3">
      <c r="A57" s="8" t="s">
        <v>1841</v>
      </c>
      <c r="B57" s="8">
        <v>1503050</v>
      </c>
      <c r="C57" s="8">
        <v>3.5</v>
      </c>
      <c r="D57" s="9" t="s">
        <v>2880</v>
      </c>
      <c r="E57" s="59">
        <v>12</v>
      </c>
      <c r="F57" s="56" t="s">
        <v>34</v>
      </c>
      <c r="G57" s="63">
        <f t="shared" si="6"/>
        <v>0</v>
      </c>
      <c r="H57" s="63">
        <v>0</v>
      </c>
      <c r="J57" s="57"/>
    </row>
    <row r="58" spans="1:10" x14ac:dyDescent="0.3">
      <c r="A58" s="8" t="s">
        <v>1842</v>
      </c>
      <c r="B58" s="8">
        <v>1503050</v>
      </c>
      <c r="C58" s="8">
        <v>3.6</v>
      </c>
      <c r="D58" s="9" t="s">
        <v>111</v>
      </c>
      <c r="E58" s="59">
        <v>12</v>
      </c>
      <c r="F58" s="56" t="s">
        <v>34</v>
      </c>
      <c r="G58" s="63">
        <f t="shared" si="6"/>
        <v>0</v>
      </c>
      <c r="H58" s="63">
        <v>0</v>
      </c>
      <c r="J58" s="57"/>
    </row>
    <row r="59" spans="1:10" x14ac:dyDescent="0.3">
      <c r="A59" s="8" t="s">
        <v>1843</v>
      </c>
      <c r="B59" s="8">
        <v>1503050</v>
      </c>
      <c r="C59" s="8">
        <v>3.7</v>
      </c>
      <c r="D59" s="9" t="s">
        <v>113</v>
      </c>
      <c r="E59" s="59">
        <v>12</v>
      </c>
      <c r="F59" s="56" t="s">
        <v>34</v>
      </c>
      <c r="G59" s="63">
        <f t="shared" si="6"/>
        <v>0</v>
      </c>
      <c r="H59" s="63">
        <v>0</v>
      </c>
      <c r="J59" s="57"/>
    </row>
    <row r="60" spans="1:10" x14ac:dyDescent="0.3">
      <c r="A60" s="13"/>
      <c r="B60" s="13"/>
      <c r="C60" s="13"/>
      <c r="D60" s="144" t="s">
        <v>1844</v>
      </c>
      <c r="E60" s="59">
        <v>12</v>
      </c>
      <c r="F60" s="56" t="s">
        <v>34</v>
      </c>
      <c r="G60" s="63">
        <f t="shared" ref="G60:H60" si="7">SUM(G52:G59)</f>
        <v>0</v>
      </c>
      <c r="H60" s="63">
        <f t="shared" si="7"/>
        <v>0</v>
      </c>
      <c r="J60" s="57"/>
    </row>
    <row r="61" spans="1:10" x14ac:dyDescent="0.3">
      <c r="A61" s="13" t="s">
        <v>1845</v>
      </c>
      <c r="B61" s="13">
        <v>1503050</v>
      </c>
      <c r="C61" s="8"/>
      <c r="D61" s="192" t="s">
        <v>116</v>
      </c>
      <c r="E61" s="56"/>
      <c r="F61" s="56"/>
      <c r="G61" s="63"/>
      <c r="H61" s="63"/>
      <c r="J61" s="57"/>
    </row>
    <row r="62" spans="1:10" x14ac:dyDescent="0.3">
      <c r="A62" s="8" t="s">
        <v>1846</v>
      </c>
      <c r="B62" s="8">
        <v>1503050</v>
      </c>
      <c r="C62" s="8">
        <v>3.1</v>
      </c>
      <c r="D62" s="9" t="s">
        <v>2881</v>
      </c>
      <c r="E62" s="59">
        <v>12</v>
      </c>
      <c r="F62" s="56" t="s">
        <v>34</v>
      </c>
      <c r="G62" s="63">
        <f t="shared" ref="G62:G69" si="8">H62/E62</f>
        <v>0</v>
      </c>
      <c r="H62" s="63">
        <v>0</v>
      </c>
      <c r="J62" s="57"/>
    </row>
    <row r="63" spans="1:10" x14ac:dyDescent="0.3">
      <c r="A63" s="8" t="s">
        <v>1847</v>
      </c>
      <c r="B63" s="8">
        <v>1503050</v>
      </c>
      <c r="C63" s="8">
        <v>3.1</v>
      </c>
      <c r="D63" s="9" t="s">
        <v>2882</v>
      </c>
      <c r="E63" s="59">
        <v>12</v>
      </c>
      <c r="F63" s="56" t="s">
        <v>34</v>
      </c>
      <c r="G63" s="63">
        <f t="shared" si="8"/>
        <v>0</v>
      </c>
      <c r="H63" s="63">
        <v>0</v>
      </c>
      <c r="J63" s="57"/>
    </row>
    <row r="64" spans="1:10" x14ac:dyDescent="0.3">
      <c r="A64" s="8" t="s">
        <v>1848</v>
      </c>
      <c r="B64" s="8">
        <v>1503050</v>
      </c>
      <c r="C64" s="8">
        <v>3.1</v>
      </c>
      <c r="D64" s="9" t="s">
        <v>120</v>
      </c>
      <c r="E64" s="59">
        <v>12</v>
      </c>
      <c r="F64" s="56" t="s">
        <v>34</v>
      </c>
      <c r="G64" s="63">
        <f t="shared" si="8"/>
        <v>0</v>
      </c>
      <c r="H64" s="63">
        <v>0</v>
      </c>
      <c r="J64" s="57"/>
    </row>
    <row r="65" spans="1:10" x14ac:dyDescent="0.3">
      <c r="A65" s="8" t="s">
        <v>1849</v>
      </c>
      <c r="B65" s="8">
        <v>1503050</v>
      </c>
      <c r="C65" s="8">
        <v>3.2</v>
      </c>
      <c r="D65" s="9" t="s">
        <v>2883</v>
      </c>
      <c r="E65" s="59">
        <v>12</v>
      </c>
      <c r="F65" s="56" t="s">
        <v>34</v>
      </c>
      <c r="G65" s="63">
        <f t="shared" si="8"/>
        <v>0</v>
      </c>
      <c r="H65" s="63">
        <v>0</v>
      </c>
      <c r="J65" s="57"/>
    </row>
    <row r="66" spans="1:10" x14ac:dyDescent="0.3">
      <c r="A66" s="8" t="s">
        <v>1850</v>
      </c>
      <c r="B66" s="8">
        <v>1503050</v>
      </c>
      <c r="C66" s="8">
        <v>3.3</v>
      </c>
      <c r="D66" s="9" t="s">
        <v>2884</v>
      </c>
      <c r="E66" s="59">
        <v>12</v>
      </c>
      <c r="F66" s="56" t="s">
        <v>34</v>
      </c>
      <c r="G66" s="63">
        <f t="shared" si="8"/>
        <v>0</v>
      </c>
      <c r="H66" s="63">
        <v>0</v>
      </c>
      <c r="J66" s="57"/>
    </row>
    <row r="67" spans="1:10" x14ac:dyDescent="0.3">
      <c r="A67" s="8" t="s">
        <v>1851</v>
      </c>
      <c r="B67" s="8">
        <v>1503050</v>
      </c>
      <c r="C67" s="8">
        <v>3.5</v>
      </c>
      <c r="D67" s="9" t="s">
        <v>2885</v>
      </c>
      <c r="E67" s="59">
        <v>12</v>
      </c>
      <c r="F67" s="56" t="s">
        <v>34</v>
      </c>
      <c r="G67" s="63">
        <f t="shared" si="8"/>
        <v>0</v>
      </c>
      <c r="H67" s="63">
        <v>0</v>
      </c>
      <c r="J67" s="57"/>
    </row>
    <row r="68" spans="1:10" x14ac:dyDescent="0.3">
      <c r="A68" s="8" t="s">
        <v>1852</v>
      </c>
      <c r="B68" s="8">
        <v>1503050</v>
      </c>
      <c r="C68" s="8">
        <v>3.6</v>
      </c>
      <c r="D68" s="9" t="s">
        <v>125</v>
      </c>
      <c r="E68" s="59">
        <v>12</v>
      </c>
      <c r="F68" s="56" t="s">
        <v>34</v>
      </c>
      <c r="G68" s="63">
        <f t="shared" si="8"/>
        <v>0</v>
      </c>
      <c r="H68" s="63">
        <v>0</v>
      </c>
      <c r="J68" s="57"/>
    </row>
    <row r="69" spans="1:10" x14ac:dyDescent="0.3">
      <c r="A69" s="8" t="s">
        <v>1853</v>
      </c>
      <c r="B69" s="8">
        <v>1503050</v>
      </c>
      <c r="C69" s="8">
        <v>3.7</v>
      </c>
      <c r="D69" s="9" t="s">
        <v>127</v>
      </c>
      <c r="E69" s="59">
        <v>12</v>
      </c>
      <c r="F69" s="56" t="s">
        <v>34</v>
      </c>
      <c r="G69" s="63">
        <f t="shared" si="8"/>
        <v>0</v>
      </c>
      <c r="H69" s="63">
        <v>0</v>
      </c>
      <c r="J69" s="57"/>
    </row>
    <row r="70" spans="1:10" x14ac:dyDescent="0.3">
      <c r="A70" s="13"/>
      <c r="B70" s="13"/>
      <c r="C70" s="13"/>
      <c r="D70" s="144" t="s">
        <v>1854</v>
      </c>
      <c r="E70" s="59">
        <v>12</v>
      </c>
      <c r="F70" s="56" t="s">
        <v>34</v>
      </c>
      <c r="G70" s="63">
        <f t="shared" ref="G70:H70" si="9">SUM(G62:G69)</f>
        <v>0</v>
      </c>
      <c r="H70" s="63">
        <f t="shared" si="9"/>
        <v>0</v>
      </c>
      <c r="J70" s="57"/>
    </row>
    <row r="71" spans="1:10" ht="12.75" customHeight="1" x14ac:dyDescent="0.3">
      <c r="A71" s="13" t="s">
        <v>1855</v>
      </c>
      <c r="B71" s="13">
        <v>1503050</v>
      </c>
      <c r="C71" s="13"/>
      <c r="D71" s="192" t="s">
        <v>130</v>
      </c>
      <c r="E71" s="56"/>
      <c r="F71" s="56"/>
      <c r="G71" s="63"/>
      <c r="H71" s="63"/>
      <c r="J71" s="57"/>
    </row>
    <row r="72" spans="1:10" x14ac:dyDescent="0.3">
      <c r="A72" s="8" t="s">
        <v>1856</v>
      </c>
      <c r="B72" s="8">
        <v>1503050</v>
      </c>
      <c r="C72" s="8">
        <v>3.1</v>
      </c>
      <c r="D72" s="4" t="s">
        <v>2886</v>
      </c>
      <c r="E72" s="59">
        <v>12</v>
      </c>
      <c r="F72" s="56" t="s">
        <v>34</v>
      </c>
      <c r="G72" s="63">
        <f t="shared" ref="G72:G79" si="10">H72/E72</f>
        <v>0</v>
      </c>
      <c r="H72" s="63">
        <v>0</v>
      </c>
      <c r="J72" s="57"/>
    </row>
    <row r="73" spans="1:10" x14ac:dyDescent="0.3">
      <c r="A73" s="8" t="s">
        <v>1857</v>
      </c>
      <c r="B73" s="8">
        <v>1503050</v>
      </c>
      <c r="C73" s="8">
        <v>3.1</v>
      </c>
      <c r="D73" s="4" t="s">
        <v>133</v>
      </c>
      <c r="E73" s="59">
        <v>12</v>
      </c>
      <c r="F73" s="56" t="s">
        <v>34</v>
      </c>
      <c r="G73" s="63">
        <f t="shared" si="10"/>
        <v>0</v>
      </c>
      <c r="H73" s="63">
        <v>0</v>
      </c>
      <c r="J73" s="57"/>
    </row>
    <row r="74" spans="1:10" x14ac:dyDescent="0.3">
      <c r="A74" s="8" t="s">
        <v>1858</v>
      </c>
      <c r="B74" s="8">
        <v>1503050</v>
      </c>
      <c r="C74" s="8">
        <v>3.1</v>
      </c>
      <c r="D74" s="4" t="s">
        <v>135</v>
      </c>
      <c r="E74" s="59">
        <v>12</v>
      </c>
      <c r="F74" s="56" t="s">
        <v>34</v>
      </c>
      <c r="G74" s="63">
        <f t="shared" si="10"/>
        <v>0</v>
      </c>
      <c r="H74" s="63">
        <v>0</v>
      </c>
      <c r="J74" s="57"/>
    </row>
    <row r="75" spans="1:10" ht="12.75" customHeight="1" x14ac:dyDescent="0.3">
      <c r="A75" s="8" t="s">
        <v>1859</v>
      </c>
      <c r="B75" s="8">
        <v>1503050</v>
      </c>
      <c r="C75" s="8">
        <v>3.2</v>
      </c>
      <c r="D75" s="60" t="s">
        <v>137</v>
      </c>
      <c r="E75" s="59">
        <v>12</v>
      </c>
      <c r="F75" s="56" t="s">
        <v>34</v>
      </c>
      <c r="G75" s="63">
        <f t="shared" si="10"/>
        <v>0</v>
      </c>
      <c r="H75" s="63">
        <v>0</v>
      </c>
      <c r="J75" s="57"/>
    </row>
    <row r="76" spans="1:10" x14ac:dyDescent="0.3">
      <c r="A76" s="8" t="s">
        <v>1860</v>
      </c>
      <c r="B76" s="8">
        <v>1503050</v>
      </c>
      <c r="C76" s="8">
        <v>3.3</v>
      </c>
      <c r="D76" s="9" t="s">
        <v>139</v>
      </c>
      <c r="E76" s="59">
        <v>12</v>
      </c>
      <c r="F76" s="56" t="s">
        <v>34</v>
      </c>
      <c r="G76" s="63">
        <f t="shared" si="10"/>
        <v>0</v>
      </c>
      <c r="H76" s="63">
        <v>0</v>
      </c>
      <c r="J76" s="57"/>
    </row>
    <row r="77" spans="1:10" x14ac:dyDescent="0.3">
      <c r="A77" s="8" t="s">
        <v>1861</v>
      </c>
      <c r="B77" s="8">
        <v>1503050</v>
      </c>
      <c r="C77" s="8">
        <v>3.5</v>
      </c>
      <c r="D77" s="9" t="s">
        <v>2887</v>
      </c>
      <c r="E77" s="59">
        <v>12</v>
      </c>
      <c r="F77" s="56" t="s">
        <v>34</v>
      </c>
      <c r="G77" s="63">
        <f t="shared" si="10"/>
        <v>0</v>
      </c>
      <c r="H77" s="63">
        <v>0</v>
      </c>
      <c r="J77" s="57"/>
    </row>
    <row r="78" spans="1:10" x14ac:dyDescent="0.3">
      <c r="A78" s="8" t="s">
        <v>1862</v>
      </c>
      <c r="B78" s="8">
        <v>1503050</v>
      </c>
      <c r="C78" s="8">
        <v>3.6</v>
      </c>
      <c r="D78" s="9" t="s">
        <v>142</v>
      </c>
      <c r="E78" s="59">
        <v>12</v>
      </c>
      <c r="F78" s="56" t="s">
        <v>34</v>
      </c>
      <c r="G78" s="63">
        <f t="shared" si="10"/>
        <v>0</v>
      </c>
      <c r="H78" s="63">
        <v>0</v>
      </c>
      <c r="J78" s="57"/>
    </row>
    <row r="79" spans="1:10" x14ac:dyDescent="0.3">
      <c r="A79" s="8" t="s">
        <v>1863</v>
      </c>
      <c r="B79" s="8">
        <v>1503050</v>
      </c>
      <c r="C79" s="8">
        <v>3.7</v>
      </c>
      <c r="D79" s="9" t="s">
        <v>144</v>
      </c>
      <c r="E79" s="59">
        <v>12</v>
      </c>
      <c r="F79" s="56" t="s">
        <v>34</v>
      </c>
      <c r="G79" s="63">
        <f t="shared" si="10"/>
        <v>0</v>
      </c>
      <c r="H79" s="63">
        <v>0</v>
      </c>
      <c r="J79" s="57"/>
    </row>
    <row r="80" spans="1:10" x14ac:dyDescent="0.3">
      <c r="A80" s="13"/>
      <c r="B80" s="13"/>
      <c r="C80" s="13"/>
      <c r="D80" s="144" t="s">
        <v>1864</v>
      </c>
      <c r="E80" s="59">
        <v>12</v>
      </c>
      <c r="F80" s="56" t="s">
        <v>34</v>
      </c>
      <c r="G80" s="63">
        <f t="shared" ref="G80:H80" si="11">SUM(G72:G79)</f>
        <v>0</v>
      </c>
      <c r="H80" s="63">
        <f t="shared" si="11"/>
        <v>0</v>
      </c>
      <c r="J80" s="57"/>
    </row>
    <row r="81" spans="1:10" x14ac:dyDescent="0.3">
      <c r="A81" s="13" t="s">
        <v>1794</v>
      </c>
      <c r="B81" s="13">
        <v>1503050</v>
      </c>
      <c r="C81" s="13" t="s">
        <v>14</v>
      </c>
      <c r="D81" s="144" t="s">
        <v>146</v>
      </c>
      <c r="E81" s="59">
        <v>12</v>
      </c>
      <c r="F81" s="56" t="s">
        <v>34</v>
      </c>
      <c r="G81" s="63">
        <f>G80+G70+G60+G50+G40+G30+G20</f>
        <v>0</v>
      </c>
      <c r="H81" s="63">
        <f>H80+H70+H60+H50+H40+H30+H20</f>
        <v>0</v>
      </c>
      <c r="J81" s="57" t="s">
        <v>14</v>
      </c>
    </row>
    <row r="82" spans="1:10" x14ac:dyDescent="0.3">
      <c r="A82" s="13" t="s">
        <v>1865</v>
      </c>
      <c r="B82" s="147">
        <v>1503050</v>
      </c>
      <c r="C82" s="148"/>
      <c r="D82" s="185" t="s">
        <v>2706</v>
      </c>
      <c r="E82" s="59"/>
      <c r="F82" s="56"/>
      <c r="G82" s="63"/>
      <c r="H82" s="63"/>
      <c r="J82" s="57"/>
    </row>
    <row r="83" spans="1:10" x14ac:dyDescent="0.3">
      <c r="A83" s="13" t="s">
        <v>3266</v>
      </c>
      <c r="B83" s="147">
        <v>1503050</v>
      </c>
      <c r="C83" s="148"/>
      <c r="D83" s="186" t="s">
        <v>2710</v>
      </c>
      <c r="E83" s="59"/>
      <c r="F83" s="56"/>
      <c r="G83" s="63"/>
      <c r="H83" s="63"/>
      <c r="J83" s="57"/>
    </row>
    <row r="84" spans="1:10" x14ac:dyDescent="0.3">
      <c r="A84" s="8" t="s">
        <v>3267</v>
      </c>
      <c r="B84" s="8">
        <v>1503050</v>
      </c>
      <c r="C84" s="149">
        <v>3.1</v>
      </c>
      <c r="D84" s="150" t="s">
        <v>2859</v>
      </c>
      <c r="E84" s="194">
        <v>12</v>
      </c>
      <c r="F84" s="195" t="s">
        <v>34</v>
      </c>
      <c r="G84" s="196">
        <f t="shared" ref="G84:G90" si="12">H84/E84</f>
        <v>0</v>
      </c>
      <c r="H84" s="196">
        <v>0</v>
      </c>
      <c r="J84" s="57"/>
    </row>
    <row r="85" spans="1:10" x14ac:dyDescent="0.3">
      <c r="A85" s="8" t="s">
        <v>3269</v>
      </c>
      <c r="B85" s="8">
        <v>1503050</v>
      </c>
      <c r="C85" s="8">
        <v>3.1</v>
      </c>
      <c r="D85" s="151" t="s">
        <v>2714</v>
      </c>
      <c r="E85" s="59">
        <v>12</v>
      </c>
      <c r="F85" s="56" t="s">
        <v>34</v>
      </c>
      <c r="G85" s="63">
        <f t="shared" si="12"/>
        <v>0</v>
      </c>
      <c r="H85" s="63">
        <v>0</v>
      </c>
      <c r="J85" s="57"/>
    </row>
    <row r="86" spans="1:10" x14ac:dyDescent="0.3">
      <c r="A86" s="8" t="s">
        <v>3268</v>
      </c>
      <c r="B86" s="8">
        <v>1503050</v>
      </c>
      <c r="C86" s="8">
        <v>3.1</v>
      </c>
      <c r="D86" s="151" t="s">
        <v>2716</v>
      </c>
      <c r="E86" s="59">
        <v>12</v>
      </c>
      <c r="F86" s="56" t="s">
        <v>34</v>
      </c>
      <c r="G86" s="63">
        <f t="shared" si="12"/>
        <v>0</v>
      </c>
      <c r="H86" s="63">
        <v>0</v>
      </c>
      <c r="J86" s="57"/>
    </row>
    <row r="87" spans="1:10" x14ac:dyDescent="0.3">
      <c r="A87" s="8" t="s">
        <v>3270</v>
      </c>
      <c r="B87" s="8">
        <v>1503050</v>
      </c>
      <c r="C87" s="8">
        <v>3.2</v>
      </c>
      <c r="D87" s="60" t="s">
        <v>2718</v>
      </c>
      <c r="E87" s="59">
        <v>12</v>
      </c>
      <c r="F87" s="56" t="s">
        <v>34</v>
      </c>
      <c r="G87" s="63">
        <f t="shared" si="12"/>
        <v>0</v>
      </c>
      <c r="H87" s="63">
        <v>0</v>
      </c>
      <c r="J87" s="57"/>
    </row>
    <row r="88" spans="1:10" x14ac:dyDescent="0.3">
      <c r="A88" s="8" t="s">
        <v>3271</v>
      </c>
      <c r="B88" s="8">
        <v>1503050</v>
      </c>
      <c r="C88" s="8">
        <v>3.3</v>
      </c>
      <c r="D88" s="9" t="s">
        <v>2864</v>
      </c>
      <c r="E88" s="59">
        <v>12</v>
      </c>
      <c r="F88" s="56" t="s">
        <v>34</v>
      </c>
      <c r="G88" s="63">
        <f t="shared" si="12"/>
        <v>0</v>
      </c>
      <c r="H88" s="63">
        <v>0</v>
      </c>
      <c r="J88" s="57"/>
    </row>
    <row r="89" spans="1:10" x14ac:dyDescent="0.3">
      <c r="A89" s="8" t="s">
        <v>3272</v>
      </c>
      <c r="B89" s="8">
        <v>1503050</v>
      </c>
      <c r="C89" s="8">
        <v>3.5</v>
      </c>
      <c r="D89" s="9" t="s">
        <v>2722</v>
      </c>
      <c r="E89" s="59">
        <v>12</v>
      </c>
      <c r="F89" s="56" t="s">
        <v>34</v>
      </c>
      <c r="G89" s="63">
        <f t="shared" si="12"/>
        <v>0</v>
      </c>
      <c r="H89" s="63">
        <v>0</v>
      </c>
      <c r="J89" s="57"/>
    </row>
    <row r="90" spans="1:10" x14ac:dyDescent="0.3">
      <c r="A90" s="8" t="s">
        <v>3273</v>
      </c>
      <c r="B90" s="8">
        <v>1503050</v>
      </c>
      <c r="C90" s="8">
        <v>3.6</v>
      </c>
      <c r="D90" s="9" t="s">
        <v>2724</v>
      </c>
      <c r="E90" s="59">
        <v>12</v>
      </c>
      <c r="F90" s="56" t="s">
        <v>34</v>
      </c>
      <c r="G90" s="63">
        <f t="shared" si="12"/>
        <v>0</v>
      </c>
      <c r="H90" s="63">
        <v>0</v>
      </c>
      <c r="J90" s="57"/>
    </row>
    <row r="91" spans="1:10" x14ac:dyDescent="0.3">
      <c r="A91" s="8" t="s">
        <v>3274</v>
      </c>
      <c r="B91" s="8">
        <v>1503050</v>
      </c>
      <c r="C91" s="8">
        <v>3.7</v>
      </c>
      <c r="D91" s="152" t="s">
        <v>2726</v>
      </c>
      <c r="E91" s="59">
        <v>12</v>
      </c>
      <c r="F91" s="56" t="s">
        <v>34</v>
      </c>
      <c r="G91" s="63">
        <f t="shared" ref="G91:H91" si="13">SUM(G83:G90)</f>
        <v>0</v>
      </c>
      <c r="H91" s="63">
        <f t="shared" si="13"/>
        <v>0</v>
      </c>
      <c r="J91" s="57"/>
    </row>
    <row r="92" spans="1:10" x14ac:dyDescent="0.3">
      <c r="A92" s="13"/>
      <c r="B92" s="13"/>
      <c r="C92" s="13"/>
      <c r="D92" s="153" t="s">
        <v>3275</v>
      </c>
      <c r="E92" s="59">
        <v>12</v>
      </c>
      <c r="F92" s="56" t="s">
        <v>34</v>
      </c>
      <c r="G92" s="63">
        <v>0</v>
      </c>
      <c r="H92" s="63">
        <v>0</v>
      </c>
      <c r="J92" s="57"/>
    </row>
    <row r="93" spans="1:10" x14ac:dyDescent="0.3">
      <c r="A93" s="13" t="s">
        <v>3276</v>
      </c>
      <c r="B93" s="13">
        <v>1503050</v>
      </c>
      <c r="C93" s="8"/>
      <c r="D93" s="154" t="s">
        <v>2611</v>
      </c>
      <c r="E93" s="59"/>
      <c r="F93" s="56"/>
      <c r="G93" s="63"/>
      <c r="H93" s="63"/>
      <c r="J93" s="57"/>
    </row>
    <row r="94" spans="1:10" x14ac:dyDescent="0.3">
      <c r="A94" s="8" t="s">
        <v>3277</v>
      </c>
      <c r="B94" s="8">
        <v>1503050</v>
      </c>
      <c r="C94" s="8">
        <v>3.1</v>
      </c>
      <c r="D94" s="150" t="s">
        <v>2613</v>
      </c>
      <c r="E94" s="59">
        <v>12</v>
      </c>
      <c r="F94" s="56" t="s">
        <v>34</v>
      </c>
      <c r="G94" s="63">
        <f t="shared" ref="G94:G100" si="14">H94/E94</f>
        <v>0</v>
      </c>
      <c r="H94" s="63">
        <v>0</v>
      </c>
      <c r="J94" s="57"/>
    </row>
    <row r="95" spans="1:10" x14ac:dyDescent="0.3">
      <c r="A95" s="8" t="s">
        <v>3278</v>
      </c>
      <c r="B95" s="8">
        <v>1503050</v>
      </c>
      <c r="C95" s="8">
        <v>3.1</v>
      </c>
      <c r="D95" s="151" t="s">
        <v>2615</v>
      </c>
      <c r="E95" s="59">
        <v>12</v>
      </c>
      <c r="F95" s="56" t="s">
        <v>34</v>
      </c>
      <c r="G95" s="63">
        <f t="shared" si="14"/>
        <v>0</v>
      </c>
      <c r="H95" s="63">
        <v>0</v>
      </c>
      <c r="J95" s="57"/>
    </row>
    <row r="96" spans="1:10" x14ac:dyDescent="0.3">
      <c r="A96" s="8" t="s">
        <v>3279</v>
      </c>
      <c r="B96" s="8">
        <v>1503050</v>
      </c>
      <c r="C96" s="8">
        <v>3.1</v>
      </c>
      <c r="D96" s="151" t="s">
        <v>2617</v>
      </c>
      <c r="E96" s="59">
        <v>12</v>
      </c>
      <c r="F96" s="56" t="s">
        <v>34</v>
      </c>
      <c r="G96" s="63">
        <f t="shared" si="14"/>
        <v>0</v>
      </c>
      <c r="H96" s="63">
        <v>0</v>
      </c>
      <c r="J96" s="57"/>
    </row>
    <row r="97" spans="1:10" x14ac:dyDescent="0.3">
      <c r="A97" s="8" t="s">
        <v>3280</v>
      </c>
      <c r="B97" s="8">
        <v>1503050</v>
      </c>
      <c r="C97" s="8">
        <v>3.2</v>
      </c>
      <c r="D97" s="60" t="s">
        <v>2619</v>
      </c>
      <c r="E97" s="59">
        <v>12</v>
      </c>
      <c r="F97" s="56" t="s">
        <v>34</v>
      </c>
      <c r="G97" s="63">
        <f t="shared" si="14"/>
        <v>0</v>
      </c>
      <c r="H97" s="63">
        <v>0</v>
      </c>
      <c r="J97" s="57"/>
    </row>
    <row r="98" spans="1:10" x14ac:dyDescent="0.3">
      <c r="A98" s="8" t="s">
        <v>3281</v>
      </c>
      <c r="B98" s="8">
        <v>1503050</v>
      </c>
      <c r="C98" s="8">
        <v>3.3</v>
      </c>
      <c r="D98" s="9" t="s">
        <v>2621</v>
      </c>
      <c r="E98" s="59">
        <v>12</v>
      </c>
      <c r="F98" s="56" t="s">
        <v>34</v>
      </c>
      <c r="G98" s="63">
        <f t="shared" si="14"/>
        <v>0</v>
      </c>
      <c r="H98" s="63">
        <v>0</v>
      </c>
      <c r="J98" s="57"/>
    </row>
    <row r="99" spans="1:10" x14ac:dyDescent="0.3">
      <c r="A99" s="8" t="s">
        <v>3282</v>
      </c>
      <c r="B99" s="8">
        <v>1503050</v>
      </c>
      <c r="C99" s="8">
        <v>3.5</v>
      </c>
      <c r="D99" s="9" t="s">
        <v>2623</v>
      </c>
      <c r="E99" s="59">
        <v>12</v>
      </c>
      <c r="F99" s="56" t="s">
        <v>34</v>
      </c>
      <c r="G99" s="63">
        <f t="shared" si="14"/>
        <v>0</v>
      </c>
      <c r="H99" s="63">
        <v>0</v>
      </c>
      <c r="J99" s="57"/>
    </row>
    <row r="100" spans="1:10" x14ac:dyDescent="0.3">
      <c r="A100" s="8" t="s">
        <v>3283</v>
      </c>
      <c r="B100" s="8">
        <v>1503050</v>
      </c>
      <c r="C100" s="8">
        <v>3.6</v>
      </c>
      <c r="D100" s="9" t="s">
        <v>2625</v>
      </c>
      <c r="E100" s="59">
        <v>12</v>
      </c>
      <c r="F100" s="56" t="s">
        <v>34</v>
      </c>
      <c r="G100" s="63">
        <f t="shared" si="14"/>
        <v>0</v>
      </c>
      <c r="H100" s="63">
        <v>0</v>
      </c>
      <c r="J100" s="57"/>
    </row>
    <row r="101" spans="1:10" x14ac:dyDescent="0.3">
      <c r="A101" s="8" t="s">
        <v>3284</v>
      </c>
      <c r="B101" s="8">
        <v>1503050</v>
      </c>
      <c r="C101" s="8">
        <v>3.7</v>
      </c>
      <c r="D101" s="152" t="s">
        <v>2627</v>
      </c>
      <c r="E101" s="59">
        <v>12</v>
      </c>
      <c r="F101" s="56" t="s">
        <v>34</v>
      </c>
      <c r="G101" s="63">
        <f t="shared" ref="G101" si="15">SUM(G93:G100)</f>
        <v>0</v>
      </c>
      <c r="H101" s="63">
        <f>SUM(H92:H100)</f>
        <v>0</v>
      </c>
      <c r="J101" s="57"/>
    </row>
    <row r="102" spans="1:10" x14ac:dyDescent="0.3">
      <c r="A102" s="13"/>
      <c r="B102" s="13"/>
      <c r="C102" s="13"/>
      <c r="D102" s="155" t="s">
        <v>3285</v>
      </c>
      <c r="E102" s="59">
        <v>12</v>
      </c>
      <c r="F102" s="59" t="s">
        <v>34</v>
      </c>
      <c r="G102" s="63">
        <v>0</v>
      </c>
      <c r="H102" s="63">
        <v>0</v>
      </c>
      <c r="J102" s="57" t="s">
        <v>14</v>
      </c>
    </row>
    <row r="103" spans="1:10" x14ac:dyDescent="0.3">
      <c r="A103" s="13" t="s">
        <v>3286</v>
      </c>
      <c r="B103" s="147">
        <v>1503050</v>
      </c>
      <c r="C103" s="156"/>
      <c r="D103" s="197" t="s">
        <v>2630</v>
      </c>
      <c r="E103" s="56"/>
      <c r="F103" s="56"/>
      <c r="G103" s="63"/>
      <c r="H103" s="63"/>
      <c r="J103" s="57"/>
    </row>
    <row r="104" spans="1:10" x14ac:dyDescent="0.3">
      <c r="A104" s="8" t="s">
        <v>3287</v>
      </c>
      <c r="B104" s="8">
        <v>1503050</v>
      </c>
      <c r="C104" s="149">
        <v>3.1</v>
      </c>
      <c r="D104" s="150" t="s">
        <v>2632</v>
      </c>
      <c r="E104" s="59">
        <v>12</v>
      </c>
      <c r="F104" s="59" t="s">
        <v>34</v>
      </c>
      <c r="G104" s="63">
        <v>0</v>
      </c>
      <c r="H104" s="63">
        <v>0</v>
      </c>
      <c r="J104" s="57" t="s">
        <v>14</v>
      </c>
    </row>
    <row r="105" spans="1:10" ht="12.75" customHeight="1" x14ac:dyDescent="0.3">
      <c r="A105" s="8" t="s">
        <v>3288</v>
      </c>
      <c r="B105" s="8">
        <v>1503050</v>
      </c>
      <c r="C105" s="8">
        <v>3.1</v>
      </c>
      <c r="D105" s="151" t="s">
        <v>2634</v>
      </c>
      <c r="E105" s="59">
        <v>12</v>
      </c>
      <c r="F105" s="59" t="s">
        <v>34</v>
      </c>
      <c r="G105" s="63">
        <v>0</v>
      </c>
      <c r="H105" s="63">
        <v>0</v>
      </c>
      <c r="J105" s="57"/>
    </row>
    <row r="106" spans="1:10" x14ac:dyDescent="0.3">
      <c r="A106" s="8" t="s">
        <v>3289</v>
      </c>
      <c r="B106" s="8">
        <v>1503050</v>
      </c>
      <c r="C106" s="8">
        <v>3.1</v>
      </c>
      <c r="D106" s="151" t="s">
        <v>2636</v>
      </c>
      <c r="E106" s="59">
        <v>12</v>
      </c>
      <c r="F106" s="56" t="s">
        <v>34</v>
      </c>
      <c r="G106" s="63">
        <f t="shared" ref="G106:G112" si="16">H106/E106</f>
        <v>0</v>
      </c>
      <c r="H106" s="63">
        <v>0</v>
      </c>
      <c r="J106" s="57"/>
    </row>
    <row r="107" spans="1:10" x14ac:dyDescent="0.3">
      <c r="A107" s="8" t="s">
        <v>3290</v>
      </c>
      <c r="B107" s="8">
        <v>1503050</v>
      </c>
      <c r="C107" s="8">
        <v>3.2</v>
      </c>
      <c r="D107" s="60" t="s">
        <v>2638</v>
      </c>
      <c r="E107" s="59">
        <v>12</v>
      </c>
      <c r="F107" s="56" t="s">
        <v>34</v>
      </c>
      <c r="G107" s="63">
        <f t="shared" si="16"/>
        <v>0</v>
      </c>
      <c r="H107" s="63">
        <v>0</v>
      </c>
      <c r="J107" s="57"/>
    </row>
    <row r="108" spans="1:10" x14ac:dyDescent="0.3">
      <c r="A108" s="8" t="s">
        <v>3291</v>
      </c>
      <c r="B108" s="8">
        <v>1503050</v>
      </c>
      <c r="C108" s="8">
        <v>3.3</v>
      </c>
      <c r="D108" s="9" t="s">
        <v>2640</v>
      </c>
      <c r="E108" s="59">
        <v>12</v>
      </c>
      <c r="F108" s="56" t="s">
        <v>34</v>
      </c>
      <c r="G108" s="63">
        <f t="shared" si="16"/>
        <v>0</v>
      </c>
      <c r="H108" s="63">
        <v>0</v>
      </c>
      <c r="J108" s="57"/>
    </row>
    <row r="109" spans="1:10" ht="12.75" customHeight="1" x14ac:dyDescent="0.3">
      <c r="A109" s="8" t="s">
        <v>3292</v>
      </c>
      <c r="B109" s="8">
        <v>1503050</v>
      </c>
      <c r="C109" s="8">
        <v>3.5</v>
      </c>
      <c r="D109" s="9" t="s">
        <v>2642</v>
      </c>
      <c r="E109" s="59">
        <v>12</v>
      </c>
      <c r="F109" s="56" t="s">
        <v>34</v>
      </c>
      <c r="G109" s="63">
        <f t="shared" si="16"/>
        <v>0</v>
      </c>
      <c r="H109" s="63">
        <v>0</v>
      </c>
      <c r="J109" s="57"/>
    </row>
    <row r="110" spans="1:10" x14ac:dyDescent="0.3">
      <c r="A110" s="8" t="s">
        <v>3293</v>
      </c>
      <c r="B110" s="8">
        <v>1503050</v>
      </c>
      <c r="C110" s="8">
        <v>3.6</v>
      </c>
      <c r="D110" s="9" t="s">
        <v>2644</v>
      </c>
      <c r="E110" s="59">
        <v>12</v>
      </c>
      <c r="F110" s="56" t="s">
        <v>34</v>
      </c>
      <c r="G110" s="63">
        <f t="shared" si="16"/>
        <v>0</v>
      </c>
      <c r="H110" s="63">
        <v>0</v>
      </c>
      <c r="J110" s="57"/>
    </row>
    <row r="111" spans="1:10" x14ac:dyDescent="0.3">
      <c r="A111" s="8" t="s">
        <v>3294</v>
      </c>
      <c r="B111" s="8">
        <v>1503050</v>
      </c>
      <c r="C111" s="8">
        <v>3.7</v>
      </c>
      <c r="D111" s="152" t="s">
        <v>2646</v>
      </c>
      <c r="E111" s="59">
        <v>12</v>
      </c>
      <c r="F111" s="56" t="s">
        <v>34</v>
      </c>
      <c r="G111" s="63">
        <f t="shared" si="16"/>
        <v>0</v>
      </c>
      <c r="H111" s="63">
        <v>0</v>
      </c>
      <c r="J111" s="57"/>
    </row>
    <row r="112" spans="1:10" x14ac:dyDescent="0.3">
      <c r="A112" s="13"/>
      <c r="B112" s="13"/>
      <c r="C112" s="13"/>
      <c r="D112" s="153" t="s">
        <v>3295</v>
      </c>
      <c r="E112" s="59">
        <v>12</v>
      </c>
      <c r="F112" s="56" t="s">
        <v>34</v>
      </c>
      <c r="G112" s="63">
        <f t="shared" si="16"/>
        <v>0</v>
      </c>
      <c r="H112" s="63">
        <v>0</v>
      </c>
      <c r="J112" s="57"/>
    </row>
    <row r="113" spans="1:10" x14ac:dyDescent="0.3">
      <c r="A113" s="13" t="s">
        <v>3296</v>
      </c>
      <c r="B113" s="147">
        <v>1503050</v>
      </c>
      <c r="C113" s="156"/>
      <c r="D113" s="197" t="s">
        <v>2649</v>
      </c>
      <c r="E113" s="59"/>
      <c r="F113" s="56"/>
      <c r="G113" s="63"/>
      <c r="H113" s="63"/>
      <c r="J113" s="57"/>
    </row>
    <row r="114" spans="1:10" x14ac:dyDescent="0.3">
      <c r="A114" s="8" t="s">
        <v>3297</v>
      </c>
      <c r="B114" s="8">
        <v>1503050</v>
      </c>
      <c r="C114" s="149">
        <v>3.1</v>
      </c>
      <c r="D114" s="150" t="s">
        <v>2651</v>
      </c>
      <c r="E114" s="59">
        <v>12</v>
      </c>
      <c r="F114" s="56" t="s">
        <v>34</v>
      </c>
      <c r="G114" s="63">
        <f t="shared" ref="G114" si="17">SUM(G106:G113)</f>
        <v>0</v>
      </c>
      <c r="H114" s="63">
        <f>SUM(H104:H113)</f>
        <v>0</v>
      </c>
      <c r="J114" s="57"/>
    </row>
    <row r="115" spans="1:10" x14ac:dyDescent="0.3">
      <c r="A115" s="8" t="s">
        <v>3298</v>
      </c>
      <c r="B115" s="8">
        <v>1503050</v>
      </c>
      <c r="C115" s="8">
        <v>3.1</v>
      </c>
      <c r="D115" s="151" t="s">
        <v>2653</v>
      </c>
      <c r="E115" s="59">
        <v>12</v>
      </c>
      <c r="F115" s="59" t="s">
        <v>34</v>
      </c>
      <c r="G115" s="63">
        <v>0</v>
      </c>
      <c r="H115" s="63">
        <v>0</v>
      </c>
      <c r="J115" s="57"/>
    </row>
    <row r="116" spans="1:10" x14ac:dyDescent="0.3">
      <c r="A116" s="8" t="s">
        <v>3299</v>
      </c>
      <c r="B116" s="8">
        <v>1503050</v>
      </c>
      <c r="C116" s="8">
        <v>3.1</v>
      </c>
      <c r="D116" s="151" t="s">
        <v>2655</v>
      </c>
      <c r="E116" s="59">
        <v>12</v>
      </c>
      <c r="F116" s="56" t="s">
        <v>34</v>
      </c>
      <c r="G116" s="63">
        <f t="shared" ref="G116:G122" si="18">H116/E116</f>
        <v>0</v>
      </c>
      <c r="H116" s="63">
        <v>0</v>
      </c>
      <c r="J116" s="57"/>
    </row>
    <row r="117" spans="1:10" x14ac:dyDescent="0.3">
      <c r="A117" s="8" t="s">
        <v>3300</v>
      </c>
      <c r="B117" s="8">
        <v>1503050</v>
      </c>
      <c r="C117" s="8">
        <v>3.2</v>
      </c>
      <c r="D117" s="60" t="s">
        <v>2657</v>
      </c>
      <c r="E117" s="59">
        <v>12</v>
      </c>
      <c r="F117" s="56" t="s">
        <v>34</v>
      </c>
      <c r="G117" s="63">
        <f t="shared" si="18"/>
        <v>0</v>
      </c>
      <c r="H117" s="63">
        <v>0</v>
      </c>
      <c r="J117" s="57"/>
    </row>
    <row r="118" spans="1:10" x14ac:dyDescent="0.3">
      <c r="A118" s="8" t="s">
        <v>3301</v>
      </c>
      <c r="B118" s="8">
        <v>1503050</v>
      </c>
      <c r="C118" s="8">
        <v>3.3</v>
      </c>
      <c r="D118" s="9" t="s">
        <v>2659</v>
      </c>
      <c r="E118" s="59">
        <v>12</v>
      </c>
      <c r="F118" s="56" t="s">
        <v>34</v>
      </c>
      <c r="G118" s="63">
        <f t="shared" si="18"/>
        <v>0</v>
      </c>
      <c r="H118" s="63">
        <v>0</v>
      </c>
      <c r="J118" s="57"/>
    </row>
    <row r="119" spans="1:10" x14ac:dyDescent="0.3">
      <c r="A119" s="8" t="s">
        <v>3302</v>
      </c>
      <c r="B119" s="8">
        <v>1503050</v>
      </c>
      <c r="C119" s="8">
        <v>3.5</v>
      </c>
      <c r="D119" s="9" t="s">
        <v>2661</v>
      </c>
      <c r="E119" s="59">
        <v>12</v>
      </c>
      <c r="F119" s="56" t="s">
        <v>34</v>
      </c>
      <c r="G119" s="63">
        <f t="shared" si="18"/>
        <v>0</v>
      </c>
      <c r="H119" s="63">
        <v>0</v>
      </c>
      <c r="J119" s="57"/>
    </row>
    <row r="120" spans="1:10" x14ac:dyDescent="0.3">
      <c r="A120" s="8" t="s">
        <v>3303</v>
      </c>
      <c r="B120" s="8">
        <v>1503050</v>
      </c>
      <c r="C120" s="8">
        <v>3.6</v>
      </c>
      <c r="D120" s="9" t="s">
        <v>2663</v>
      </c>
      <c r="E120" s="59">
        <v>12</v>
      </c>
      <c r="F120" s="56" t="s">
        <v>34</v>
      </c>
      <c r="G120" s="63">
        <f t="shared" si="18"/>
        <v>0</v>
      </c>
      <c r="H120" s="63">
        <v>0</v>
      </c>
      <c r="J120" s="57"/>
    </row>
    <row r="121" spans="1:10" x14ac:dyDescent="0.3">
      <c r="A121" s="8" t="s">
        <v>3304</v>
      </c>
      <c r="B121" s="8">
        <v>1503050</v>
      </c>
      <c r="C121" s="8">
        <v>3.7</v>
      </c>
      <c r="D121" s="152" t="s">
        <v>2665</v>
      </c>
      <c r="E121" s="59">
        <v>12</v>
      </c>
      <c r="F121" s="56" t="s">
        <v>34</v>
      </c>
      <c r="G121" s="63">
        <f t="shared" si="18"/>
        <v>0</v>
      </c>
      <c r="H121" s="63">
        <v>0</v>
      </c>
      <c r="J121" s="57"/>
    </row>
    <row r="122" spans="1:10" x14ac:dyDescent="0.3">
      <c r="A122" s="13"/>
      <c r="B122" s="13"/>
      <c r="C122" s="13"/>
      <c r="D122" s="153" t="s">
        <v>3305</v>
      </c>
      <c r="E122" s="59">
        <v>12</v>
      </c>
      <c r="F122" s="56" t="s">
        <v>34</v>
      </c>
      <c r="G122" s="63">
        <f t="shared" si="18"/>
        <v>0</v>
      </c>
      <c r="H122" s="63">
        <v>0</v>
      </c>
      <c r="J122" s="57"/>
    </row>
    <row r="123" spans="1:10" x14ac:dyDescent="0.3">
      <c r="A123" s="13" t="s">
        <v>3306</v>
      </c>
      <c r="B123" s="147">
        <v>1503050</v>
      </c>
      <c r="C123" s="156"/>
      <c r="D123" s="197" t="s">
        <v>2668</v>
      </c>
      <c r="E123" s="59"/>
      <c r="F123" s="56"/>
      <c r="G123" s="63"/>
      <c r="H123" s="63"/>
      <c r="J123" s="57"/>
    </row>
    <row r="124" spans="1:10" x14ac:dyDescent="0.3">
      <c r="A124" s="8" t="s">
        <v>3307</v>
      </c>
      <c r="B124" s="8">
        <v>1503050</v>
      </c>
      <c r="C124" s="149">
        <v>3.1</v>
      </c>
      <c r="D124" s="150" t="s">
        <v>2670</v>
      </c>
      <c r="E124" s="59">
        <v>12</v>
      </c>
      <c r="F124" s="56" t="s">
        <v>34</v>
      </c>
      <c r="G124" s="63">
        <f t="shared" ref="G124" si="19">SUM(G116:G123)</f>
        <v>0</v>
      </c>
      <c r="H124" s="63">
        <f>SUM(H115:H123)</f>
        <v>0</v>
      </c>
      <c r="J124" s="57"/>
    </row>
    <row r="125" spans="1:10" ht="12.75" customHeight="1" x14ac:dyDescent="0.3">
      <c r="A125" s="8" t="s">
        <v>3308</v>
      </c>
      <c r="B125" s="8">
        <v>1503050</v>
      </c>
      <c r="C125" s="8">
        <v>3.1</v>
      </c>
      <c r="D125" s="151" t="s">
        <v>2672</v>
      </c>
      <c r="E125" s="59">
        <v>12</v>
      </c>
      <c r="F125" s="59" t="s">
        <v>34</v>
      </c>
      <c r="G125" s="63">
        <v>0</v>
      </c>
      <c r="H125" s="63">
        <v>0</v>
      </c>
      <c r="J125" s="57"/>
    </row>
    <row r="126" spans="1:10" x14ac:dyDescent="0.3">
      <c r="A126" s="8" t="s">
        <v>3309</v>
      </c>
      <c r="B126" s="8">
        <v>1503050</v>
      </c>
      <c r="C126" s="8">
        <v>3.1</v>
      </c>
      <c r="D126" s="151" t="s">
        <v>2674</v>
      </c>
      <c r="E126" s="59">
        <v>12</v>
      </c>
      <c r="F126" s="56" t="s">
        <v>34</v>
      </c>
      <c r="G126" s="63">
        <f t="shared" ref="G126:G132" si="20">H126/E126</f>
        <v>0</v>
      </c>
      <c r="H126" s="63">
        <v>0</v>
      </c>
      <c r="J126" s="57"/>
    </row>
    <row r="127" spans="1:10" x14ac:dyDescent="0.3">
      <c r="A127" s="8" t="s">
        <v>3310</v>
      </c>
      <c r="B127" s="8">
        <v>1503050</v>
      </c>
      <c r="C127" s="8">
        <v>3.2</v>
      </c>
      <c r="D127" s="60" t="s">
        <v>2676</v>
      </c>
      <c r="E127" s="59">
        <v>12</v>
      </c>
      <c r="F127" s="56" t="s">
        <v>34</v>
      </c>
      <c r="G127" s="63">
        <f t="shared" si="20"/>
        <v>0</v>
      </c>
      <c r="H127" s="63">
        <v>0</v>
      </c>
      <c r="J127" s="57"/>
    </row>
    <row r="128" spans="1:10" x14ac:dyDescent="0.3">
      <c r="A128" s="8" t="s">
        <v>3311</v>
      </c>
      <c r="B128" s="8">
        <v>1503050</v>
      </c>
      <c r="C128" s="8">
        <v>3.3</v>
      </c>
      <c r="D128" s="9" t="s">
        <v>2678</v>
      </c>
      <c r="E128" s="59">
        <v>12</v>
      </c>
      <c r="F128" s="56" t="s">
        <v>34</v>
      </c>
      <c r="G128" s="63">
        <f t="shared" si="20"/>
        <v>0</v>
      </c>
      <c r="H128" s="63">
        <v>0</v>
      </c>
      <c r="J128" s="57"/>
    </row>
    <row r="129" spans="1:10" ht="12.75" customHeight="1" x14ac:dyDescent="0.3">
      <c r="A129" s="8" t="s">
        <v>3312</v>
      </c>
      <c r="B129" s="8">
        <v>1503050</v>
      </c>
      <c r="C129" s="8">
        <v>3.5</v>
      </c>
      <c r="D129" s="9" t="s">
        <v>2680</v>
      </c>
      <c r="E129" s="59">
        <v>12</v>
      </c>
      <c r="F129" s="56" t="s">
        <v>34</v>
      </c>
      <c r="G129" s="63">
        <f t="shared" si="20"/>
        <v>0</v>
      </c>
      <c r="H129" s="63">
        <v>0</v>
      </c>
      <c r="J129" s="57"/>
    </row>
    <row r="130" spans="1:10" x14ac:dyDescent="0.3">
      <c r="A130" s="8" t="s">
        <v>3313</v>
      </c>
      <c r="B130" s="8">
        <v>1503050</v>
      </c>
      <c r="C130" s="8">
        <v>3.6</v>
      </c>
      <c r="D130" s="9" t="s">
        <v>2682</v>
      </c>
      <c r="E130" s="59">
        <v>12</v>
      </c>
      <c r="F130" s="56" t="s">
        <v>34</v>
      </c>
      <c r="G130" s="63">
        <f t="shared" si="20"/>
        <v>0</v>
      </c>
      <c r="H130" s="63">
        <v>0</v>
      </c>
      <c r="J130" s="57"/>
    </row>
    <row r="131" spans="1:10" x14ac:dyDescent="0.3">
      <c r="A131" s="8" t="s">
        <v>3314</v>
      </c>
      <c r="B131" s="8">
        <v>1503050</v>
      </c>
      <c r="C131" s="8">
        <v>3.7</v>
      </c>
      <c r="D131" s="152" t="s">
        <v>2684</v>
      </c>
      <c r="E131" s="59">
        <v>12</v>
      </c>
      <c r="F131" s="56" t="s">
        <v>34</v>
      </c>
      <c r="G131" s="63">
        <f t="shared" si="20"/>
        <v>0</v>
      </c>
      <c r="H131" s="63">
        <v>0</v>
      </c>
      <c r="J131" s="57"/>
    </row>
    <row r="132" spans="1:10" x14ac:dyDescent="0.3">
      <c r="A132" s="13"/>
      <c r="B132" s="13"/>
      <c r="C132" s="13"/>
      <c r="D132" s="153" t="s">
        <v>3315</v>
      </c>
      <c r="E132" s="59">
        <v>12</v>
      </c>
      <c r="F132" s="56" t="s">
        <v>34</v>
      </c>
      <c r="G132" s="63">
        <f t="shared" si="20"/>
        <v>0</v>
      </c>
      <c r="H132" s="63">
        <v>0</v>
      </c>
      <c r="J132" s="57"/>
    </row>
    <row r="133" spans="1:10" x14ac:dyDescent="0.3">
      <c r="A133" s="13" t="s">
        <v>3316</v>
      </c>
      <c r="B133" s="147">
        <v>1503050</v>
      </c>
      <c r="C133" s="156"/>
      <c r="D133" s="197" t="s">
        <v>2687</v>
      </c>
      <c r="E133" s="59"/>
      <c r="F133" s="56"/>
      <c r="G133" s="63"/>
      <c r="H133" s="63"/>
      <c r="J133" s="57"/>
    </row>
    <row r="134" spans="1:10" x14ac:dyDescent="0.3">
      <c r="A134" s="8" t="s">
        <v>3317</v>
      </c>
      <c r="B134" s="8">
        <v>1503050</v>
      </c>
      <c r="C134" s="149">
        <v>3.1</v>
      </c>
      <c r="D134" s="150" t="s">
        <v>2689</v>
      </c>
      <c r="E134" s="59">
        <v>12</v>
      </c>
      <c r="F134" s="56" t="s">
        <v>34</v>
      </c>
      <c r="G134" s="63">
        <f t="shared" ref="G134" si="21">SUM(G126:G133)</f>
        <v>0</v>
      </c>
      <c r="H134" s="63">
        <f>SUM(H125:H133)</f>
        <v>0</v>
      </c>
      <c r="J134" s="57"/>
    </row>
    <row r="135" spans="1:10" x14ac:dyDescent="0.3">
      <c r="A135" s="8" t="s">
        <v>3318</v>
      </c>
      <c r="B135" s="8">
        <v>1503050</v>
      </c>
      <c r="C135" s="8">
        <v>3.1</v>
      </c>
      <c r="D135" s="151" t="s">
        <v>2691</v>
      </c>
      <c r="E135" s="59">
        <v>12</v>
      </c>
      <c r="F135" s="59" t="s">
        <v>34</v>
      </c>
      <c r="G135" s="63">
        <v>0</v>
      </c>
      <c r="H135" s="63">
        <v>0</v>
      </c>
      <c r="J135" s="57"/>
    </row>
    <row r="136" spans="1:10" x14ac:dyDescent="0.3">
      <c r="A136" s="8" t="s">
        <v>3319</v>
      </c>
      <c r="B136" s="8">
        <v>1503050</v>
      </c>
      <c r="C136" s="8">
        <v>3.1</v>
      </c>
      <c r="D136" s="151" t="s">
        <v>2693</v>
      </c>
      <c r="E136" s="59">
        <v>12</v>
      </c>
      <c r="F136" s="56" t="s">
        <v>34</v>
      </c>
      <c r="G136" s="63">
        <f t="shared" ref="G136:G143" si="22">H136/E136</f>
        <v>0</v>
      </c>
      <c r="H136" s="63">
        <v>0</v>
      </c>
      <c r="J136" s="57"/>
    </row>
    <row r="137" spans="1:10" x14ac:dyDescent="0.3">
      <c r="A137" s="8" t="s">
        <v>3320</v>
      </c>
      <c r="B137" s="8">
        <v>1503050</v>
      </c>
      <c r="C137" s="8">
        <v>3.2</v>
      </c>
      <c r="D137" s="60" t="s">
        <v>2695</v>
      </c>
      <c r="E137" s="59">
        <v>12</v>
      </c>
      <c r="F137" s="56" t="s">
        <v>34</v>
      </c>
      <c r="G137" s="63">
        <f t="shared" si="22"/>
        <v>0</v>
      </c>
      <c r="H137" s="63">
        <v>0</v>
      </c>
      <c r="J137" s="57"/>
    </row>
    <row r="138" spans="1:10" x14ac:dyDescent="0.3">
      <c r="A138" s="8" t="s">
        <v>3321</v>
      </c>
      <c r="B138" s="8">
        <v>1503050</v>
      </c>
      <c r="C138" s="8">
        <v>3.3</v>
      </c>
      <c r="D138" s="9" t="s">
        <v>2697</v>
      </c>
      <c r="E138" s="59">
        <v>12</v>
      </c>
      <c r="F138" s="56" t="s">
        <v>34</v>
      </c>
      <c r="G138" s="63">
        <f t="shared" si="22"/>
        <v>0</v>
      </c>
      <c r="H138" s="63">
        <v>0</v>
      </c>
      <c r="J138" s="57"/>
    </row>
    <row r="139" spans="1:10" x14ac:dyDescent="0.3">
      <c r="A139" s="8" t="s">
        <v>3322</v>
      </c>
      <c r="B139" s="8">
        <v>1503050</v>
      </c>
      <c r="C139" s="8">
        <v>3.5</v>
      </c>
      <c r="D139" s="9" t="s">
        <v>2699</v>
      </c>
      <c r="E139" s="59">
        <v>12</v>
      </c>
      <c r="F139" s="56" t="s">
        <v>34</v>
      </c>
      <c r="G139" s="63">
        <f t="shared" si="22"/>
        <v>0</v>
      </c>
      <c r="H139" s="63">
        <v>0</v>
      </c>
      <c r="J139" s="57"/>
    </row>
    <row r="140" spans="1:10" x14ac:dyDescent="0.3">
      <c r="A140" s="8" t="s">
        <v>3323</v>
      </c>
      <c r="B140" s="8">
        <v>1503050</v>
      </c>
      <c r="C140" s="8">
        <v>3.6</v>
      </c>
      <c r="D140" s="9" t="s">
        <v>2701</v>
      </c>
      <c r="E140" s="59">
        <v>12</v>
      </c>
      <c r="F140" s="56" t="s">
        <v>34</v>
      </c>
      <c r="G140" s="63">
        <f t="shared" si="22"/>
        <v>0</v>
      </c>
      <c r="H140" s="63">
        <v>0</v>
      </c>
      <c r="J140" s="57"/>
    </row>
    <row r="141" spans="1:10" x14ac:dyDescent="0.3">
      <c r="A141" s="157" t="s">
        <v>3324</v>
      </c>
      <c r="B141" s="157">
        <v>1503050</v>
      </c>
      <c r="C141" s="157">
        <v>3.7</v>
      </c>
      <c r="D141" s="158" t="s">
        <v>2703</v>
      </c>
      <c r="E141" s="59">
        <v>12</v>
      </c>
      <c r="F141" s="56" t="s">
        <v>34</v>
      </c>
      <c r="G141" s="63">
        <f t="shared" si="22"/>
        <v>0</v>
      </c>
      <c r="H141" s="63">
        <v>0</v>
      </c>
      <c r="J141" s="57"/>
    </row>
    <row r="142" spans="1:10" x14ac:dyDescent="0.3">
      <c r="A142" s="156"/>
      <c r="B142" s="156"/>
      <c r="C142" s="156"/>
      <c r="D142" s="159" t="s">
        <v>3325</v>
      </c>
      <c r="E142" s="59">
        <v>12</v>
      </c>
      <c r="F142" s="56" t="s">
        <v>34</v>
      </c>
      <c r="G142" s="63">
        <f t="shared" si="22"/>
        <v>0</v>
      </c>
      <c r="H142" s="63">
        <v>0</v>
      </c>
      <c r="J142" s="57"/>
    </row>
    <row r="143" spans="1:10" x14ac:dyDescent="0.3">
      <c r="A143" s="156" t="s">
        <v>1865</v>
      </c>
      <c r="B143" s="156">
        <v>1503050</v>
      </c>
      <c r="C143" s="156" t="s">
        <v>14</v>
      </c>
      <c r="D143" s="159" t="s">
        <v>2705</v>
      </c>
      <c r="E143" s="193">
        <v>12</v>
      </c>
      <c r="F143" s="189" t="s">
        <v>34</v>
      </c>
      <c r="G143" s="190">
        <f t="shared" si="22"/>
        <v>0</v>
      </c>
      <c r="H143" s="63">
        <v>0</v>
      </c>
      <c r="J143" s="57"/>
    </row>
    <row r="144" spans="1:10" x14ac:dyDescent="0.3">
      <c r="A144" s="156" t="s">
        <v>3326</v>
      </c>
      <c r="B144" s="156">
        <v>1503050</v>
      </c>
      <c r="C144" s="156"/>
      <c r="D144" s="197" t="s">
        <v>2708</v>
      </c>
      <c r="E144" s="59"/>
      <c r="F144" s="56"/>
      <c r="G144" s="63"/>
      <c r="H144" s="63"/>
      <c r="J144" s="57"/>
    </row>
    <row r="145" spans="1:10" ht="12.75" customHeight="1" x14ac:dyDescent="0.3">
      <c r="A145" s="160" t="s">
        <v>3327</v>
      </c>
      <c r="B145" s="160">
        <v>1503050</v>
      </c>
      <c r="C145" s="161"/>
      <c r="D145" s="198" t="s">
        <v>2710</v>
      </c>
      <c r="E145" s="56"/>
      <c r="F145" s="56"/>
      <c r="G145" s="63"/>
      <c r="H145" s="63"/>
      <c r="J145" s="57"/>
    </row>
    <row r="146" spans="1:10" x14ac:dyDescent="0.3">
      <c r="A146" s="8" t="s">
        <v>3328</v>
      </c>
      <c r="B146" s="8">
        <v>1503050</v>
      </c>
      <c r="C146" s="8">
        <v>3.1</v>
      </c>
      <c r="D146" s="150" t="s">
        <v>2712</v>
      </c>
      <c r="E146" s="194">
        <v>12</v>
      </c>
      <c r="F146" s="195" t="s">
        <v>34</v>
      </c>
      <c r="G146" s="196">
        <f t="shared" ref="G146:G153" si="23">H146/E146</f>
        <v>0</v>
      </c>
      <c r="H146" s="63">
        <v>0</v>
      </c>
      <c r="J146" s="57"/>
    </row>
    <row r="147" spans="1:10" x14ac:dyDescent="0.3">
      <c r="A147" s="8" t="s">
        <v>3329</v>
      </c>
      <c r="B147" s="8">
        <v>1503050</v>
      </c>
      <c r="C147" s="8">
        <v>3.1</v>
      </c>
      <c r="D147" s="151" t="s">
        <v>2714</v>
      </c>
      <c r="E147" s="59">
        <v>12</v>
      </c>
      <c r="F147" s="56" t="s">
        <v>34</v>
      </c>
      <c r="G147" s="63">
        <f t="shared" si="23"/>
        <v>0</v>
      </c>
      <c r="H147" s="63">
        <v>0</v>
      </c>
      <c r="J147" s="57"/>
    </row>
    <row r="148" spans="1:10" x14ac:dyDescent="0.3">
      <c r="A148" s="8" t="s">
        <v>3330</v>
      </c>
      <c r="B148" s="8">
        <v>1503050</v>
      </c>
      <c r="C148" s="8">
        <v>3.1</v>
      </c>
      <c r="D148" s="162" t="s">
        <v>2716</v>
      </c>
      <c r="E148" s="59">
        <v>12</v>
      </c>
      <c r="F148" s="56" t="s">
        <v>34</v>
      </c>
      <c r="G148" s="63">
        <f t="shared" si="23"/>
        <v>0</v>
      </c>
      <c r="H148" s="63">
        <v>0</v>
      </c>
      <c r="J148" s="57"/>
    </row>
    <row r="149" spans="1:10" ht="12.75" customHeight="1" x14ac:dyDescent="0.3">
      <c r="A149" s="8" t="s">
        <v>3332</v>
      </c>
      <c r="B149" s="8">
        <v>1503050</v>
      </c>
      <c r="C149" s="8">
        <v>3.2</v>
      </c>
      <c r="D149" s="60" t="s">
        <v>2718</v>
      </c>
      <c r="E149" s="59">
        <v>12</v>
      </c>
      <c r="F149" s="56" t="s">
        <v>34</v>
      </c>
      <c r="G149" s="63">
        <f t="shared" si="23"/>
        <v>0</v>
      </c>
      <c r="H149" s="63">
        <v>0</v>
      </c>
      <c r="J149" s="57"/>
    </row>
    <row r="150" spans="1:10" x14ac:dyDescent="0.3">
      <c r="A150" s="8" t="s">
        <v>3331</v>
      </c>
      <c r="B150" s="8">
        <v>1503050</v>
      </c>
      <c r="C150" s="8">
        <v>3.3</v>
      </c>
      <c r="D150" s="9" t="s">
        <v>2720</v>
      </c>
      <c r="E150" s="59">
        <v>12</v>
      </c>
      <c r="F150" s="56" t="s">
        <v>34</v>
      </c>
      <c r="G150" s="63">
        <f t="shared" si="23"/>
        <v>0</v>
      </c>
      <c r="H150" s="63">
        <v>0</v>
      </c>
      <c r="J150" s="57"/>
    </row>
    <row r="151" spans="1:10" x14ac:dyDescent="0.3">
      <c r="A151" s="8" t="s">
        <v>3333</v>
      </c>
      <c r="B151" s="8">
        <v>1503050</v>
      </c>
      <c r="C151" s="8">
        <v>3.5</v>
      </c>
      <c r="D151" s="9" t="s">
        <v>2722</v>
      </c>
      <c r="E151" s="59">
        <v>12</v>
      </c>
      <c r="F151" s="56" t="s">
        <v>34</v>
      </c>
      <c r="G151" s="63">
        <f t="shared" si="23"/>
        <v>0</v>
      </c>
      <c r="H151" s="63">
        <v>0</v>
      </c>
      <c r="J151" s="57"/>
    </row>
    <row r="152" spans="1:10" x14ac:dyDescent="0.3">
      <c r="A152" s="8" t="s">
        <v>3334</v>
      </c>
      <c r="B152" s="8">
        <v>1503050</v>
      </c>
      <c r="C152" s="8">
        <v>3.6</v>
      </c>
      <c r="D152" s="9" t="s">
        <v>2724</v>
      </c>
      <c r="E152" s="59">
        <v>12</v>
      </c>
      <c r="F152" s="56" t="s">
        <v>34</v>
      </c>
      <c r="G152" s="63">
        <f t="shared" si="23"/>
        <v>0</v>
      </c>
      <c r="H152" s="63">
        <v>0</v>
      </c>
      <c r="J152" s="57"/>
    </row>
    <row r="153" spans="1:10" x14ac:dyDescent="0.3">
      <c r="A153" s="8" t="s">
        <v>3335</v>
      </c>
      <c r="B153" s="8">
        <v>1503050</v>
      </c>
      <c r="C153" s="8">
        <v>3.7</v>
      </c>
      <c r="D153" s="152" t="s">
        <v>2726</v>
      </c>
      <c r="E153" s="59">
        <v>12</v>
      </c>
      <c r="F153" s="56" t="s">
        <v>34</v>
      </c>
      <c r="G153" s="63">
        <f t="shared" si="23"/>
        <v>0</v>
      </c>
      <c r="H153" s="63">
        <v>0</v>
      </c>
      <c r="J153" s="57"/>
    </row>
    <row r="154" spans="1:10" x14ac:dyDescent="0.3">
      <c r="A154" s="13"/>
      <c r="B154" s="13"/>
      <c r="C154" s="13"/>
      <c r="D154" s="153" t="s">
        <v>3336</v>
      </c>
      <c r="E154" s="193">
        <v>12</v>
      </c>
      <c r="F154" s="189" t="s">
        <v>34</v>
      </c>
      <c r="G154" s="190">
        <f t="shared" ref="G154:H154" si="24">SUM(G146:G153)</f>
        <v>0</v>
      </c>
      <c r="H154" s="190">
        <f t="shared" si="24"/>
        <v>0</v>
      </c>
      <c r="J154" s="57"/>
    </row>
    <row r="155" spans="1:10" x14ac:dyDescent="0.3">
      <c r="A155" s="160" t="s">
        <v>3337</v>
      </c>
      <c r="B155" s="160">
        <v>1503050</v>
      </c>
      <c r="C155" s="161"/>
      <c r="D155" s="198" t="s">
        <v>2728</v>
      </c>
      <c r="E155" s="56"/>
      <c r="F155" s="56"/>
      <c r="G155" s="63"/>
      <c r="H155" s="63"/>
      <c r="J155" s="57"/>
    </row>
    <row r="156" spans="1:10" x14ac:dyDescent="0.3">
      <c r="A156" s="8" t="s">
        <v>3337</v>
      </c>
      <c r="B156" s="8">
        <v>1503050</v>
      </c>
      <c r="C156" s="8">
        <v>3.1</v>
      </c>
      <c r="D156" s="150" t="s">
        <v>2730</v>
      </c>
      <c r="E156" s="194">
        <v>12</v>
      </c>
      <c r="F156" s="195" t="s">
        <v>34</v>
      </c>
      <c r="G156" s="196">
        <f t="shared" ref="G156:G163" si="25">H156/E156</f>
        <v>0</v>
      </c>
      <c r="H156" s="196">
        <v>0</v>
      </c>
      <c r="J156" s="57"/>
    </row>
    <row r="157" spans="1:10" x14ac:dyDescent="0.3">
      <c r="A157" s="8" t="s">
        <v>3338</v>
      </c>
      <c r="B157" s="8">
        <v>1503050</v>
      </c>
      <c r="C157" s="8">
        <v>3.1</v>
      </c>
      <c r="D157" s="151" t="s">
        <v>2732</v>
      </c>
      <c r="E157" s="59">
        <v>12</v>
      </c>
      <c r="F157" s="56" t="s">
        <v>34</v>
      </c>
      <c r="G157" s="63">
        <f t="shared" si="25"/>
        <v>0</v>
      </c>
      <c r="H157" s="63">
        <v>0</v>
      </c>
      <c r="J157" s="57"/>
    </row>
    <row r="158" spans="1:10" x14ac:dyDescent="0.3">
      <c r="A158" s="8" t="s">
        <v>3339</v>
      </c>
      <c r="B158" s="8">
        <v>1503050</v>
      </c>
      <c r="C158" s="8">
        <v>3.1</v>
      </c>
      <c r="D158" s="162" t="s">
        <v>2734</v>
      </c>
      <c r="E158" s="59">
        <v>12</v>
      </c>
      <c r="F158" s="56" t="s">
        <v>34</v>
      </c>
      <c r="G158" s="63">
        <f t="shared" si="25"/>
        <v>0</v>
      </c>
      <c r="H158" s="63">
        <v>0</v>
      </c>
      <c r="J158" s="57"/>
    </row>
    <row r="159" spans="1:10" x14ac:dyDescent="0.3">
      <c r="A159" s="8" t="s">
        <v>3340</v>
      </c>
      <c r="B159" s="8">
        <v>1503050</v>
      </c>
      <c r="C159" s="8">
        <v>3.2</v>
      </c>
      <c r="D159" s="60" t="s">
        <v>2736</v>
      </c>
      <c r="E159" s="59">
        <v>12</v>
      </c>
      <c r="F159" s="56" t="s">
        <v>34</v>
      </c>
      <c r="G159" s="63">
        <f t="shared" si="25"/>
        <v>0</v>
      </c>
      <c r="H159" s="63">
        <v>0</v>
      </c>
      <c r="J159" s="57"/>
    </row>
    <row r="160" spans="1:10" x14ac:dyDescent="0.3">
      <c r="A160" s="8" t="s">
        <v>3341</v>
      </c>
      <c r="B160" s="8">
        <v>1503050</v>
      </c>
      <c r="C160" s="8">
        <v>3.3</v>
      </c>
      <c r="D160" s="9" t="s">
        <v>2738</v>
      </c>
      <c r="E160" s="59">
        <v>12</v>
      </c>
      <c r="F160" s="56" t="s">
        <v>34</v>
      </c>
      <c r="G160" s="63">
        <f t="shared" si="25"/>
        <v>0</v>
      </c>
      <c r="H160" s="63">
        <v>0</v>
      </c>
      <c r="J160" s="57"/>
    </row>
    <row r="161" spans="1:10" x14ac:dyDescent="0.3">
      <c r="A161" s="8" t="s">
        <v>3342</v>
      </c>
      <c r="B161" s="8">
        <v>1503050</v>
      </c>
      <c r="C161" s="8">
        <v>3.5</v>
      </c>
      <c r="D161" s="9" t="s">
        <v>2740</v>
      </c>
      <c r="E161" s="59">
        <v>12</v>
      </c>
      <c r="F161" s="56" t="s">
        <v>34</v>
      </c>
      <c r="G161" s="63">
        <f t="shared" si="25"/>
        <v>0</v>
      </c>
      <c r="H161" s="63">
        <v>0</v>
      </c>
      <c r="J161" s="57"/>
    </row>
    <row r="162" spans="1:10" x14ac:dyDescent="0.3">
      <c r="A162" s="8" t="s">
        <v>3343</v>
      </c>
      <c r="B162" s="8">
        <v>1503050</v>
      </c>
      <c r="C162" s="8">
        <v>3.6</v>
      </c>
      <c r="D162" s="9" t="s">
        <v>2742</v>
      </c>
      <c r="E162" s="59">
        <v>12</v>
      </c>
      <c r="F162" s="56" t="s">
        <v>34</v>
      </c>
      <c r="G162" s="63">
        <f t="shared" si="25"/>
        <v>0</v>
      </c>
      <c r="H162" s="63">
        <v>0</v>
      </c>
      <c r="J162" s="57"/>
    </row>
    <row r="163" spans="1:10" x14ac:dyDescent="0.3">
      <c r="A163" s="8" t="s">
        <v>3344</v>
      </c>
      <c r="B163" s="8">
        <v>1503050</v>
      </c>
      <c r="C163" s="8">
        <v>3.7</v>
      </c>
      <c r="D163" s="152" t="s">
        <v>2744</v>
      </c>
      <c r="E163" s="59">
        <v>12</v>
      </c>
      <c r="F163" s="56" t="s">
        <v>34</v>
      </c>
      <c r="G163" s="63">
        <f t="shared" si="25"/>
        <v>0</v>
      </c>
      <c r="H163" s="63">
        <v>0</v>
      </c>
      <c r="J163" s="57"/>
    </row>
    <row r="164" spans="1:10" x14ac:dyDescent="0.3">
      <c r="A164" s="13"/>
      <c r="B164" s="13"/>
      <c r="C164" s="13"/>
      <c r="D164" s="153" t="s">
        <v>3345</v>
      </c>
      <c r="E164" s="193">
        <v>12</v>
      </c>
      <c r="F164" s="189" t="s">
        <v>34</v>
      </c>
      <c r="G164" s="190">
        <f t="shared" ref="G164:H164" si="26">SUM(G156:G163)</f>
        <v>0</v>
      </c>
      <c r="H164" s="63">
        <f t="shared" si="26"/>
        <v>0</v>
      </c>
      <c r="J164" s="57"/>
    </row>
    <row r="165" spans="1:10" ht="12.75" customHeight="1" x14ac:dyDescent="0.3">
      <c r="A165" s="160" t="s">
        <v>3346</v>
      </c>
      <c r="B165" s="160">
        <v>1503050</v>
      </c>
      <c r="C165" s="161"/>
      <c r="D165" s="198" t="s">
        <v>2868</v>
      </c>
      <c r="E165" s="56"/>
      <c r="F165" s="56"/>
      <c r="G165" s="63"/>
      <c r="H165" s="63"/>
      <c r="J165" s="57"/>
    </row>
    <row r="166" spans="1:10" x14ac:dyDescent="0.3">
      <c r="A166" s="8" t="s">
        <v>3347</v>
      </c>
      <c r="B166" s="8">
        <v>1503050</v>
      </c>
      <c r="C166" s="8">
        <v>3.1</v>
      </c>
      <c r="D166" s="150" t="s">
        <v>2748</v>
      </c>
      <c r="E166" s="194">
        <v>12</v>
      </c>
      <c r="F166" s="195" t="s">
        <v>34</v>
      </c>
      <c r="G166" s="196">
        <f t="shared" ref="G166:G173" si="27">H166/E166</f>
        <v>0</v>
      </c>
      <c r="H166" s="63">
        <v>0</v>
      </c>
      <c r="J166" s="57"/>
    </row>
    <row r="167" spans="1:10" x14ac:dyDescent="0.3">
      <c r="A167" s="8" t="s">
        <v>3349</v>
      </c>
      <c r="B167" s="8">
        <v>1503050</v>
      </c>
      <c r="C167" s="8">
        <v>3.1</v>
      </c>
      <c r="D167" s="151" t="s">
        <v>2750</v>
      </c>
      <c r="E167" s="59">
        <v>12</v>
      </c>
      <c r="F167" s="56" t="s">
        <v>34</v>
      </c>
      <c r="G167" s="63">
        <f t="shared" si="27"/>
        <v>0</v>
      </c>
      <c r="H167" s="63">
        <v>0</v>
      </c>
      <c r="J167" s="57"/>
    </row>
    <row r="168" spans="1:10" x14ac:dyDescent="0.3">
      <c r="A168" s="8" t="s">
        <v>3348</v>
      </c>
      <c r="B168" s="8">
        <v>1503050</v>
      </c>
      <c r="C168" s="8">
        <v>3.1</v>
      </c>
      <c r="D168" s="162" t="s">
        <v>2752</v>
      </c>
      <c r="E168" s="59">
        <v>12</v>
      </c>
      <c r="F168" s="56" t="s">
        <v>34</v>
      </c>
      <c r="G168" s="63">
        <f t="shared" si="27"/>
        <v>0</v>
      </c>
      <c r="H168" s="63">
        <v>0</v>
      </c>
      <c r="J168" s="57"/>
    </row>
    <row r="169" spans="1:10" ht="12.75" customHeight="1" x14ac:dyDescent="0.3">
      <c r="A169" s="8" t="s">
        <v>3350</v>
      </c>
      <c r="B169" s="8">
        <v>1503050</v>
      </c>
      <c r="C169" s="8">
        <v>3.2</v>
      </c>
      <c r="D169" s="60" t="s">
        <v>2754</v>
      </c>
      <c r="E169" s="59">
        <v>12</v>
      </c>
      <c r="F169" s="56" t="s">
        <v>34</v>
      </c>
      <c r="G169" s="63">
        <f t="shared" si="27"/>
        <v>0</v>
      </c>
      <c r="H169" s="63">
        <v>0</v>
      </c>
      <c r="J169" s="57"/>
    </row>
    <row r="170" spans="1:10" x14ac:dyDescent="0.3">
      <c r="A170" s="8" t="s">
        <v>3351</v>
      </c>
      <c r="B170" s="8">
        <v>1503050</v>
      </c>
      <c r="C170" s="8">
        <v>3.3</v>
      </c>
      <c r="D170" s="9" t="s">
        <v>2756</v>
      </c>
      <c r="E170" s="59">
        <v>12</v>
      </c>
      <c r="F170" s="56" t="s">
        <v>34</v>
      </c>
      <c r="G170" s="63">
        <f t="shared" si="27"/>
        <v>0</v>
      </c>
      <c r="H170" s="63">
        <v>0</v>
      </c>
      <c r="J170" s="57"/>
    </row>
    <row r="171" spans="1:10" x14ac:dyDescent="0.3">
      <c r="A171" s="8" t="s">
        <v>3352</v>
      </c>
      <c r="B171" s="8">
        <v>1503050</v>
      </c>
      <c r="C171" s="8">
        <v>3.5</v>
      </c>
      <c r="D171" s="9" t="s">
        <v>2758</v>
      </c>
      <c r="E171" s="59">
        <v>12</v>
      </c>
      <c r="F171" s="56" t="s">
        <v>34</v>
      </c>
      <c r="G171" s="63">
        <f t="shared" si="27"/>
        <v>0</v>
      </c>
      <c r="H171" s="63">
        <v>0</v>
      </c>
      <c r="J171" s="57"/>
    </row>
    <row r="172" spans="1:10" x14ac:dyDescent="0.3">
      <c r="A172" s="8" t="s">
        <v>3353</v>
      </c>
      <c r="B172" s="8">
        <v>1503050</v>
      </c>
      <c r="C172" s="8">
        <v>3.6</v>
      </c>
      <c r="D172" s="9" t="s">
        <v>2760</v>
      </c>
      <c r="E172" s="59">
        <v>12</v>
      </c>
      <c r="F172" s="56" t="s">
        <v>34</v>
      </c>
      <c r="G172" s="63">
        <f t="shared" si="27"/>
        <v>0</v>
      </c>
      <c r="H172" s="63">
        <v>0</v>
      </c>
      <c r="J172" s="57"/>
    </row>
    <row r="173" spans="1:10" x14ac:dyDescent="0.3">
      <c r="A173" s="8" t="s">
        <v>3354</v>
      </c>
      <c r="B173" s="8">
        <v>1503050</v>
      </c>
      <c r="C173" s="8">
        <v>3.7</v>
      </c>
      <c r="D173" s="152" t="s">
        <v>2762</v>
      </c>
      <c r="E173" s="59">
        <v>12</v>
      </c>
      <c r="F173" s="56" t="s">
        <v>34</v>
      </c>
      <c r="G173" s="63">
        <f t="shared" si="27"/>
        <v>0</v>
      </c>
      <c r="H173" s="63">
        <v>0</v>
      </c>
      <c r="J173" s="57"/>
    </row>
    <row r="174" spans="1:10" x14ac:dyDescent="0.3">
      <c r="A174" s="13"/>
      <c r="B174" s="13"/>
      <c r="C174" s="13"/>
      <c r="D174" s="153" t="s">
        <v>3355</v>
      </c>
      <c r="E174" s="193">
        <v>12</v>
      </c>
      <c r="F174" s="189" t="s">
        <v>34</v>
      </c>
      <c r="G174" s="190">
        <f t="shared" ref="G174:H174" si="28">SUM(G166:G173)</f>
        <v>0</v>
      </c>
      <c r="H174" s="63">
        <f t="shared" si="28"/>
        <v>0</v>
      </c>
      <c r="J174" s="57"/>
    </row>
    <row r="175" spans="1:10" x14ac:dyDescent="0.3">
      <c r="A175" s="160" t="s">
        <v>3356</v>
      </c>
      <c r="B175" s="160">
        <v>1503050</v>
      </c>
      <c r="C175" s="161"/>
      <c r="D175" s="198" t="s">
        <v>2765</v>
      </c>
      <c r="E175" s="59"/>
      <c r="F175" s="56"/>
      <c r="G175" s="63"/>
      <c r="H175" s="63"/>
      <c r="J175" s="57"/>
    </row>
    <row r="176" spans="1:10" x14ac:dyDescent="0.3">
      <c r="A176" s="8" t="s">
        <v>3357</v>
      </c>
      <c r="B176" s="8">
        <v>1503050</v>
      </c>
      <c r="C176" s="8">
        <v>3.1</v>
      </c>
      <c r="D176" s="150" t="s">
        <v>2767</v>
      </c>
      <c r="E176" s="194">
        <v>12</v>
      </c>
      <c r="F176" s="195" t="s">
        <v>34</v>
      </c>
      <c r="G176" s="196">
        <f t="shared" ref="G176:G183" si="29">H176/E176</f>
        <v>0</v>
      </c>
      <c r="H176" s="63">
        <v>0</v>
      </c>
      <c r="J176" s="57"/>
    </row>
    <row r="177" spans="1:10" x14ac:dyDescent="0.3">
      <c r="A177" s="8" t="s">
        <v>3358</v>
      </c>
      <c r="B177" s="8">
        <v>1503050</v>
      </c>
      <c r="C177" s="8">
        <v>3.1</v>
      </c>
      <c r="D177" s="151" t="s">
        <v>2769</v>
      </c>
      <c r="E177" s="59">
        <v>12</v>
      </c>
      <c r="F177" s="56" t="s">
        <v>34</v>
      </c>
      <c r="G177" s="63">
        <f t="shared" si="29"/>
        <v>0</v>
      </c>
      <c r="H177" s="63">
        <v>0</v>
      </c>
      <c r="J177" s="57"/>
    </row>
    <row r="178" spans="1:10" x14ac:dyDescent="0.3">
      <c r="A178" s="8" t="s">
        <v>3359</v>
      </c>
      <c r="B178" s="8">
        <v>1503050</v>
      </c>
      <c r="C178" s="8">
        <v>3.1</v>
      </c>
      <c r="D178" s="162" t="s">
        <v>2771</v>
      </c>
      <c r="E178" s="59">
        <v>12</v>
      </c>
      <c r="F178" s="56" t="s">
        <v>34</v>
      </c>
      <c r="G178" s="63">
        <f t="shared" si="29"/>
        <v>0</v>
      </c>
      <c r="H178" s="63">
        <v>0</v>
      </c>
      <c r="J178" s="57"/>
    </row>
    <row r="179" spans="1:10" x14ac:dyDescent="0.3">
      <c r="A179" s="8" t="s">
        <v>3360</v>
      </c>
      <c r="B179" s="8">
        <v>1503050</v>
      </c>
      <c r="C179" s="8">
        <v>3.2</v>
      </c>
      <c r="D179" s="60" t="s">
        <v>2773</v>
      </c>
      <c r="E179" s="59">
        <v>12</v>
      </c>
      <c r="F179" s="56" t="s">
        <v>34</v>
      </c>
      <c r="G179" s="63">
        <f t="shared" si="29"/>
        <v>0</v>
      </c>
      <c r="H179" s="63">
        <v>0</v>
      </c>
      <c r="J179" s="57"/>
    </row>
    <row r="180" spans="1:10" x14ac:dyDescent="0.3">
      <c r="A180" s="8" t="s">
        <v>3361</v>
      </c>
      <c r="B180" s="8">
        <v>1503050</v>
      </c>
      <c r="C180" s="8">
        <v>3.3</v>
      </c>
      <c r="D180" s="9" t="s">
        <v>2775</v>
      </c>
      <c r="E180" s="59">
        <v>12</v>
      </c>
      <c r="F180" s="56" t="s">
        <v>34</v>
      </c>
      <c r="G180" s="63">
        <f t="shared" si="29"/>
        <v>0</v>
      </c>
      <c r="H180" s="63">
        <v>0</v>
      </c>
      <c r="J180" s="57"/>
    </row>
    <row r="181" spans="1:10" x14ac:dyDescent="0.3">
      <c r="A181" s="8" t="s">
        <v>3362</v>
      </c>
      <c r="B181" s="8">
        <v>1503050</v>
      </c>
      <c r="C181" s="8">
        <v>3.5</v>
      </c>
      <c r="D181" s="9" t="s">
        <v>2777</v>
      </c>
      <c r="E181" s="59">
        <v>12</v>
      </c>
      <c r="F181" s="56" t="s">
        <v>34</v>
      </c>
      <c r="G181" s="63">
        <f t="shared" si="29"/>
        <v>0</v>
      </c>
      <c r="H181" s="63">
        <v>0</v>
      </c>
      <c r="J181" s="57"/>
    </row>
    <row r="182" spans="1:10" x14ac:dyDescent="0.3">
      <c r="A182" s="8" t="s">
        <v>3363</v>
      </c>
      <c r="B182" s="8">
        <v>1503050</v>
      </c>
      <c r="C182" s="8">
        <v>3.6</v>
      </c>
      <c r="D182" s="9" t="s">
        <v>2779</v>
      </c>
      <c r="E182" s="59">
        <v>12</v>
      </c>
      <c r="F182" s="56" t="s">
        <v>34</v>
      </c>
      <c r="G182" s="63">
        <f t="shared" si="29"/>
        <v>0</v>
      </c>
      <c r="H182" s="63">
        <v>0</v>
      </c>
      <c r="J182" s="57"/>
    </row>
    <row r="183" spans="1:10" x14ac:dyDescent="0.3">
      <c r="A183" s="8" t="s">
        <v>3364</v>
      </c>
      <c r="B183" s="8">
        <v>1503050</v>
      </c>
      <c r="C183" s="8">
        <v>3.7</v>
      </c>
      <c r="D183" s="152" t="s">
        <v>2781</v>
      </c>
      <c r="E183" s="59">
        <v>12</v>
      </c>
      <c r="F183" s="56" t="s">
        <v>34</v>
      </c>
      <c r="G183" s="63">
        <f t="shared" si="29"/>
        <v>0</v>
      </c>
      <c r="H183" s="63">
        <v>0</v>
      </c>
      <c r="J183" s="57"/>
    </row>
    <row r="184" spans="1:10" x14ac:dyDescent="0.3">
      <c r="A184" s="13"/>
      <c r="B184" s="13"/>
      <c r="C184" s="13"/>
      <c r="D184" s="153" t="s">
        <v>3365</v>
      </c>
      <c r="E184" s="59">
        <v>12</v>
      </c>
      <c r="F184" s="56" t="s">
        <v>34</v>
      </c>
      <c r="G184" s="63">
        <f t="shared" ref="G184:H184" si="30">SUM(G176:G183)</f>
        <v>0</v>
      </c>
      <c r="H184" s="63">
        <f t="shared" si="30"/>
        <v>0</v>
      </c>
      <c r="J184" s="57"/>
    </row>
    <row r="185" spans="1:10" x14ac:dyDescent="0.3">
      <c r="A185" s="13" t="s">
        <v>3326</v>
      </c>
      <c r="B185" s="13">
        <v>1503050</v>
      </c>
      <c r="C185" s="13" t="s">
        <v>14</v>
      </c>
      <c r="D185" s="153" t="s">
        <v>2783</v>
      </c>
      <c r="E185" s="193">
        <v>12</v>
      </c>
      <c r="F185" s="189" t="s">
        <v>34</v>
      </c>
      <c r="G185" s="190">
        <f>G184+G174+G164+G154+G144+G134+G124+G114</f>
        <v>0</v>
      </c>
      <c r="H185" s="63">
        <f>H184+H174+H164+H154+H144+H134+H124+H114</f>
        <v>0</v>
      </c>
      <c r="J185" s="57" t="s">
        <v>14</v>
      </c>
    </row>
    <row r="186" spans="1:10" x14ac:dyDescent="0.3">
      <c r="A186" s="13" t="s">
        <v>3366</v>
      </c>
      <c r="B186" s="13">
        <v>1503050</v>
      </c>
      <c r="C186" s="13" t="s">
        <v>14</v>
      </c>
      <c r="D186" s="199" t="s">
        <v>2784</v>
      </c>
      <c r="E186" s="56"/>
      <c r="F186" s="56"/>
      <c r="G186" s="63"/>
      <c r="H186" s="63"/>
      <c r="J186" s="57" t="s">
        <v>14</v>
      </c>
    </row>
    <row r="187" spans="1:10" ht="12.75" customHeight="1" x14ac:dyDescent="0.3">
      <c r="A187" s="13" t="s">
        <v>3367</v>
      </c>
      <c r="B187" s="13">
        <v>1503050</v>
      </c>
      <c r="C187" s="13"/>
      <c r="D187" s="200" t="s">
        <v>2785</v>
      </c>
      <c r="E187" s="56"/>
      <c r="F187" s="56"/>
      <c r="G187" s="63"/>
      <c r="H187" s="63"/>
      <c r="J187" s="57"/>
    </row>
    <row r="188" spans="1:10" x14ac:dyDescent="0.3">
      <c r="A188" s="13" t="s">
        <v>3368</v>
      </c>
      <c r="B188" s="13"/>
      <c r="C188" s="147" t="s">
        <v>14</v>
      </c>
      <c r="D188" s="185" t="s">
        <v>152</v>
      </c>
      <c r="E188" s="59"/>
      <c r="F188" s="56"/>
      <c r="G188" s="63"/>
      <c r="H188" s="63"/>
      <c r="J188" s="57"/>
    </row>
    <row r="189" spans="1:10" x14ac:dyDescent="0.3">
      <c r="A189" s="13" t="s">
        <v>3369</v>
      </c>
      <c r="B189" s="13">
        <v>1503050</v>
      </c>
      <c r="C189" s="147"/>
      <c r="D189" s="179" t="s">
        <v>2786</v>
      </c>
      <c r="E189" s="59"/>
      <c r="F189" s="56"/>
      <c r="G189" s="63"/>
      <c r="H189" s="63"/>
      <c r="J189" s="57"/>
    </row>
    <row r="190" spans="1:10" x14ac:dyDescent="0.3">
      <c r="A190" s="8" t="s">
        <v>3370</v>
      </c>
      <c r="B190" s="8">
        <v>1503050</v>
      </c>
      <c r="C190" s="146">
        <v>3.1</v>
      </c>
      <c r="D190" s="164" t="s">
        <v>155</v>
      </c>
      <c r="E190" s="194">
        <v>12</v>
      </c>
      <c r="F190" s="195" t="s">
        <v>34</v>
      </c>
      <c r="G190" s="196">
        <f t="shared" ref="G190:G195" si="31">H190/E190</f>
        <v>0</v>
      </c>
      <c r="H190" s="63">
        <v>0</v>
      </c>
      <c r="J190" s="57"/>
    </row>
    <row r="191" spans="1:10" ht="12.75" customHeight="1" x14ac:dyDescent="0.3">
      <c r="A191" s="8" t="s">
        <v>3371</v>
      </c>
      <c r="B191" s="8">
        <v>1503050</v>
      </c>
      <c r="C191" s="146">
        <v>3.1</v>
      </c>
      <c r="D191" s="165" t="s">
        <v>2787</v>
      </c>
      <c r="E191" s="59">
        <v>12</v>
      </c>
      <c r="F191" s="56" t="s">
        <v>34</v>
      </c>
      <c r="G191" s="63">
        <f t="shared" si="31"/>
        <v>0</v>
      </c>
      <c r="H191" s="63">
        <v>0</v>
      </c>
      <c r="J191" s="57"/>
    </row>
    <row r="192" spans="1:10" x14ac:dyDescent="0.3">
      <c r="A192" s="8" t="s">
        <v>3372</v>
      </c>
      <c r="B192" s="8">
        <v>1503050</v>
      </c>
      <c r="C192" s="8">
        <v>3.1</v>
      </c>
      <c r="D192" s="166" t="s">
        <v>158</v>
      </c>
      <c r="E192" s="59">
        <v>12</v>
      </c>
      <c r="F192" s="56" t="s">
        <v>34</v>
      </c>
      <c r="G192" s="63">
        <f t="shared" si="31"/>
        <v>0</v>
      </c>
      <c r="H192" s="63">
        <v>0</v>
      </c>
      <c r="J192" s="57"/>
    </row>
    <row r="193" spans="1:10" x14ac:dyDescent="0.3">
      <c r="A193" s="8" t="s">
        <v>3373</v>
      </c>
      <c r="B193" s="8">
        <v>1503050</v>
      </c>
      <c r="C193" s="8">
        <v>3.2</v>
      </c>
      <c r="D193" s="60" t="s">
        <v>160</v>
      </c>
      <c r="E193" s="59">
        <v>12</v>
      </c>
      <c r="F193" s="56" t="s">
        <v>34</v>
      </c>
      <c r="G193" s="63">
        <f t="shared" si="31"/>
        <v>0</v>
      </c>
      <c r="H193" s="63">
        <v>0</v>
      </c>
      <c r="J193" s="57"/>
    </row>
    <row r="194" spans="1:10" x14ac:dyDescent="0.3">
      <c r="A194" s="8" t="s">
        <v>3374</v>
      </c>
      <c r="B194" s="8">
        <v>1503050</v>
      </c>
      <c r="C194" s="8">
        <v>3.3</v>
      </c>
      <c r="D194" s="9" t="s">
        <v>162</v>
      </c>
      <c r="E194" s="59">
        <v>12</v>
      </c>
      <c r="F194" s="56" t="s">
        <v>34</v>
      </c>
      <c r="G194" s="63">
        <f t="shared" si="31"/>
        <v>0</v>
      </c>
      <c r="H194" s="63">
        <v>0</v>
      </c>
      <c r="J194" s="57"/>
    </row>
    <row r="195" spans="1:10" x14ac:dyDescent="0.3">
      <c r="A195" s="8" t="s">
        <v>3375</v>
      </c>
      <c r="B195" s="8">
        <v>1503050</v>
      </c>
      <c r="C195" s="8">
        <v>3.5</v>
      </c>
      <c r="D195" s="9" t="s">
        <v>2788</v>
      </c>
      <c r="E195" s="59">
        <v>12</v>
      </c>
      <c r="F195" s="56" t="s">
        <v>34</v>
      </c>
      <c r="G195" s="63">
        <f t="shared" si="31"/>
        <v>0</v>
      </c>
      <c r="H195" s="63">
        <v>0</v>
      </c>
      <c r="J195" s="57"/>
    </row>
    <row r="196" spans="1:10" x14ac:dyDescent="0.3">
      <c r="A196" s="8" t="s">
        <v>3376</v>
      </c>
      <c r="B196" s="8">
        <v>1503050</v>
      </c>
      <c r="C196" s="8">
        <v>3.6</v>
      </c>
      <c r="D196" s="9" t="s">
        <v>165</v>
      </c>
      <c r="E196" s="59">
        <v>12</v>
      </c>
      <c r="F196" s="56" t="s">
        <v>34</v>
      </c>
      <c r="G196" s="63">
        <f t="shared" ref="G196:H196" si="32">SUM(G188:G195)</f>
        <v>0</v>
      </c>
      <c r="H196" s="63">
        <f t="shared" si="32"/>
        <v>0</v>
      </c>
      <c r="J196" s="57"/>
    </row>
    <row r="197" spans="1:10" x14ac:dyDescent="0.3">
      <c r="A197" s="8" t="s">
        <v>3377</v>
      </c>
      <c r="B197" s="8">
        <v>1503050</v>
      </c>
      <c r="C197" s="8">
        <v>3.7</v>
      </c>
      <c r="D197" s="152" t="s">
        <v>167</v>
      </c>
      <c r="E197" s="59">
        <v>12</v>
      </c>
      <c r="F197" s="59" t="s">
        <v>34</v>
      </c>
      <c r="G197" s="63">
        <v>0</v>
      </c>
      <c r="H197" s="63">
        <v>0</v>
      </c>
      <c r="J197" s="57"/>
    </row>
    <row r="198" spans="1:10" x14ac:dyDescent="0.3">
      <c r="A198" s="13"/>
      <c r="B198" s="13"/>
      <c r="C198" s="13"/>
      <c r="D198" s="155" t="s">
        <v>3378</v>
      </c>
      <c r="E198" s="193">
        <v>12</v>
      </c>
      <c r="F198" s="189" t="s">
        <v>34</v>
      </c>
      <c r="G198" s="190">
        <f t="shared" ref="G198:G205" si="33">H198/E198</f>
        <v>0</v>
      </c>
      <c r="H198" s="63">
        <v>0</v>
      </c>
      <c r="J198" s="57"/>
    </row>
    <row r="199" spans="1:10" x14ac:dyDescent="0.3">
      <c r="A199" s="13" t="s">
        <v>3379</v>
      </c>
      <c r="B199" s="13">
        <v>1503050</v>
      </c>
      <c r="C199" s="146"/>
      <c r="D199" s="179" t="s">
        <v>2789</v>
      </c>
      <c r="E199" s="59"/>
      <c r="F199" s="56"/>
      <c r="G199" s="63"/>
      <c r="H199" s="63"/>
      <c r="J199" s="57"/>
    </row>
    <row r="200" spans="1:10" x14ac:dyDescent="0.3">
      <c r="A200" s="8" t="s">
        <v>3380</v>
      </c>
      <c r="B200" s="8">
        <v>1503050</v>
      </c>
      <c r="C200" s="146">
        <v>3.1</v>
      </c>
      <c r="D200" s="167" t="s">
        <v>171</v>
      </c>
      <c r="E200" s="194">
        <v>12</v>
      </c>
      <c r="F200" s="195" t="s">
        <v>34</v>
      </c>
      <c r="G200" s="196">
        <f t="shared" si="33"/>
        <v>0</v>
      </c>
      <c r="H200" s="63">
        <v>0</v>
      </c>
      <c r="J200" s="57"/>
    </row>
    <row r="201" spans="1:10" x14ac:dyDescent="0.3">
      <c r="A201" s="8" t="s">
        <v>3381</v>
      </c>
      <c r="B201" s="8">
        <v>1503050</v>
      </c>
      <c r="C201" s="146">
        <v>3.1</v>
      </c>
      <c r="D201" s="168" t="s">
        <v>2790</v>
      </c>
      <c r="E201" s="59">
        <v>12</v>
      </c>
      <c r="F201" s="56" t="s">
        <v>34</v>
      </c>
      <c r="G201" s="63">
        <f t="shared" si="33"/>
        <v>0</v>
      </c>
      <c r="H201" s="63">
        <v>0</v>
      </c>
      <c r="J201" s="57"/>
    </row>
    <row r="202" spans="1:10" x14ac:dyDescent="0.3">
      <c r="A202" s="8" t="s">
        <v>3382</v>
      </c>
      <c r="B202" s="8">
        <v>1503050</v>
      </c>
      <c r="C202" s="8">
        <v>3.1</v>
      </c>
      <c r="D202" s="169" t="s">
        <v>174</v>
      </c>
      <c r="E202" s="59">
        <v>12</v>
      </c>
      <c r="F202" s="56" t="s">
        <v>34</v>
      </c>
      <c r="G202" s="63">
        <f t="shared" si="33"/>
        <v>0</v>
      </c>
      <c r="H202" s="63">
        <v>0</v>
      </c>
      <c r="J202" s="57"/>
    </row>
    <row r="203" spans="1:10" x14ac:dyDescent="0.3">
      <c r="A203" s="8" t="s">
        <v>3383</v>
      </c>
      <c r="B203" s="8">
        <v>1503050</v>
      </c>
      <c r="C203" s="8">
        <v>3.2</v>
      </c>
      <c r="D203" s="9" t="s">
        <v>176</v>
      </c>
      <c r="E203" s="59">
        <v>12</v>
      </c>
      <c r="F203" s="56" t="s">
        <v>34</v>
      </c>
      <c r="G203" s="63">
        <f t="shared" si="33"/>
        <v>0</v>
      </c>
      <c r="H203" s="63">
        <v>0</v>
      </c>
      <c r="J203" s="57"/>
    </row>
    <row r="204" spans="1:10" x14ac:dyDescent="0.3">
      <c r="A204" s="8" t="s">
        <v>3384</v>
      </c>
      <c r="B204" s="8">
        <v>1503050</v>
      </c>
      <c r="C204" s="8">
        <v>3.3</v>
      </c>
      <c r="D204" s="9" t="s">
        <v>178</v>
      </c>
      <c r="E204" s="59">
        <v>12</v>
      </c>
      <c r="F204" s="56" t="s">
        <v>34</v>
      </c>
      <c r="G204" s="63">
        <f t="shared" si="33"/>
        <v>0</v>
      </c>
      <c r="H204" s="63">
        <v>0</v>
      </c>
      <c r="J204" s="57"/>
    </row>
    <row r="205" spans="1:10" x14ac:dyDescent="0.3">
      <c r="A205" s="8" t="s">
        <v>3385</v>
      </c>
      <c r="B205" s="8">
        <v>1503050</v>
      </c>
      <c r="C205" s="8">
        <v>3.5</v>
      </c>
      <c r="D205" s="9" t="s">
        <v>2791</v>
      </c>
      <c r="E205" s="59">
        <v>12</v>
      </c>
      <c r="F205" s="56" t="s">
        <v>34</v>
      </c>
      <c r="G205" s="63">
        <f t="shared" si="33"/>
        <v>0</v>
      </c>
      <c r="H205" s="63">
        <v>0</v>
      </c>
      <c r="J205" s="57"/>
    </row>
    <row r="206" spans="1:10" x14ac:dyDescent="0.3">
      <c r="A206" s="8" t="s">
        <v>3386</v>
      </c>
      <c r="B206" s="8">
        <v>1503050</v>
      </c>
      <c r="C206" s="8">
        <v>3.6</v>
      </c>
      <c r="D206" s="9" t="s">
        <v>181</v>
      </c>
      <c r="E206" s="59">
        <v>12</v>
      </c>
      <c r="F206" s="56" t="s">
        <v>34</v>
      </c>
      <c r="G206" s="63">
        <f t="shared" ref="G206" si="34">SUM(G198:G205)</f>
        <v>0</v>
      </c>
      <c r="H206" s="63">
        <f>SUM(H197:H205)</f>
        <v>0</v>
      </c>
      <c r="J206" s="57"/>
    </row>
    <row r="207" spans="1:10" ht="12.75" customHeight="1" x14ac:dyDescent="0.3">
      <c r="A207" s="8" t="s">
        <v>3387</v>
      </c>
      <c r="B207" s="8">
        <v>1503050</v>
      </c>
      <c r="C207" s="8">
        <v>3.7</v>
      </c>
      <c r="D207" s="152" t="s">
        <v>183</v>
      </c>
      <c r="E207" s="59">
        <v>12</v>
      </c>
      <c r="F207" s="59" t="s">
        <v>34</v>
      </c>
      <c r="G207" s="63">
        <v>0</v>
      </c>
      <c r="H207" s="63">
        <v>0</v>
      </c>
      <c r="J207" s="57"/>
    </row>
    <row r="208" spans="1:10" x14ac:dyDescent="0.3">
      <c r="A208" s="13"/>
      <c r="B208" s="13"/>
      <c r="C208" s="13"/>
      <c r="D208" s="155" t="s">
        <v>3388</v>
      </c>
      <c r="E208" s="193">
        <v>12</v>
      </c>
      <c r="F208" s="189" t="s">
        <v>34</v>
      </c>
      <c r="G208" s="190">
        <f t="shared" ref="G208:G215" si="35">H208/E208</f>
        <v>0</v>
      </c>
      <c r="H208" s="63">
        <v>0</v>
      </c>
      <c r="J208" s="57"/>
    </row>
    <row r="209" spans="1:10" x14ac:dyDescent="0.3">
      <c r="A209" s="13" t="s">
        <v>3389</v>
      </c>
      <c r="B209" s="13">
        <v>1503050</v>
      </c>
      <c r="C209" s="147"/>
      <c r="D209" s="179" t="s">
        <v>2792</v>
      </c>
      <c r="E209" s="59"/>
      <c r="F209" s="56"/>
      <c r="G209" s="63"/>
      <c r="H209" s="63"/>
      <c r="J209" s="57"/>
    </row>
    <row r="210" spans="1:10" x14ac:dyDescent="0.3">
      <c r="A210" s="8" t="s">
        <v>3390</v>
      </c>
      <c r="B210" s="8">
        <v>1503050</v>
      </c>
      <c r="C210" s="146">
        <v>3.1</v>
      </c>
      <c r="D210" s="170" t="s">
        <v>2793</v>
      </c>
      <c r="E210" s="194">
        <v>12</v>
      </c>
      <c r="F210" s="195" t="s">
        <v>34</v>
      </c>
      <c r="G210" s="196">
        <f t="shared" si="35"/>
        <v>0</v>
      </c>
      <c r="H210" s="63">
        <v>0</v>
      </c>
      <c r="J210" s="57"/>
    </row>
    <row r="211" spans="1:10" ht="12.75" customHeight="1" x14ac:dyDescent="0.3">
      <c r="A211" s="8" t="s">
        <v>3391</v>
      </c>
      <c r="B211" s="8">
        <v>1503050</v>
      </c>
      <c r="C211" s="146">
        <v>3.1</v>
      </c>
      <c r="D211" s="171" t="s">
        <v>188</v>
      </c>
      <c r="E211" s="59">
        <v>12</v>
      </c>
      <c r="F211" s="56" t="s">
        <v>34</v>
      </c>
      <c r="G211" s="63">
        <f t="shared" si="35"/>
        <v>0</v>
      </c>
      <c r="H211" s="63">
        <v>0</v>
      </c>
      <c r="J211" s="57"/>
    </row>
    <row r="212" spans="1:10" x14ac:dyDescent="0.3">
      <c r="A212" s="8" t="s">
        <v>3392</v>
      </c>
      <c r="B212" s="8">
        <v>1503050</v>
      </c>
      <c r="C212" s="8">
        <v>3.1</v>
      </c>
      <c r="D212" s="166" t="s">
        <v>190</v>
      </c>
      <c r="E212" s="59">
        <v>12</v>
      </c>
      <c r="F212" s="56" t="s">
        <v>34</v>
      </c>
      <c r="G212" s="63">
        <f t="shared" si="35"/>
        <v>0</v>
      </c>
      <c r="H212" s="63">
        <v>0</v>
      </c>
      <c r="J212" s="57"/>
    </row>
    <row r="213" spans="1:10" x14ac:dyDescent="0.3">
      <c r="A213" s="8" t="s">
        <v>3393</v>
      </c>
      <c r="B213" s="8">
        <v>1503050</v>
      </c>
      <c r="C213" s="8">
        <v>3.2</v>
      </c>
      <c r="D213" s="60" t="s">
        <v>192</v>
      </c>
      <c r="E213" s="59">
        <v>12</v>
      </c>
      <c r="F213" s="56" t="s">
        <v>34</v>
      </c>
      <c r="G213" s="63">
        <f t="shared" si="35"/>
        <v>0</v>
      </c>
      <c r="H213" s="63">
        <v>0</v>
      </c>
      <c r="J213" s="57"/>
    </row>
    <row r="214" spans="1:10" x14ac:dyDescent="0.3">
      <c r="A214" s="8" t="s">
        <v>3394</v>
      </c>
      <c r="B214" s="8">
        <v>1503050</v>
      </c>
      <c r="C214" s="8">
        <v>3.3</v>
      </c>
      <c r="D214" s="9" t="s">
        <v>194</v>
      </c>
      <c r="E214" s="59">
        <v>12</v>
      </c>
      <c r="F214" s="56" t="s">
        <v>34</v>
      </c>
      <c r="G214" s="63">
        <f t="shared" si="35"/>
        <v>0</v>
      </c>
      <c r="H214" s="63">
        <v>0</v>
      </c>
      <c r="J214" s="57"/>
    </row>
    <row r="215" spans="1:10" x14ac:dyDescent="0.3">
      <c r="A215" s="8" t="s">
        <v>3395</v>
      </c>
      <c r="B215" s="8">
        <v>1503050</v>
      </c>
      <c r="C215" s="8">
        <v>3.5</v>
      </c>
      <c r="D215" s="9" t="s">
        <v>2794</v>
      </c>
      <c r="E215" s="59">
        <v>12</v>
      </c>
      <c r="F215" s="56" t="s">
        <v>34</v>
      </c>
      <c r="G215" s="63">
        <f t="shared" si="35"/>
        <v>0</v>
      </c>
      <c r="H215" s="63">
        <v>0</v>
      </c>
      <c r="J215" s="57"/>
    </row>
    <row r="216" spans="1:10" x14ac:dyDescent="0.3">
      <c r="A216" s="8" t="s">
        <v>3396</v>
      </c>
      <c r="B216" s="8">
        <v>1503050</v>
      </c>
      <c r="C216" s="8">
        <v>3.6</v>
      </c>
      <c r="D216" s="9" t="s">
        <v>197</v>
      </c>
      <c r="E216" s="59">
        <v>12</v>
      </c>
      <c r="F216" s="56" t="s">
        <v>34</v>
      </c>
      <c r="G216" s="63">
        <f t="shared" ref="G216" si="36">SUM(G208:G215)</f>
        <v>0</v>
      </c>
      <c r="H216" s="63">
        <f>SUM(H207:H215)</f>
        <v>0</v>
      </c>
      <c r="J216" s="57"/>
    </row>
    <row r="217" spans="1:10" x14ac:dyDescent="0.3">
      <c r="A217" s="8" t="s">
        <v>3397</v>
      </c>
      <c r="B217" s="8">
        <v>1503050</v>
      </c>
      <c r="C217" s="8">
        <v>3.7</v>
      </c>
      <c r="D217" s="152" t="s">
        <v>199</v>
      </c>
      <c r="E217" s="59">
        <v>12</v>
      </c>
      <c r="F217" s="59" t="s">
        <v>34</v>
      </c>
      <c r="G217" s="63">
        <v>0</v>
      </c>
      <c r="H217" s="63">
        <v>0</v>
      </c>
      <c r="J217" s="57"/>
    </row>
    <row r="218" spans="1:10" x14ac:dyDescent="0.3">
      <c r="A218" s="13"/>
      <c r="B218" s="13"/>
      <c r="C218" s="13"/>
      <c r="D218" s="155" t="s">
        <v>3398</v>
      </c>
      <c r="E218" s="193">
        <v>12</v>
      </c>
      <c r="F218" s="189" t="s">
        <v>34</v>
      </c>
      <c r="G218" s="190">
        <f t="shared" ref="G218:G225" si="37">H218/E218</f>
        <v>0</v>
      </c>
      <c r="H218" s="63">
        <v>0</v>
      </c>
      <c r="J218" s="57"/>
    </row>
    <row r="219" spans="1:10" x14ac:dyDescent="0.3">
      <c r="A219" s="13" t="s">
        <v>3399</v>
      </c>
      <c r="B219" s="13">
        <v>1503050</v>
      </c>
      <c r="C219" s="146"/>
      <c r="D219" s="179" t="s">
        <v>2795</v>
      </c>
      <c r="E219" s="59"/>
      <c r="F219" s="56"/>
      <c r="G219" s="63"/>
      <c r="H219" s="63"/>
      <c r="J219" s="57"/>
    </row>
    <row r="220" spans="1:10" x14ac:dyDescent="0.3">
      <c r="A220" s="8" t="s">
        <v>3400</v>
      </c>
      <c r="B220" s="8">
        <v>1503050</v>
      </c>
      <c r="C220" s="146">
        <v>3.1</v>
      </c>
      <c r="D220" s="167" t="s">
        <v>2796</v>
      </c>
      <c r="E220" s="194">
        <v>12</v>
      </c>
      <c r="F220" s="195" t="s">
        <v>34</v>
      </c>
      <c r="G220" s="196">
        <f t="shared" si="37"/>
        <v>0</v>
      </c>
      <c r="H220" s="63">
        <v>0</v>
      </c>
      <c r="J220" s="57"/>
    </row>
    <row r="221" spans="1:10" x14ac:dyDescent="0.3">
      <c r="A221" s="8" t="s">
        <v>3401</v>
      </c>
      <c r="B221" s="8">
        <v>1503050</v>
      </c>
      <c r="C221" s="146">
        <v>3.1</v>
      </c>
      <c r="D221" s="168" t="s">
        <v>204</v>
      </c>
      <c r="E221" s="59">
        <v>12</v>
      </c>
      <c r="F221" s="56" t="s">
        <v>34</v>
      </c>
      <c r="G221" s="63">
        <f t="shared" si="37"/>
        <v>0</v>
      </c>
      <c r="H221" s="63">
        <v>0</v>
      </c>
      <c r="J221" s="57"/>
    </row>
    <row r="222" spans="1:10" x14ac:dyDescent="0.3">
      <c r="A222" s="8" t="s">
        <v>3402</v>
      </c>
      <c r="B222" s="8">
        <v>1503050</v>
      </c>
      <c r="C222" s="8">
        <v>3.1</v>
      </c>
      <c r="D222" s="169" t="s">
        <v>206</v>
      </c>
      <c r="E222" s="59">
        <v>12</v>
      </c>
      <c r="F222" s="56" t="s">
        <v>34</v>
      </c>
      <c r="G222" s="63">
        <f t="shared" si="37"/>
        <v>0</v>
      </c>
      <c r="H222" s="63">
        <v>0</v>
      </c>
      <c r="J222" s="57"/>
    </row>
    <row r="223" spans="1:10" x14ac:dyDescent="0.3">
      <c r="A223" s="8" t="s">
        <v>3403</v>
      </c>
      <c r="B223" s="8">
        <v>1503050</v>
      </c>
      <c r="C223" s="8">
        <v>3.2</v>
      </c>
      <c r="D223" s="9" t="s">
        <v>208</v>
      </c>
      <c r="E223" s="59">
        <v>12</v>
      </c>
      <c r="F223" s="56" t="s">
        <v>34</v>
      </c>
      <c r="G223" s="63">
        <f t="shared" si="37"/>
        <v>0</v>
      </c>
      <c r="H223" s="63">
        <v>0</v>
      </c>
      <c r="J223" s="57"/>
    </row>
    <row r="224" spans="1:10" x14ac:dyDescent="0.3">
      <c r="A224" s="8" t="s">
        <v>3404</v>
      </c>
      <c r="B224" s="8">
        <v>1503050</v>
      </c>
      <c r="C224" s="8">
        <v>3.3</v>
      </c>
      <c r="D224" s="9" t="s">
        <v>210</v>
      </c>
      <c r="E224" s="59">
        <v>12</v>
      </c>
      <c r="F224" s="56" t="s">
        <v>34</v>
      </c>
      <c r="G224" s="63">
        <f>H224/E224</f>
        <v>0</v>
      </c>
      <c r="H224" s="63">
        <v>0</v>
      </c>
      <c r="J224" s="57"/>
    </row>
    <row r="225" spans="1:10" x14ac:dyDescent="0.3">
      <c r="A225" s="8" t="s">
        <v>3405</v>
      </c>
      <c r="B225" s="8">
        <v>1503050</v>
      </c>
      <c r="C225" s="8">
        <v>3.5</v>
      </c>
      <c r="D225" s="9" t="s">
        <v>2797</v>
      </c>
      <c r="E225" s="59">
        <v>12</v>
      </c>
      <c r="F225" s="56" t="s">
        <v>34</v>
      </c>
      <c r="G225" s="63">
        <f t="shared" si="37"/>
        <v>0</v>
      </c>
      <c r="H225" s="63">
        <v>0</v>
      </c>
      <c r="J225" s="57"/>
    </row>
    <row r="226" spans="1:10" x14ac:dyDescent="0.3">
      <c r="A226" s="8" t="s">
        <v>3406</v>
      </c>
      <c r="B226" s="8">
        <v>1503050</v>
      </c>
      <c r="C226" s="8">
        <v>3.6</v>
      </c>
      <c r="D226" s="9" t="s">
        <v>213</v>
      </c>
      <c r="E226" s="59">
        <v>12</v>
      </c>
      <c r="F226" s="56" t="s">
        <v>34</v>
      </c>
      <c r="G226" s="63">
        <f t="shared" ref="G226" si="38">SUM(G218:G225)</f>
        <v>0</v>
      </c>
      <c r="H226" s="63">
        <f>SUM(H217:H225)</f>
        <v>0</v>
      </c>
      <c r="J226" s="57"/>
    </row>
    <row r="227" spans="1:10" x14ac:dyDescent="0.3">
      <c r="A227" s="8" t="s">
        <v>3407</v>
      </c>
      <c r="B227" s="8">
        <v>1503050</v>
      </c>
      <c r="C227" s="8">
        <v>3.7</v>
      </c>
      <c r="D227" s="152" t="s">
        <v>215</v>
      </c>
      <c r="E227" s="59">
        <v>12</v>
      </c>
      <c r="F227" s="56" t="s">
        <v>34</v>
      </c>
      <c r="G227" s="63">
        <f>G226+G216+G206+G196</f>
        <v>0</v>
      </c>
      <c r="H227" s="63">
        <f>H226+H216+H206+H196</f>
        <v>0</v>
      </c>
      <c r="J227" s="57" t="s">
        <v>14</v>
      </c>
    </row>
    <row r="228" spans="1:10" ht="15" customHeight="1" x14ac:dyDescent="0.3">
      <c r="A228" s="13"/>
      <c r="B228" s="13"/>
      <c r="C228" s="13"/>
      <c r="D228" s="155" t="s">
        <v>3408</v>
      </c>
      <c r="E228" s="157">
        <v>12</v>
      </c>
      <c r="F228" s="157" t="s">
        <v>34</v>
      </c>
      <c r="G228" s="201">
        <f>G227+G185+G101+G91+G81</f>
        <v>0</v>
      </c>
      <c r="H228" s="20">
        <f>H227+H185+H101+H91+H81</f>
        <v>0</v>
      </c>
    </row>
    <row r="229" spans="1:10" x14ac:dyDescent="0.3">
      <c r="A229" s="13" t="s">
        <v>3409</v>
      </c>
      <c r="B229" s="13">
        <v>1503050</v>
      </c>
      <c r="C229" s="147"/>
      <c r="D229" s="179" t="s">
        <v>2798</v>
      </c>
      <c r="E229" s="8"/>
      <c r="F229" s="8"/>
      <c r="G229" s="8"/>
      <c r="H229" s="8"/>
    </row>
    <row r="230" spans="1:10" ht="12.75" customHeight="1" x14ac:dyDescent="0.3">
      <c r="A230" s="8" t="s">
        <v>3410</v>
      </c>
      <c r="B230" s="8">
        <v>1503050</v>
      </c>
      <c r="C230" s="146">
        <v>3.1</v>
      </c>
      <c r="D230" s="170" t="s">
        <v>219</v>
      </c>
      <c r="E230" s="202">
        <v>12</v>
      </c>
      <c r="F230" s="202" t="s">
        <v>34</v>
      </c>
      <c r="G230" s="203">
        <v>0</v>
      </c>
      <c r="H230" s="204">
        <v>0</v>
      </c>
    </row>
    <row r="231" spans="1:10" x14ac:dyDescent="0.3">
      <c r="A231" s="8" t="s">
        <v>3411</v>
      </c>
      <c r="B231" s="8">
        <v>1503050</v>
      </c>
      <c r="C231" s="146">
        <v>3.1</v>
      </c>
      <c r="D231" s="171" t="s">
        <v>2799</v>
      </c>
      <c r="E231" s="59">
        <v>12</v>
      </c>
      <c r="F231" s="59" t="s">
        <v>34</v>
      </c>
      <c r="G231" s="63">
        <v>0</v>
      </c>
      <c r="H231" s="63">
        <v>0</v>
      </c>
      <c r="J231" s="57" t="s">
        <v>14</v>
      </c>
    </row>
    <row r="232" spans="1:10" x14ac:dyDescent="0.3">
      <c r="A232" s="8" t="s">
        <v>3412</v>
      </c>
      <c r="B232" s="8">
        <v>1503050</v>
      </c>
      <c r="C232" s="8">
        <v>3.1</v>
      </c>
      <c r="D232" s="166" t="s">
        <v>222</v>
      </c>
      <c r="E232" s="59">
        <v>12</v>
      </c>
      <c r="F232" s="59" t="s">
        <v>34</v>
      </c>
      <c r="G232" s="63">
        <v>0</v>
      </c>
      <c r="H232" s="63">
        <v>0</v>
      </c>
      <c r="J232" s="57" t="s">
        <v>14</v>
      </c>
    </row>
    <row r="233" spans="1:10" x14ac:dyDescent="0.3">
      <c r="A233" s="8" t="s">
        <v>3413</v>
      </c>
      <c r="B233" s="8">
        <v>1503050</v>
      </c>
      <c r="C233" s="8">
        <v>3.2</v>
      </c>
      <c r="D233" s="60" t="s">
        <v>224</v>
      </c>
      <c r="E233" s="59">
        <v>12</v>
      </c>
      <c r="F233" s="56" t="s">
        <v>34</v>
      </c>
      <c r="G233" s="63">
        <f t="shared" ref="G233:G234" si="39">H233/E233</f>
        <v>0</v>
      </c>
      <c r="H233" s="63">
        <v>0</v>
      </c>
      <c r="J233" s="57" t="s">
        <v>14</v>
      </c>
    </row>
    <row r="234" spans="1:10" x14ac:dyDescent="0.3">
      <c r="A234" s="8" t="s">
        <v>3414</v>
      </c>
      <c r="B234" s="8">
        <v>1503050</v>
      </c>
      <c r="C234" s="8">
        <v>3.3</v>
      </c>
      <c r="D234" s="9" t="s">
        <v>226</v>
      </c>
      <c r="E234" s="59">
        <v>12</v>
      </c>
      <c r="F234" s="56" t="s">
        <v>34</v>
      </c>
      <c r="G234" s="63">
        <f t="shared" si="39"/>
        <v>0</v>
      </c>
      <c r="H234" s="63">
        <v>0</v>
      </c>
      <c r="J234" s="57" t="s">
        <v>14</v>
      </c>
    </row>
    <row r="235" spans="1:10" x14ac:dyDescent="0.3">
      <c r="A235" s="8" t="s">
        <v>3415</v>
      </c>
      <c r="B235" s="8">
        <v>1503050</v>
      </c>
      <c r="C235" s="8">
        <v>3.5</v>
      </c>
      <c r="D235" s="9" t="s">
        <v>2800</v>
      </c>
      <c r="E235" s="59">
        <v>12</v>
      </c>
      <c r="F235" s="56" t="s">
        <v>34</v>
      </c>
      <c r="G235" s="63">
        <f t="shared" ref="G235" si="40">SUM(G233:G234)</f>
        <v>0</v>
      </c>
      <c r="H235" s="63">
        <f>SUM(H230:H234)</f>
        <v>0</v>
      </c>
      <c r="J235" s="57"/>
    </row>
    <row r="236" spans="1:10" x14ac:dyDescent="0.3">
      <c r="A236" s="8" t="s">
        <v>3416</v>
      </c>
      <c r="B236" s="8">
        <v>1503050</v>
      </c>
      <c r="C236" s="8">
        <v>3.6</v>
      </c>
      <c r="D236" s="9" t="s">
        <v>229</v>
      </c>
      <c r="E236" s="59">
        <v>12</v>
      </c>
      <c r="F236" s="59" t="s">
        <v>34</v>
      </c>
      <c r="G236" s="63">
        <v>0</v>
      </c>
      <c r="H236" s="63">
        <v>0</v>
      </c>
      <c r="J236" s="57"/>
    </row>
    <row r="237" spans="1:10" x14ac:dyDescent="0.3">
      <c r="A237" s="8" t="s">
        <v>3417</v>
      </c>
      <c r="B237" s="8">
        <v>1503050</v>
      </c>
      <c r="C237" s="8">
        <v>3.7</v>
      </c>
      <c r="D237" s="152" t="s">
        <v>231</v>
      </c>
      <c r="E237" s="59">
        <v>12</v>
      </c>
      <c r="F237" s="56" t="s">
        <v>34</v>
      </c>
      <c r="G237" s="63">
        <f t="shared" ref="G237:G238" si="41">H237/E237</f>
        <v>0</v>
      </c>
      <c r="H237" s="63">
        <v>0</v>
      </c>
      <c r="J237" s="57"/>
    </row>
    <row r="238" spans="1:10" x14ac:dyDescent="0.3">
      <c r="A238" s="13"/>
      <c r="B238" s="13"/>
      <c r="C238" s="13"/>
      <c r="D238" s="155" t="s">
        <v>3418</v>
      </c>
      <c r="E238" s="193">
        <v>12</v>
      </c>
      <c r="F238" s="189" t="s">
        <v>34</v>
      </c>
      <c r="G238" s="190">
        <f t="shared" si="41"/>
        <v>0</v>
      </c>
      <c r="H238" s="63">
        <v>0</v>
      </c>
      <c r="J238" s="57"/>
    </row>
    <row r="239" spans="1:10" x14ac:dyDescent="0.3">
      <c r="A239" s="13" t="s">
        <v>3419</v>
      </c>
      <c r="B239" s="13">
        <v>1503050</v>
      </c>
      <c r="C239" s="146"/>
      <c r="D239" s="179" t="s">
        <v>2801</v>
      </c>
      <c r="E239" s="59"/>
      <c r="F239" s="56"/>
      <c r="G239" s="63"/>
      <c r="H239" s="188"/>
      <c r="J239" s="57"/>
    </row>
    <row r="240" spans="1:10" x14ac:dyDescent="0.3">
      <c r="A240" s="8" t="s">
        <v>3420</v>
      </c>
      <c r="B240" s="8">
        <v>1503050</v>
      </c>
      <c r="C240" s="146">
        <v>3.1</v>
      </c>
      <c r="D240" s="167" t="s">
        <v>2802</v>
      </c>
      <c r="E240" s="194">
        <v>12</v>
      </c>
      <c r="F240" s="194" t="s">
        <v>34</v>
      </c>
      <c r="G240" s="196">
        <v>0</v>
      </c>
      <c r="H240" s="63">
        <v>0</v>
      </c>
      <c r="J240" s="57"/>
    </row>
    <row r="241" spans="1:10" x14ac:dyDescent="0.3">
      <c r="A241" s="8" t="s">
        <v>3421</v>
      </c>
      <c r="B241" s="8">
        <v>1503050</v>
      </c>
      <c r="C241" s="146">
        <v>3.1</v>
      </c>
      <c r="D241" s="168" t="s">
        <v>236</v>
      </c>
      <c r="E241" s="59">
        <v>12</v>
      </c>
      <c r="F241" s="56" t="s">
        <v>34</v>
      </c>
      <c r="G241" s="63">
        <f t="shared" ref="G241:G242" si="42">H241/E241</f>
        <v>0</v>
      </c>
      <c r="H241" s="63">
        <v>0</v>
      </c>
      <c r="J241" s="57"/>
    </row>
    <row r="242" spans="1:10" ht="12.75" customHeight="1" x14ac:dyDescent="0.3">
      <c r="A242" s="8" t="s">
        <v>3422</v>
      </c>
      <c r="B242" s="8">
        <v>1503050</v>
      </c>
      <c r="C242" s="8">
        <v>3.1</v>
      </c>
      <c r="D242" s="169" t="s">
        <v>238</v>
      </c>
      <c r="E242" s="59">
        <v>12</v>
      </c>
      <c r="F242" s="56" t="s">
        <v>34</v>
      </c>
      <c r="G242" s="63">
        <f t="shared" si="42"/>
        <v>0</v>
      </c>
      <c r="H242" s="63">
        <v>0</v>
      </c>
      <c r="J242" s="57"/>
    </row>
    <row r="243" spans="1:10" ht="12.75" customHeight="1" x14ac:dyDescent="0.3">
      <c r="A243" s="8" t="s">
        <v>3423</v>
      </c>
      <c r="B243" s="8">
        <v>1503050</v>
      </c>
      <c r="C243" s="8">
        <v>3.2</v>
      </c>
      <c r="D243" s="9" t="s">
        <v>240</v>
      </c>
      <c r="E243" s="59">
        <v>12</v>
      </c>
      <c r="F243" s="56" t="s">
        <v>34</v>
      </c>
      <c r="G243" s="63">
        <f t="shared" ref="G243" si="43">SUM(G241:G242)</f>
        <v>0</v>
      </c>
      <c r="H243" s="63">
        <f>SUM(H240:H242)</f>
        <v>0</v>
      </c>
      <c r="J243" s="57"/>
    </row>
    <row r="244" spans="1:10" x14ac:dyDescent="0.3">
      <c r="A244" s="8" t="s">
        <v>3424</v>
      </c>
      <c r="B244" s="8">
        <v>1503050</v>
      </c>
      <c r="C244" s="8">
        <v>3.3</v>
      </c>
      <c r="D244" s="9" t="s">
        <v>242</v>
      </c>
      <c r="E244" s="59">
        <v>12</v>
      </c>
      <c r="F244" s="59" t="s">
        <v>34</v>
      </c>
      <c r="G244" s="63">
        <v>0</v>
      </c>
      <c r="H244" s="63">
        <v>0</v>
      </c>
      <c r="J244" s="57"/>
    </row>
    <row r="245" spans="1:10" x14ac:dyDescent="0.3">
      <c r="A245" s="8" t="s">
        <v>3425</v>
      </c>
      <c r="B245" s="8">
        <v>1503050</v>
      </c>
      <c r="C245" s="8">
        <v>3.5</v>
      </c>
      <c r="D245" s="9" t="s">
        <v>2803</v>
      </c>
      <c r="E245" s="59">
        <v>12</v>
      </c>
      <c r="F245" s="56" t="s">
        <v>34</v>
      </c>
      <c r="G245" s="63">
        <f t="shared" ref="G245:G246" si="44">H245/E245</f>
        <v>0</v>
      </c>
      <c r="H245" s="63">
        <v>0</v>
      </c>
      <c r="J245" s="57"/>
    </row>
    <row r="246" spans="1:10" x14ac:dyDescent="0.3">
      <c r="A246" s="8" t="s">
        <v>3426</v>
      </c>
      <c r="B246" s="8">
        <v>1503050</v>
      </c>
      <c r="C246" s="8">
        <v>3.6</v>
      </c>
      <c r="D246" s="172" t="s">
        <v>245</v>
      </c>
      <c r="E246" s="59">
        <v>12</v>
      </c>
      <c r="F246" s="56" t="s">
        <v>34</v>
      </c>
      <c r="G246" s="63">
        <f t="shared" si="44"/>
        <v>0</v>
      </c>
      <c r="H246" s="63">
        <v>0</v>
      </c>
      <c r="J246" s="57"/>
    </row>
    <row r="247" spans="1:10" x14ac:dyDescent="0.3">
      <c r="A247" s="8" t="s">
        <v>3427</v>
      </c>
      <c r="B247" s="8">
        <v>1503050</v>
      </c>
      <c r="C247" s="146">
        <v>3.7</v>
      </c>
      <c r="D247" s="168" t="s">
        <v>247</v>
      </c>
      <c r="E247" s="59">
        <v>12</v>
      </c>
      <c r="F247" s="56" t="s">
        <v>34</v>
      </c>
      <c r="G247" s="63">
        <f t="shared" ref="G247" si="45">SUM(G245:G246)</f>
        <v>0</v>
      </c>
      <c r="H247" s="63">
        <f>SUM(H244:H246)</f>
        <v>0</v>
      </c>
      <c r="J247" s="57"/>
    </row>
    <row r="248" spans="1:10" ht="12.75" customHeight="1" x14ac:dyDescent="0.3">
      <c r="A248" s="13"/>
      <c r="B248" s="13"/>
      <c r="C248" s="147"/>
      <c r="D248" s="173" t="s">
        <v>3428</v>
      </c>
      <c r="E248" s="193">
        <v>12</v>
      </c>
      <c r="F248" s="193" t="s">
        <v>34</v>
      </c>
      <c r="G248" s="190">
        <v>0</v>
      </c>
      <c r="H248" s="63">
        <v>0</v>
      </c>
      <c r="J248" s="57"/>
    </row>
    <row r="249" spans="1:10" x14ac:dyDescent="0.3">
      <c r="A249" s="13" t="s">
        <v>3429</v>
      </c>
      <c r="B249" s="13">
        <v>1503050</v>
      </c>
      <c r="C249" s="147"/>
      <c r="D249" s="179" t="s">
        <v>2804</v>
      </c>
      <c r="E249" s="56"/>
      <c r="F249" s="56"/>
      <c r="G249" s="63"/>
      <c r="H249" s="63"/>
      <c r="J249" s="57"/>
    </row>
    <row r="250" spans="1:10" x14ac:dyDescent="0.3">
      <c r="A250" s="8" t="s">
        <v>3430</v>
      </c>
      <c r="B250" s="8">
        <v>1503050</v>
      </c>
      <c r="C250" s="146">
        <v>3.1</v>
      </c>
      <c r="D250" s="170" t="s">
        <v>2805</v>
      </c>
      <c r="E250" s="194">
        <v>12</v>
      </c>
      <c r="F250" s="195" t="s">
        <v>34</v>
      </c>
      <c r="G250" s="196">
        <f t="shared" ref="G250:G251" si="46">H250/E250</f>
        <v>0</v>
      </c>
      <c r="H250" s="63">
        <v>0</v>
      </c>
      <c r="J250" s="57"/>
    </row>
    <row r="251" spans="1:10" x14ac:dyDescent="0.3">
      <c r="A251" s="8" t="s">
        <v>3431</v>
      </c>
      <c r="B251" s="8">
        <v>1503050</v>
      </c>
      <c r="C251" s="146">
        <v>3.1</v>
      </c>
      <c r="D251" s="171" t="s">
        <v>252</v>
      </c>
      <c r="E251" s="59">
        <v>12</v>
      </c>
      <c r="F251" s="56" t="s">
        <v>34</v>
      </c>
      <c r="G251" s="63">
        <f t="shared" si="46"/>
        <v>0</v>
      </c>
      <c r="H251" s="63">
        <v>0</v>
      </c>
      <c r="J251" s="57"/>
    </row>
    <row r="252" spans="1:10" x14ac:dyDescent="0.3">
      <c r="A252" s="8" t="s">
        <v>3432</v>
      </c>
      <c r="B252" s="8">
        <v>1503050</v>
      </c>
      <c r="C252" s="8">
        <v>3.1</v>
      </c>
      <c r="D252" s="166" t="s">
        <v>254</v>
      </c>
      <c r="E252" s="59">
        <v>12</v>
      </c>
      <c r="F252" s="56" t="s">
        <v>34</v>
      </c>
      <c r="G252" s="63">
        <f t="shared" ref="G252:H252" si="47">SUM(G250:G251)</f>
        <v>0</v>
      </c>
      <c r="H252" s="63">
        <f t="shared" si="47"/>
        <v>0</v>
      </c>
      <c r="J252" s="57"/>
    </row>
    <row r="253" spans="1:10" x14ac:dyDescent="0.3">
      <c r="A253" s="8" t="s">
        <v>3433</v>
      </c>
      <c r="B253" s="8">
        <v>1503050</v>
      </c>
      <c r="C253" s="8">
        <v>3.2</v>
      </c>
      <c r="D253" s="60" t="s">
        <v>256</v>
      </c>
      <c r="E253" s="59">
        <v>12</v>
      </c>
      <c r="F253" s="59" t="s">
        <v>34</v>
      </c>
      <c r="G253" s="63">
        <v>0</v>
      </c>
      <c r="H253" s="63">
        <v>0</v>
      </c>
      <c r="J253" s="57"/>
    </row>
    <row r="254" spans="1:10" x14ac:dyDescent="0.3">
      <c r="A254" s="8" t="s">
        <v>3434</v>
      </c>
      <c r="B254" s="8">
        <v>1503050</v>
      </c>
      <c r="C254" s="8">
        <v>3.3</v>
      </c>
      <c r="D254" s="9" t="s">
        <v>258</v>
      </c>
      <c r="E254" s="59">
        <v>12</v>
      </c>
      <c r="F254" s="56" t="s">
        <v>34</v>
      </c>
      <c r="G254" s="63">
        <f t="shared" ref="G254:G255" si="48">H254/E254</f>
        <v>0</v>
      </c>
      <c r="H254" s="63">
        <v>0</v>
      </c>
      <c r="J254" s="57"/>
    </row>
    <row r="255" spans="1:10" x14ac:dyDescent="0.3">
      <c r="A255" s="8" t="s">
        <v>3435</v>
      </c>
      <c r="B255" s="8">
        <v>1503050</v>
      </c>
      <c r="C255" s="8">
        <v>3.5</v>
      </c>
      <c r="D255" s="9" t="s">
        <v>2806</v>
      </c>
      <c r="E255" s="59">
        <v>12</v>
      </c>
      <c r="F255" s="56" t="s">
        <v>34</v>
      </c>
      <c r="G255" s="63">
        <f t="shared" si="48"/>
        <v>0</v>
      </c>
      <c r="H255" s="63">
        <v>0</v>
      </c>
      <c r="J255" s="57"/>
    </row>
    <row r="256" spans="1:10" x14ac:dyDescent="0.3">
      <c r="A256" s="8" t="s">
        <v>3436</v>
      </c>
      <c r="B256" s="8">
        <v>1503050</v>
      </c>
      <c r="C256" s="8">
        <v>3.6</v>
      </c>
      <c r="D256" s="172" t="s">
        <v>261</v>
      </c>
      <c r="E256" s="59">
        <v>12</v>
      </c>
      <c r="F256" s="56" t="s">
        <v>34</v>
      </c>
      <c r="G256" s="63">
        <f t="shared" ref="G256" si="49">SUM(G254:G255)</f>
        <v>0</v>
      </c>
      <c r="H256" s="63">
        <f>SUM(H253:H255)</f>
        <v>0</v>
      </c>
      <c r="J256" s="57"/>
    </row>
    <row r="257" spans="1:10" ht="12.75" customHeight="1" x14ac:dyDescent="0.3">
      <c r="A257" s="8" t="s">
        <v>3437</v>
      </c>
      <c r="B257" s="8">
        <v>1503050</v>
      </c>
      <c r="C257" s="146">
        <v>3.7</v>
      </c>
      <c r="D257" s="168" t="s">
        <v>263</v>
      </c>
      <c r="E257" s="59">
        <v>12</v>
      </c>
      <c r="F257" s="56" t="s">
        <v>34</v>
      </c>
      <c r="G257" s="63">
        <v>0</v>
      </c>
      <c r="H257" s="63">
        <v>0</v>
      </c>
      <c r="J257" s="57"/>
    </row>
    <row r="258" spans="1:10" x14ac:dyDescent="0.3">
      <c r="A258" s="13"/>
      <c r="B258" s="13"/>
      <c r="C258" s="147"/>
      <c r="D258" s="173" t="s">
        <v>3438</v>
      </c>
      <c r="E258" s="193">
        <v>12</v>
      </c>
      <c r="F258" s="189" t="s">
        <v>34</v>
      </c>
      <c r="G258" s="190">
        <f>G256+G247+G243+G239+G235</f>
        <v>0</v>
      </c>
      <c r="H258" s="63">
        <f>H256+H247+H243+H239+H235</f>
        <v>0</v>
      </c>
      <c r="J258" s="57" t="s">
        <v>14</v>
      </c>
    </row>
    <row r="259" spans="1:10" x14ac:dyDescent="0.3">
      <c r="A259" s="13" t="s">
        <v>3439</v>
      </c>
      <c r="B259" s="13">
        <v>1503050</v>
      </c>
      <c r="C259" s="147"/>
      <c r="D259" s="179" t="s">
        <v>266</v>
      </c>
      <c r="E259" s="56"/>
      <c r="F259" s="56"/>
      <c r="G259" s="63"/>
      <c r="H259" s="63"/>
      <c r="J259" s="57" t="s">
        <v>14</v>
      </c>
    </row>
    <row r="260" spans="1:10" x14ac:dyDescent="0.3">
      <c r="A260" s="8" t="s">
        <v>3440</v>
      </c>
      <c r="B260" s="8">
        <v>1503050</v>
      </c>
      <c r="C260" s="146">
        <v>3.1</v>
      </c>
      <c r="D260" s="170" t="s">
        <v>2807</v>
      </c>
      <c r="E260" s="194">
        <v>12</v>
      </c>
      <c r="F260" s="194" t="s">
        <v>34</v>
      </c>
      <c r="G260" s="196">
        <v>0</v>
      </c>
      <c r="H260" s="63">
        <v>0</v>
      </c>
      <c r="J260" s="57" t="s">
        <v>14</v>
      </c>
    </row>
    <row r="261" spans="1:10" x14ac:dyDescent="0.3">
      <c r="A261" s="8" t="s">
        <v>3441</v>
      </c>
      <c r="B261" s="8">
        <v>1503050</v>
      </c>
      <c r="C261" s="146">
        <v>3.1</v>
      </c>
      <c r="D261" s="171" t="s">
        <v>269</v>
      </c>
      <c r="E261" s="59">
        <v>12</v>
      </c>
      <c r="F261" s="59" t="s">
        <v>34</v>
      </c>
      <c r="G261" s="63">
        <v>0</v>
      </c>
      <c r="H261" s="63">
        <v>0</v>
      </c>
      <c r="J261" s="57" t="s">
        <v>14</v>
      </c>
    </row>
    <row r="262" spans="1:10" x14ac:dyDescent="0.3">
      <c r="A262" s="8" t="s">
        <v>3442</v>
      </c>
      <c r="B262" s="8">
        <v>1503050</v>
      </c>
      <c r="C262" s="146">
        <v>3.1</v>
      </c>
      <c r="D262" s="171" t="s">
        <v>271</v>
      </c>
      <c r="E262" s="59">
        <v>12</v>
      </c>
      <c r="F262" s="59" t="s">
        <v>34</v>
      </c>
      <c r="G262" s="63">
        <v>0</v>
      </c>
      <c r="H262" s="63">
        <v>0</v>
      </c>
      <c r="J262" s="57"/>
    </row>
    <row r="263" spans="1:10" x14ac:dyDescent="0.3">
      <c r="A263" s="8" t="s">
        <v>3443</v>
      </c>
      <c r="B263" s="8">
        <v>1503050</v>
      </c>
      <c r="C263" s="8">
        <v>3.2</v>
      </c>
      <c r="D263" s="174" t="s">
        <v>273</v>
      </c>
      <c r="E263" s="59">
        <v>12</v>
      </c>
      <c r="F263" s="59" t="s">
        <v>34</v>
      </c>
      <c r="G263" s="63">
        <v>0</v>
      </c>
      <c r="H263" s="63">
        <v>0</v>
      </c>
      <c r="J263" s="57" t="s">
        <v>14</v>
      </c>
    </row>
    <row r="264" spans="1:10" x14ac:dyDescent="0.3">
      <c r="A264" s="8" t="s">
        <v>3444</v>
      </c>
      <c r="B264" s="8">
        <v>1503050</v>
      </c>
      <c r="C264" s="8">
        <v>3.3</v>
      </c>
      <c r="D264" s="9" t="s">
        <v>275</v>
      </c>
      <c r="E264" s="59">
        <v>12</v>
      </c>
      <c r="F264" s="59" t="s">
        <v>34</v>
      </c>
      <c r="G264" s="63">
        <v>0</v>
      </c>
      <c r="H264" s="63">
        <v>0</v>
      </c>
      <c r="J264" s="57" t="s">
        <v>14</v>
      </c>
    </row>
    <row r="265" spans="1:10" ht="12.75" customHeight="1" x14ac:dyDescent="0.3">
      <c r="A265" s="8" t="s">
        <v>3445</v>
      </c>
      <c r="B265" s="8">
        <v>1503050</v>
      </c>
      <c r="C265" s="8">
        <v>3.5</v>
      </c>
      <c r="D265" s="9" t="s">
        <v>2808</v>
      </c>
      <c r="E265" s="59">
        <v>12</v>
      </c>
      <c r="F265" s="59" t="s">
        <v>34</v>
      </c>
      <c r="G265" s="63">
        <v>0</v>
      </c>
      <c r="H265" s="63">
        <v>0</v>
      </c>
      <c r="J265" s="57"/>
    </row>
    <row r="266" spans="1:10" x14ac:dyDescent="0.3">
      <c r="A266" s="8" t="s">
        <v>3446</v>
      </c>
      <c r="B266" s="8">
        <v>1503050</v>
      </c>
      <c r="C266" s="8">
        <v>3.6</v>
      </c>
      <c r="D266" s="172" t="s">
        <v>278</v>
      </c>
      <c r="E266" s="59">
        <v>12</v>
      </c>
      <c r="F266" s="56" t="s">
        <v>34</v>
      </c>
      <c r="G266" s="63">
        <f t="shared" ref="G266:G267" si="50">H266/E266</f>
        <v>0</v>
      </c>
      <c r="H266" s="63">
        <v>0</v>
      </c>
      <c r="J266" s="57"/>
    </row>
    <row r="267" spans="1:10" ht="12.75" customHeight="1" x14ac:dyDescent="0.3">
      <c r="A267" s="8" t="s">
        <v>3447</v>
      </c>
      <c r="B267" s="8">
        <v>1503050</v>
      </c>
      <c r="C267" s="146">
        <v>3.7</v>
      </c>
      <c r="D267" s="168" t="s">
        <v>280</v>
      </c>
      <c r="E267" s="59">
        <v>12</v>
      </c>
      <c r="F267" s="56" t="s">
        <v>34</v>
      </c>
      <c r="G267" s="63">
        <f t="shared" si="50"/>
        <v>0</v>
      </c>
      <c r="H267" s="63">
        <v>0</v>
      </c>
      <c r="J267" s="57"/>
    </row>
    <row r="268" spans="1:10" x14ac:dyDescent="0.3">
      <c r="A268" s="13"/>
      <c r="B268" s="13"/>
      <c r="C268" s="147"/>
      <c r="D268" s="175" t="s">
        <v>3448</v>
      </c>
      <c r="E268" s="59">
        <v>12</v>
      </c>
      <c r="F268" s="56" t="s">
        <v>34</v>
      </c>
      <c r="G268" s="63">
        <f t="shared" ref="G268" si="51">SUM(G266:G267)</f>
        <v>0</v>
      </c>
      <c r="H268" s="63">
        <f>SUM(H260:H267)</f>
        <v>0</v>
      </c>
      <c r="J268" s="57"/>
    </row>
    <row r="269" spans="1:10" x14ac:dyDescent="0.3">
      <c r="A269" s="13" t="s">
        <v>3368</v>
      </c>
      <c r="B269" s="13">
        <v>1503050</v>
      </c>
      <c r="C269" s="147" t="s">
        <v>14</v>
      </c>
      <c r="D269" s="173" t="s">
        <v>282</v>
      </c>
      <c r="E269" s="193">
        <v>12</v>
      </c>
      <c r="F269" s="193" t="s">
        <v>34</v>
      </c>
      <c r="G269" s="190">
        <v>0</v>
      </c>
      <c r="H269" s="63">
        <v>0</v>
      </c>
      <c r="J269" s="57"/>
    </row>
    <row r="270" spans="1:10" x14ac:dyDescent="0.3">
      <c r="A270" s="13" t="s">
        <v>3449</v>
      </c>
      <c r="B270" s="13"/>
      <c r="C270" s="147" t="s">
        <v>14</v>
      </c>
      <c r="D270" s="185" t="s">
        <v>284</v>
      </c>
      <c r="E270" s="56"/>
      <c r="F270" s="56"/>
      <c r="G270" s="63"/>
      <c r="H270" s="63"/>
      <c r="J270" s="57"/>
    </row>
    <row r="271" spans="1:10" x14ac:dyDescent="0.3">
      <c r="A271" s="13" t="s">
        <v>3450</v>
      </c>
      <c r="B271" s="13">
        <v>1503050</v>
      </c>
      <c r="C271" s="147"/>
      <c r="D271" s="163" t="s">
        <v>2809</v>
      </c>
      <c r="E271" s="194">
        <v>12</v>
      </c>
      <c r="F271" s="195" t="s">
        <v>34</v>
      </c>
      <c r="G271" s="196">
        <f t="shared" ref="G271:G272" si="52">H271/E271</f>
        <v>0</v>
      </c>
      <c r="H271" s="63">
        <v>0</v>
      </c>
      <c r="J271" s="57"/>
    </row>
    <row r="272" spans="1:10" x14ac:dyDescent="0.3">
      <c r="A272" s="8" t="s">
        <v>3451</v>
      </c>
      <c r="B272" s="8">
        <v>1503050</v>
      </c>
      <c r="C272" s="146">
        <v>3.1</v>
      </c>
      <c r="D272" s="170" t="s">
        <v>2810</v>
      </c>
      <c r="E272" s="59">
        <v>12</v>
      </c>
      <c r="F272" s="56" t="s">
        <v>34</v>
      </c>
      <c r="G272" s="63">
        <f t="shared" si="52"/>
        <v>0</v>
      </c>
      <c r="H272" s="63">
        <v>0</v>
      </c>
      <c r="J272" s="57"/>
    </row>
    <row r="273" spans="1:10" x14ac:dyDescent="0.3">
      <c r="A273" s="8" t="s">
        <v>3452</v>
      </c>
      <c r="B273" s="8">
        <v>1503050</v>
      </c>
      <c r="C273" s="146">
        <v>3.1</v>
      </c>
      <c r="D273" s="171" t="s">
        <v>2811</v>
      </c>
      <c r="E273" s="59">
        <v>12</v>
      </c>
      <c r="F273" s="56" t="s">
        <v>34</v>
      </c>
      <c r="G273" s="63">
        <f t="shared" ref="G273:H273" si="53">SUM(G271:G272)</f>
        <v>0</v>
      </c>
      <c r="H273" s="63">
        <f t="shared" si="53"/>
        <v>0</v>
      </c>
      <c r="J273" s="57"/>
    </row>
    <row r="274" spans="1:10" ht="12.75" customHeight="1" x14ac:dyDescent="0.3">
      <c r="A274" s="8" t="s">
        <v>3453</v>
      </c>
      <c r="B274" s="8">
        <v>1503050</v>
      </c>
      <c r="C274" s="8">
        <v>3.1</v>
      </c>
      <c r="D274" s="166" t="s">
        <v>289</v>
      </c>
      <c r="E274" s="59">
        <v>12</v>
      </c>
      <c r="F274" s="59" t="s">
        <v>34</v>
      </c>
      <c r="G274" s="63">
        <v>0</v>
      </c>
      <c r="H274" s="63">
        <v>0</v>
      </c>
      <c r="J274" s="57"/>
    </row>
    <row r="275" spans="1:10" x14ac:dyDescent="0.3">
      <c r="A275" s="8" t="s">
        <v>3454</v>
      </c>
      <c r="B275" s="8">
        <v>1503050</v>
      </c>
      <c r="C275" s="8">
        <v>3.2</v>
      </c>
      <c r="D275" s="60" t="s">
        <v>291</v>
      </c>
      <c r="E275" s="59">
        <v>12</v>
      </c>
      <c r="F275" s="56" t="s">
        <v>34</v>
      </c>
      <c r="G275" s="63">
        <f t="shared" ref="G275:G276" si="54">H275/E275</f>
        <v>0</v>
      </c>
      <c r="H275" s="63">
        <v>0</v>
      </c>
      <c r="J275" s="57"/>
    </row>
    <row r="276" spans="1:10" ht="12.75" customHeight="1" x14ac:dyDescent="0.3">
      <c r="A276" s="8" t="s">
        <v>3455</v>
      </c>
      <c r="B276" s="8">
        <v>1503050</v>
      </c>
      <c r="C276" s="8">
        <v>3.3</v>
      </c>
      <c r="D276" s="9" t="s">
        <v>2812</v>
      </c>
      <c r="E276" s="59">
        <v>12</v>
      </c>
      <c r="F276" s="56" t="s">
        <v>34</v>
      </c>
      <c r="G276" s="63">
        <f t="shared" si="54"/>
        <v>0</v>
      </c>
      <c r="H276" s="63">
        <v>0</v>
      </c>
      <c r="J276" s="57"/>
    </row>
    <row r="277" spans="1:10" x14ac:dyDescent="0.3">
      <c r="A277" s="8" t="s">
        <v>3456</v>
      </c>
      <c r="B277" s="8">
        <v>1503050</v>
      </c>
      <c r="C277" s="8">
        <v>3.5</v>
      </c>
      <c r="D277" s="172" t="s">
        <v>2813</v>
      </c>
      <c r="E277" s="59">
        <v>12</v>
      </c>
      <c r="F277" s="56" t="s">
        <v>34</v>
      </c>
      <c r="G277" s="63">
        <f t="shared" ref="G277" si="55">SUM(G275:G276)</f>
        <v>0</v>
      </c>
      <c r="H277" s="63">
        <f>SUM(H274:H276)</f>
        <v>0</v>
      </c>
      <c r="J277" s="57"/>
    </row>
    <row r="278" spans="1:10" x14ac:dyDescent="0.3">
      <c r="A278" s="8" t="s">
        <v>3457</v>
      </c>
      <c r="B278" s="8">
        <v>1503050</v>
      </c>
      <c r="C278" s="146">
        <v>3.6</v>
      </c>
      <c r="D278" s="168" t="s">
        <v>295</v>
      </c>
      <c r="E278" s="59">
        <v>12</v>
      </c>
      <c r="F278" s="59" t="s">
        <v>34</v>
      </c>
      <c r="G278" s="63">
        <v>0</v>
      </c>
      <c r="H278" s="63">
        <v>0</v>
      </c>
      <c r="J278" s="57"/>
    </row>
    <row r="279" spans="1:10" x14ac:dyDescent="0.3">
      <c r="A279" s="8" t="s">
        <v>3458</v>
      </c>
      <c r="B279" s="8">
        <v>1503050</v>
      </c>
      <c r="C279" s="146">
        <v>3.7</v>
      </c>
      <c r="D279" s="168" t="s">
        <v>297</v>
      </c>
      <c r="E279" s="59">
        <v>12</v>
      </c>
      <c r="F279" s="56" t="s">
        <v>34</v>
      </c>
      <c r="G279" s="63">
        <f t="shared" ref="G279:G280" si="56">H279/E279</f>
        <v>0</v>
      </c>
      <c r="H279" s="63">
        <v>0</v>
      </c>
      <c r="J279" s="57"/>
    </row>
    <row r="280" spans="1:10" x14ac:dyDescent="0.3">
      <c r="A280" s="13"/>
      <c r="B280" s="13"/>
      <c r="C280" s="147"/>
      <c r="D280" s="173" t="s">
        <v>3459</v>
      </c>
      <c r="E280" s="193">
        <v>12</v>
      </c>
      <c r="F280" s="189" t="s">
        <v>34</v>
      </c>
      <c r="G280" s="190">
        <f t="shared" si="56"/>
        <v>0</v>
      </c>
      <c r="H280" s="63">
        <v>0</v>
      </c>
      <c r="J280" s="57"/>
    </row>
    <row r="281" spans="1:10" x14ac:dyDescent="0.3">
      <c r="A281" s="13" t="s">
        <v>3460</v>
      </c>
      <c r="B281" s="13">
        <v>1503050</v>
      </c>
      <c r="C281" s="146"/>
      <c r="D281" s="179" t="s">
        <v>2815</v>
      </c>
      <c r="E281" s="59"/>
      <c r="F281" s="56"/>
      <c r="G281" s="63"/>
      <c r="H281" s="63"/>
      <c r="J281" s="57"/>
    </row>
    <row r="282" spans="1:10" ht="12.75" customHeight="1" x14ac:dyDescent="0.3">
      <c r="A282" s="8" t="s">
        <v>3461</v>
      </c>
      <c r="B282" s="8">
        <v>1503050</v>
      </c>
      <c r="C282" s="8">
        <v>3.1</v>
      </c>
      <c r="D282" s="53" t="s">
        <v>2816</v>
      </c>
      <c r="E282" s="194">
        <v>12</v>
      </c>
      <c r="F282" s="195" t="s">
        <v>34</v>
      </c>
      <c r="G282" s="196">
        <f>G281+G277+G273+G268</f>
        <v>0</v>
      </c>
      <c r="H282" s="63">
        <f>H281+H277+H273+H268</f>
        <v>0</v>
      </c>
      <c r="J282" s="57" t="s">
        <v>14</v>
      </c>
    </row>
    <row r="283" spans="1:10" ht="12.75" customHeight="1" x14ac:dyDescent="0.3">
      <c r="A283" s="8" t="s">
        <v>3462</v>
      </c>
      <c r="B283" s="8">
        <v>1503050</v>
      </c>
      <c r="C283" s="8">
        <v>3.1</v>
      </c>
      <c r="D283" s="152" t="s">
        <v>301</v>
      </c>
      <c r="E283" s="8">
        <v>12</v>
      </c>
      <c r="F283" s="8" t="s">
        <v>34</v>
      </c>
      <c r="G283" s="20">
        <f>G282+G258</f>
        <v>0</v>
      </c>
      <c r="H283" s="20">
        <f>H282+H258</f>
        <v>0</v>
      </c>
    </row>
    <row r="284" spans="1:10" ht="12.75" customHeight="1" x14ac:dyDescent="0.3">
      <c r="A284" s="8" t="s">
        <v>3463</v>
      </c>
      <c r="B284" s="8">
        <v>1503050</v>
      </c>
      <c r="C284" s="8">
        <v>3.1</v>
      </c>
      <c r="D284" s="9" t="s">
        <v>303</v>
      </c>
      <c r="E284" s="8">
        <v>12</v>
      </c>
      <c r="F284" s="8" t="s">
        <v>34</v>
      </c>
      <c r="G284" s="20">
        <f>G283+G228</f>
        <v>0</v>
      </c>
      <c r="H284" s="20">
        <f>H283+H228</f>
        <v>0</v>
      </c>
    </row>
    <row r="285" spans="1:10" x14ac:dyDescent="0.3">
      <c r="A285" s="8" t="s">
        <v>3464</v>
      </c>
      <c r="B285" s="8">
        <v>1503050</v>
      </c>
      <c r="C285" s="8">
        <v>3.2</v>
      </c>
      <c r="D285" s="152" t="s">
        <v>305</v>
      </c>
      <c r="E285" s="8">
        <v>12</v>
      </c>
      <c r="F285" s="8" t="s">
        <v>34</v>
      </c>
      <c r="G285" s="20">
        <v>0</v>
      </c>
      <c r="H285" s="20">
        <v>0</v>
      </c>
    </row>
    <row r="286" spans="1:10" x14ac:dyDescent="0.3">
      <c r="A286" s="8" t="s">
        <v>3465</v>
      </c>
      <c r="B286" s="8">
        <v>1503050</v>
      </c>
      <c r="C286" s="8">
        <v>3.3</v>
      </c>
      <c r="D286" s="152" t="s">
        <v>2817</v>
      </c>
      <c r="E286" s="8">
        <v>12</v>
      </c>
      <c r="F286" s="8" t="s">
        <v>34</v>
      </c>
      <c r="G286" s="20">
        <v>0</v>
      </c>
      <c r="H286" s="20">
        <v>0</v>
      </c>
    </row>
    <row r="287" spans="1:10" x14ac:dyDescent="0.3">
      <c r="A287" s="8" t="s">
        <v>3466</v>
      </c>
      <c r="B287" s="8">
        <v>1503050</v>
      </c>
      <c r="C287" s="8">
        <v>3.5</v>
      </c>
      <c r="D287" s="152" t="s">
        <v>2818</v>
      </c>
      <c r="E287" s="8">
        <v>12</v>
      </c>
      <c r="F287" s="8" t="s">
        <v>34</v>
      </c>
      <c r="G287" s="20">
        <v>0</v>
      </c>
      <c r="H287" s="20">
        <v>0</v>
      </c>
    </row>
    <row r="288" spans="1:10" x14ac:dyDescent="0.3">
      <c r="A288" s="8" t="s">
        <v>3467</v>
      </c>
      <c r="B288" s="8">
        <v>1503050</v>
      </c>
      <c r="C288" s="8">
        <v>3.6</v>
      </c>
      <c r="D288" s="152" t="s">
        <v>309</v>
      </c>
      <c r="E288" s="8">
        <v>12</v>
      </c>
      <c r="F288" s="8" t="s">
        <v>34</v>
      </c>
      <c r="G288" s="20">
        <v>0</v>
      </c>
      <c r="H288" s="20">
        <v>0</v>
      </c>
    </row>
    <row r="289" spans="1:8" x14ac:dyDescent="0.3">
      <c r="A289" s="8" t="s">
        <v>3468</v>
      </c>
      <c r="B289" s="8">
        <v>1503050</v>
      </c>
      <c r="C289" s="8">
        <v>3.7</v>
      </c>
      <c r="D289" s="152" t="s">
        <v>2819</v>
      </c>
      <c r="E289" s="8">
        <v>12</v>
      </c>
      <c r="F289" s="8" t="s">
        <v>34</v>
      </c>
      <c r="G289" s="20">
        <v>0</v>
      </c>
      <c r="H289" s="20">
        <v>0</v>
      </c>
    </row>
    <row r="290" spans="1:8" x14ac:dyDescent="0.3">
      <c r="A290" s="13"/>
      <c r="B290" s="13"/>
      <c r="C290" s="13"/>
      <c r="D290" s="155" t="s">
        <v>3469</v>
      </c>
      <c r="E290" s="157">
        <v>12</v>
      </c>
      <c r="F290" s="157" t="s">
        <v>34</v>
      </c>
      <c r="G290" s="201">
        <v>0</v>
      </c>
      <c r="H290" s="20">
        <v>0</v>
      </c>
    </row>
    <row r="291" spans="1:8" x14ac:dyDescent="0.3">
      <c r="A291" s="13" t="s">
        <v>3470</v>
      </c>
      <c r="B291" s="13">
        <v>1503050</v>
      </c>
      <c r="C291" s="147"/>
      <c r="D291" s="177" t="s">
        <v>2820</v>
      </c>
      <c r="E291" s="8"/>
      <c r="F291" s="8"/>
      <c r="G291" s="20"/>
      <c r="H291" s="20"/>
    </row>
    <row r="292" spans="1:8" x14ac:dyDescent="0.3">
      <c r="A292" s="8" t="s">
        <v>3471</v>
      </c>
      <c r="B292" s="8">
        <v>1503050</v>
      </c>
      <c r="C292" s="146">
        <v>3.1</v>
      </c>
      <c r="D292" s="165" t="s">
        <v>2821</v>
      </c>
      <c r="E292" s="149">
        <v>12</v>
      </c>
      <c r="F292" s="149" t="s">
        <v>34</v>
      </c>
      <c r="G292" s="191">
        <v>0</v>
      </c>
      <c r="H292" s="20">
        <v>0</v>
      </c>
    </row>
    <row r="293" spans="1:8" x14ac:dyDescent="0.3">
      <c r="A293" s="8" t="s">
        <v>3472</v>
      </c>
      <c r="B293" s="8">
        <v>1503050</v>
      </c>
      <c r="C293" s="146">
        <v>3.1</v>
      </c>
      <c r="D293" s="165" t="s">
        <v>315</v>
      </c>
      <c r="E293" s="8">
        <v>12</v>
      </c>
      <c r="F293" s="8" t="s">
        <v>34</v>
      </c>
      <c r="G293" s="20">
        <v>0</v>
      </c>
      <c r="H293" s="20">
        <v>0</v>
      </c>
    </row>
    <row r="294" spans="1:8" x14ac:dyDescent="0.3">
      <c r="A294" s="8" t="s">
        <v>3473</v>
      </c>
      <c r="B294" s="8">
        <v>1503050</v>
      </c>
      <c r="C294" s="8">
        <v>3.1</v>
      </c>
      <c r="D294" s="150" t="s">
        <v>317</v>
      </c>
      <c r="E294" s="8">
        <v>12</v>
      </c>
      <c r="F294" s="8" t="s">
        <v>34</v>
      </c>
      <c r="G294" s="20">
        <v>0</v>
      </c>
      <c r="H294" s="20">
        <v>0</v>
      </c>
    </row>
    <row r="295" spans="1:8" x14ac:dyDescent="0.3">
      <c r="A295" s="8" t="s">
        <v>3474</v>
      </c>
      <c r="B295" s="8">
        <v>1503050</v>
      </c>
      <c r="C295" s="8">
        <v>3.2</v>
      </c>
      <c r="D295" s="178" t="s">
        <v>319</v>
      </c>
      <c r="E295" s="8">
        <v>12</v>
      </c>
      <c r="F295" s="8" t="s">
        <v>34</v>
      </c>
      <c r="G295" s="20">
        <v>0</v>
      </c>
      <c r="H295" s="20">
        <v>0</v>
      </c>
    </row>
    <row r="296" spans="1:8" x14ac:dyDescent="0.3">
      <c r="A296" s="8" t="s">
        <v>3475</v>
      </c>
      <c r="B296" s="8">
        <v>1503050</v>
      </c>
      <c r="C296" s="8">
        <v>3.3</v>
      </c>
      <c r="D296" s="152" t="s">
        <v>321</v>
      </c>
      <c r="E296" s="8">
        <v>12</v>
      </c>
      <c r="F296" s="8" t="s">
        <v>34</v>
      </c>
      <c r="G296" s="20">
        <v>0</v>
      </c>
      <c r="H296" s="20">
        <v>0</v>
      </c>
    </row>
    <row r="297" spans="1:8" x14ac:dyDescent="0.3">
      <c r="A297" s="8" t="s">
        <v>3476</v>
      </c>
      <c r="B297" s="8">
        <v>1503050</v>
      </c>
      <c r="C297" s="8">
        <v>3.5</v>
      </c>
      <c r="D297" s="152" t="s">
        <v>2822</v>
      </c>
      <c r="E297" s="8">
        <v>12</v>
      </c>
      <c r="F297" s="8" t="s">
        <v>34</v>
      </c>
      <c r="G297" s="20">
        <v>0</v>
      </c>
      <c r="H297" s="20">
        <v>0</v>
      </c>
    </row>
    <row r="298" spans="1:8" x14ac:dyDescent="0.3">
      <c r="A298" s="8" t="s">
        <v>3477</v>
      </c>
      <c r="B298" s="8">
        <v>1503050</v>
      </c>
      <c r="C298" s="8">
        <v>3.6</v>
      </c>
      <c r="D298" s="152" t="s">
        <v>324</v>
      </c>
      <c r="E298" s="8">
        <v>12</v>
      </c>
      <c r="F298" s="8" t="s">
        <v>34</v>
      </c>
      <c r="G298" s="20">
        <v>0</v>
      </c>
      <c r="H298" s="20">
        <v>0</v>
      </c>
    </row>
    <row r="299" spans="1:8" x14ac:dyDescent="0.3">
      <c r="A299" s="8" t="s">
        <v>3478</v>
      </c>
      <c r="B299" s="8">
        <v>1503050</v>
      </c>
      <c r="C299" s="8">
        <v>3.7</v>
      </c>
      <c r="D299" s="152" t="s">
        <v>2823</v>
      </c>
      <c r="E299" s="8">
        <v>12</v>
      </c>
      <c r="F299" s="8" t="s">
        <v>34</v>
      </c>
      <c r="G299" s="20">
        <v>0</v>
      </c>
      <c r="H299" s="20">
        <v>0</v>
      </c>
    </row>
    <row r="300" spans="1:8" x14ac:dyDescent="0.3">
      <c r="A300" s="13"/>
      <c r="B300" s="13"/>
      <c r="C300" s="13"/>
      <c r="D300" s="155" t="s">
        <v>3479</v>
      </c>
      <c r="E300" s="157">
        <v>12</v>
      </c>
      <c r="F300" s="157" t="s">
        <v>34</v>
      </c>
      <c r="G300" s="201">
        <v>0</v>
      </c>
      <c r="H300" s="20">
        <v>0</v>
      </c>
    </row>
    <row r="301" spans="1:8" x14ac:dyDescent="0.3">
      <c r="A301" s="13" t="s">
        <v>3480</v>
      </c>
      <c r="B301" s="13">
        <v>1503050</v>
      </c>
      <c r="C301" s="146"/>
      <c r="D301" s="179" t="s">
        <v>2824</v>
      </c>
      <c r="E301" s="8"/>
      <c r="F301" s="8"/>
      <c r="G301" s="20"/>
      <c r="H301" s="20"/>
    </row>
    <row r="302" spans="1:8" x14ac:dyDescent="0.3">
      <c r="A302" s="8" t="s">
        <v>3481</v>
      </c>
      <c r="B302" s="8">
        <v>1503050</v>
      </c>
      <c r="C302" s="146">
        <v>3.1</v>
      </c>
      <c r="D302" s="180" t="s">
        <v>2825</v>
      </c>
      <c r="E302" s="149">
        <v>12</v>
      </c>
      <c r="F302" s="149" t="s">
        <v>34</v>
      </c>
      <c r="G302" s="191">
        <v>0</v>
      </c>
      <c r="H302" s="20">
        <v>0</v>
      </c>
    </row>
    <row r="303" spans="1:8" x14ac:dyDescent="0.3">
      <c r="A303" s="8" t="s">
        <v>3482</v>
      </c>
      <c r="B303" s="8">
        <v>1503050</v>
      </c>
      <c r="C303" s="146">
        <v>3.1</v>
      </c>
      <c r="D303" s="181" t="s">
        <v>330</v>
      </c>
      <c r="E303" s="8">
        <v>12</v>
      </c>
      <c r="F303" s="8" t="s">
        <v>34</v>
      </c>
      <c r="G303" s="20">
        <v>0</v>
      </c>
      <c r="H303" s="20">
        <v>0</v>
      </c>
    </row>
    <row r="304" spans="1:8" x14ac:dyDescent="0.3">
      <c r="A304" s="8" t="s">
        <v>3483</v>
      </c>
      <c r="B304" s="8">
        <v>1503050</v>
      </c>
      <c r="C304" s="8">
        <v>3.1</v>
      </c>
      <c r="D304" s="53" t="s">
        <v>332</v>
      </c>
      <c r="E304" s="8">
        <v>12</v>
      </c>
      <c r="F304" s="8" t="s">
        <v>34</v>
      </c>
      <c r="G304" s="20">
        <v>0</v>
      </c>
      <c r="H304" s="20">
        <v>0</v>
      </c>
    </row>
    <row r="305" spans="1:8" x14ac:dyDescent="0.3">
      <c r="A305" s="8" t="s">
        <v>3484</v>
      </c>
      <c r="B305" s="8">
        <v>1503050</v>
      </c>
      <c r="C305" s="8">
        <v>3.2</v>
      </c>
      <c r="D305" s="152" t="s">
        <v>334</v>
      </c>
      <c r="E305" s="8">
        <v>12</v>
      </c>
      <c r="F305" s="8" t="s">
        <v>34</v>
      </c>
      <c r="G305" s="20">
        <v>0</v>
      </c>
      <c r="H305" s="20">
        <v>0</v>
      </c>
    </row>
    <row r="306" spans="1:8" x14ac:dyDescent="0.3">
      <c r="A306" s="8" t="s">
        <v>3485</v>
      </c>
      <c r="B306" s="8">
        <v>1503050</v>
      </c>
      <c r="C306" s="8">
        <v>3.3</v>
      </c>
      <c r="D306" s="152" t="s">
        <v>336</v>
      </c>
      <c r="E306" s="8">
        <v>12</v>
      </c>
      <c r="F306" s="8" t="s">
        <v>34</v>
      </c>
      <c r="G306" s="20">
        <v>0</v>
      </c>
      <c r="H306" s="20">
        <v>0</v>
      </c>
    </row>
    <row r="307" spans="1:8" x14ac:dyDescent="0.3">
      <c r="A307" s="8" t="s">
        <v>3486</v>
      </c>
      <c r="B307" s="8">
        <v>1503050</v>
      </c>
      <c r="C307" s="8">
        <v>3.5</v>
      </c>
      <c r="D307" s="152" t="s">
        <v>2826</v>
      </c>
      <c r="E307" s="8">
        <v>12</v>
      </c>
      <c r="F307" s="8" t="s">
        <v>34</v>
      </c>
      <c r="G307" s="20">
        <v>0</v>
      </c>
      <c r="H307" s="20">
        <v>0</v>
      </c>
    </row>
    <row r="308" spans="1:8" x14ac:dyDescent="0.3">
      <c r="A308" s="8" t="s">
        <v>3487</v>
      </c>
      <c r="B308" s="8">
        <v>1503050</v>
      </c>
      <c r="C308" s="8">
        <v>3.6</v>
      </c>
      <c r="D308" s="152" t="s">
        <v>339</v>
      </c>
      <c r="E308" s="8">
        <v>12</v>
      </c>
      <c r="F308" s="8" t="s">
        <v>34</v>
      </c>
      <c r="G308" s="20">
        <v>0</v>
      </c>
      <c r="H308" s="20">
        <v>0</v>
      </c>
    </row>
    <row r="309" spans="1:8" x14ac:dyDescent="0.3">
      <c r="A309" s="8" t="s">
        <v>3488</v>
      </c>
      <c r="B309" s="8">
        <v>1503050</v>
      </c>
      <c r="C309" s="8">
        <v>3.7</v>
      </c>
      <c r="D309" s="152" t="s">
        <v>341</v>
      </c>
      <c r="E309" s="8">
        <v>12</v>
      </c>
      <c r="F309" s="8" t="s">
        <v>34</v>
      </c>
      <c r="G309" s="20">
        <v>0</v>
      </c>
      <c r="H309" s="20">
        <v>0</v>
      </c>
    </row>
    <row r="310" spans="1:8" x14ac:dyDescent="0.3">
      <c r="A310" s="13"/>
      <c r="B310" s="13"/>
      <c r="C310" s="13"/>
      <c r="D310" s="153" t="s">
        <v>3489</v>
      </c>
      <c r="E310" s="8">
        <v>12</v>
      </c>
      <c r="F310" s="8" t="s">
        <v>34</v>
      </c>
      <c r="G310" s="20">
        <v>0</v>
      </c>
      <c r="H310" s="20">
        <v>0</v>
      </c>
    </row>
    <row r="311" spans="1:8" x14ac:dyDescent="0.3">
      <c r="A311" s="13" t="s">
        <v>3449</v>
      </c>
      <c r="B311" s="13">
        <v>1503050</v>
      </c>
      <c r="C311" s="13" t="s">
        <v>14</v>
      </c>
      <c r="D311" s="153" t="s">
        <v>343</v>
      </c>
      <c r="E311" s="8">
        <v>12</v>
      </c>
      <c r="F311" s="8" t="s">
        <v>34</v>
      </c>
      <c r="G311" s="20">
        <v>0</v>
      </c>
      <c r="H311" s="20">
        <v>0</v>
      </c>
    </row>
    <row r="312" spans="1:8" x14ac:dyDescent="0.3">
      <c r="A312" s="214" t="s">
        <v>2827</v>
      </c>
      <c r="B312" s="214"/>
      <c r="C312" s="214"/>
      <c r="D312" s="215"/>
      <c r="E312" s="157">
        <v>12</v>
      </c>
      <c r="F312" s="157" t="s">
        <v>34</v>
      </c>
      <c r="G312" s="201">
        <v>0</v>
      </c>
      <c r="H312" s="20">
        <v>0</v>
      </c>
    </row>
    <row r="313" spans="1:8" x14ac:dyDescent="0.3">
      <c r="A313" s="212" t="s">
        <v>2828</v>
      </c>
      <c r="B313" s="212"/>
      <c r="C313" s="212"/>
      <c r="D313" s="213"/>
      <c r="E313" s="8"/>
      <c r="F313" s="8"/>
      <c r="G313" s="20"/>
      <c r="H313" s="205"/>
    </row>
    <row r="314" spans="1:8" x14ac:dyDescent="0.3">
      <c r="A314" s="160" t="s">
        <v>1794</v>
      </c>
      <c r="B314" s="160"/>
      <c r="C314" s="161" t="s">
        <v>14</v>
      </c>
      <c r="D314" s="182" t="s">
        <v>2829</v>
      </c>
      <c r="E314" s="8"/>
      <c r="F314" s="8"/>
      <c r="G314" s="20"/>
      <c r="H314" s="20"/>
    </row>
    <row r="315" spans="1:8" x14ac:dyDescent="0.3">
      <c r="A315" s="13" t="s">
        <v>3490</v>
      </c>
      <c r="B315" s="13">
        <v>1503060</v>
      </c>
      <c r="C315" s="147"/>
      <c r="D315" s="177" t="s">
        <v>2830</v>
      </c>
      <c r="E315" s="8"/>
      <c r="F315" s="8"/>
      <c r="G315" s="20"/>
      <c r="H315" s="20"/>
    </row>
    <row r="316" spans="1:8" x14ac:dyDescent="0.3">
      <c r="A316" s="8" t="s">
        <v>3491</v>
      </c>
      <c r="B316" s="8">
        <v>1503060</v>
      </c>
      <c r="C316" s="146">
        <v>3.1</v>
      </c>
      <c r="D316" s="181" t="s">
        <v>346</v>
      </c>
      <c r="E316" s="149">
        <v>12</v>
      </c>
      <c r="F316" s="149" t="s">
        <v>34</v>
      </c>
      <c r="G316" s="191">
        <v>0</v>
      </c>
      <c r="H316" s="20">
        <v>0</v>
      </c>
    </row>
    <row r="317" spans="1:8" x14ac:dyDescent="0.3">
      <c r="A317" s="8" t="s">
        <v>3492</v>
      </c>
      <c r="B317" s="8">
        <v>1503060</v>
      </c>
      <c r="C317" s="146">
        <v>3.2</v>
      </c>
      <c r="D317" s="181" t="s">
        <v>348</v>
      </c>
      <c r="E317" s="8">
        <v>12</v>
      </c>
      <c r="F317" s="8" t="s">
        <v>34</v>
      </c>
      <c r="G317" s="20">
        <v>0</v>
      </c>
      <c r="H317" s="20">
        <v>0</v>
      </c>
    </row>
    <row r="318" spans="1:8" x14ac:dyDescent="0.3">
      <c r="A318" s="13"/>
      <c r="B318" s="13"/>
      <c r="C318" s="147"/>
      <c r="D318" s="183" t="s">
        <v>3496</v>
      </c>
      <c r="E318" s="8"/>
      <c r="F318" s="8"/>
      <c r="G318" s="20"/>
      <c r="H318" s="20"/>
    </row>
    <row r="319" spans="1:8" x14ac:dyDescent="0.3">
      <c r="A319" s="13" t="s">
        <v>3493</v>
      </c>
      <c r="B319" s="13">
        <v>1503060</v>
      </c>
      <c r="C319" s="146"/>
      <c r="D319" s="177" t="s">
        <v>2831</v>
      </c>
      <c r="E319" s="8"/>
      <c r="F319" s="8"/>
      <c r="G319" s="20"/>
      <c r="H319" s="20"/>
    </row>
    <row r="320" spans="1:8" x14ac:dyDescent="0.3">
      <c r="A320" s="8" t="s">
        <v>3494</v>
      </c>
      <c r="B320" s="8">
        <v>1503060</v>
      </c>
      <c r="C320" s="146">
        <v>3.1</v>
      </c>
      <c r="D320" s="181" t="s">
        <v>352</v>
      </c>
      <c r="E320" s="8">
        <v>12</v>
      </c>
      <c r="F320" s="8" t="s">
        <v>34</v>
      </c>
      <c r="G320" s="20">
        <v>0</v>
      </c>
      <c r="H320" s="20">
        <v>0</v>
      </c>
    </row>
    <row r="321" spans="1:8" x14ac:dyDescent="0.3">
      <c r="A321" s="8" t="s">
        <v>3495</v>
      </c>
      <c r="B321" s="8">
        <v>1503060</v>
      </c>
      <c r="C321" s="146">
        <v>3.2</v>
      </c>
      <c r="D321" s="181" t="s">
        <v>354</v>
      </c>
      <c r="E321" s="8">
        <v>12</v>
      </c>
      <c r="F321" s="8" t="s">
        <v>34</v>
      </c>
      <c r="G321" s="20">
        <v>0</v>
      </c>
      <c r="H321" s="20">
        <v>0</v>
      </c>
    </row>
    <row r="322" spans="1:8" x14ac:dyDescent="0.3">
      <c r="A322" s="13"/>
      <c r="B322" s="13"/>
      <c r="C322" s="147"/>
      <c r="D322" s="183" t="s">
        <v>3497</v>
      </c>
      <c r="E322" s="8"/>
      <c r="F322" s="8"/>
      <c r="G322" s="20"/>
      <c r="H322" s="20"/>
    </row>
    <row r="323" spans="1:8" x14ac:dyDescent="0.3">
      <c r="A323" s="13" t="s">
        <v>3498</v>
      </c>
      <c r="B323" s="13">
        <v>1503060</v>
      </c>
      <c r="C323" s="147"/>
      <c r="D323" s="177" t="s">
        <v>2832</v>
      </c>
      <c r="E323" s="8"/>
      <c r="F323" s="8"/>
      <c r="G323" s="20"/>
      <c r="H323" s="20"/>
    </row>
    <row r="324" spans="1:8" x14ac:dyDescent="0.3">
      <c r="A324" s="8" t="s">
        <v>3499</v>
      </c>
      <c r="B324" s="8">
        <v>1503060</v>
      </c>
      <c r="C324" s="146">
        <v>3.1</v>
      </c>
      <c r="D324" s="184" t="s">
        <v>2833</v>
      </c>
      <c r="E324" s="8">
        <v>12</v>
      </c>
      <c r="F324" s="8" t="s">
        <v>34</v>
      </c>
      <c r="G324" s="20">
        <v>0</v>
      </c>
      <c r="H324" s="20">
        <v>0</v>
      </c>
    </row>
    <row r="325" spans="1:8" x14ac:dyDescent="0.3">
      <c r="A325" s="8" t="s">
        <v>3500</v>
      </c>
      <c r="B325" s="8">
        <v>1503060</v>
      </c>
      <c r="C325" s="146">
        <v>3.2</v>
      </c>
      <c r="D325" s="184" t="s">
        <v>2834</v>
      </c>
      <c r="E325" s="8">
        <v>12</v>
      </c>
      <c r="F325" s="8" t="s">
        <v>34</v>
      </c>
      <c r="G325" s="20">
        <v>0</v>
      </c>
      <c r="H325" s="20">
        <v>0</v>
      </c>
    </row>
    <row r="326" spans="1:8" x14ac:dyDescent="0.3">
      <c r="A326" s="13"/>
      <c r="B326" s="13"/>
      <c r="C326" s="147"/>
      <c r="D326" s="183" t="s">
        <v>3504</v>
      </c>
      <c r="E326" s="8"/>
      <c r="F326" s="8"/>
      <c r="G326" s="20"/>
      <c r="H326" s="20"/>
    </row>
    <row r="327" spans="1:8" x14ac:dyDescent="0.3">
      <c r="A327" s="13" t="s">
        <v>3501</v>
      </c>
      <c r="B327" s="13">
        <v>1503060</v>
      </c>
      <c r="C327" s="146"/>
      <c r="D327" s="177" t="s">
        <v>2835</v>
      </c>
      <c r="E327" s="8"/>
      <c r="F327" s="8"/>
      <c r="G327" s="20"/>
      <c r="H327" s="20"/>
    </row>
    <row r="328" spans="1:8" x14ac:dyDescent="0.3">
      <c r="A328" s="8" t="s">
        <v>3502</v>
      </c>
      <c r="B328" s="8">
        <v>1503060</v>
      </c>
      <c r="C328" s="146">
        <v>3.1</v>
      </c>
      <c r="D328" s="181" t="s">
        <v>2836</v>
      </c>
      <c r="E328" s="8">
        <v>12</v>
      </c>
      <c r="F328" s="8" t="s">
        <v>34</v>
      </c>
      <c r="G328" s="20">
        <v>0</v>
      </c>
      <c r="H328" s="20">
        <v>0</v>
      </c>
    </row>
    <row r="329" spans="1:8" x14ac:dyDescent="0.3">
      <c r="A329" s="8" t="s">
        <v>3503</v>
      </c>
      <c r="B329" s="8">
        <v>1503060</v>
      </c>
      <c r="C329" s="146">
        <v>3.2</v>
      </c>
      <c r="D329" s="181" t="s">
        <v>363</v>
      </c>
      <c r="E329" s="8">
        <v>12</v>
      </c>
      <c r="F329" s="8" t="s">
        <v>34</v>
      </c>
      <c r="G329" s="20">
        <v>0</v>
      </c>
      <c r="H329" s="20">
        <v>0</v>
      </c>
    </row>
    <row r="330" spans="1:8" x14ac:dyDescent="0.3">
      <c r="A330" s="13"/>
      <c r="B330" s="13"/>
      <c r="C330" s="147"/>
      <c r="D330" s="176" t="s">
        <v>3505</v>
      </c>
      <c r="E330" s="8"/>
      <c r="F330" s="8"/>
      <c r="G330" s="20"/>
      <c r="H330" s="20"/>
    </row>
    <row r="331" spans="1:8" x14ac:dyDescent="0.3">
      <c r="A331" s="13" t="s">
        <v>3508</v>
      </c>
      <c r="B331" s="13">
        <v>1503060</v>
      </c>
      <c r="C331" s="147"/>
      <c r="D331" s="177" t="s">
        <v>2837</v>
      </c>
      <c r="E331" s="8"/>
      <c r="F331" s="8"/>
      <c r="G331" s="20"/>
      <c r="H331" s="20"/>
    </row>
    <row r="332" spans="1:8" x14ac:dyDescent="0.3">
      <c r="A332" s="13" t="s">
        <v>3509</v>
      </c>
      <c r="B332" s="13">
        <v>1503060</v>
      </c>
      <c r="C332" s="146"/>
      <c r="D332" s="177" t="s">
        <v>2838</v>
      </c>
      <c r="E332" s="8"/>
      <c r="F332" s="8"/>
      <c r="G332" s="20"/>
      <c r="H332" s="20"/>
    </row>
    <row r="333" spans="1:8" x14ac:dyDescent="0.3">
      <c r="A333" s="8" t="s">
        <v>3510</v>
      </c>
      <c r="B333" s="8">
        <v>1503060</v>
      </c>
      <c r="C333" s="146">
        <v>3.1</v>
      </c>
      <c r="D333" s="181" t="s">
        <v>368</v>
      </c>
      <c r="E333" s="8">
        <v>12</v>
      </c>
      <c r="F333" s="8" t="s">
        <v>34</v>
      </c>
      <c r="G333" s="20">
        <v>0</v>
      </c>
      <c r="H333" s="20">
        <v>0</v>
      </c>
    </row>
    <row r="334" spans="1:8" x14ac:dyDescent="0.3">
      <c r="A334" s="8" t="s">
        <v>3511</v>
      </c>
      <c r="B334" s="8">
        <v>1503060</v>
      </c>
      <c r="C334" s="146">
        <v>3.2</v>
      </c>
      <c r="D334" s="181" t="s">
        <v>370</v>
      </c>
      <c r="E334" s="8">
        <v>12</v>
      </c>
      <c r="F334" s="8" t="s">
        <v>34</v>
      </c>
      <c r="G334" s="20">
        <v>0</v>
      </c>
      <c r="H334" s="20">
        <v>0</v>
      </c>
    </row>
    <row r="335" spans="1:8" x14ac:dyDescent="0.3">
      <c r="A335" s="13"/>
      <c r="B335" s="13"/>
      <c r="C335" s="147"/>
      <c r="D335" s="183" t="s">
        <v>3506</v>
      </c>
      <c r="E335" s="8"/>
      <c r="F335" s="8"/>
      <c r="G335" s="20"/>
      <c r="H335" s="20"/>
    </row>
    <row r="336" spans="1:8" x14ac:dyDescent="0.3">
      <c r="A336" s="13" t="s">
        <v>3512</v>
      </c>
      <c r="B336" s="13">
        <v>1503060</v>
      </c>
      <c r="C336" s="146"/>
      <c r="D336" s="177" t="s">
        <v>2839</v>
      </c>
      <c r="E336" s="8"/>
      <c r="F336" s="8"/>
      <c r="G336" s="20"/>
      <c r="H336" s="20"/>
    </row>
    <row r="337" spans="1:8" x14ac:dyDescent="0.3">
      <c r="A337" s="8" t="s">
        <v>3513</v>
      </c>
      <c r="B337" s="8">
        <v>1503060</v>
      </c>
      <c r="C337" s="146">
        <v>3.1</v>
      </c>
      <c r="D337" s="181" t="s">
        <v>374</v>
      </c>
      <c r="E337" s="8">
        <v>12</v>
      </c>
      <c r="F337" s="8" t="s">
        <v>34</v>
      </c>
      <c r="G337" s="20">
        <v>0</v>
      </c>
      <c r="H337" s="20">
        <v>0</v>
      </c>
    </row>
    <row r="338" spans="1:8" x14ac:dyDescent="0.3">
      <c r="A338" s="8" t="s">
        <v>3514</v>
      </c>
      <c r="B338" s="8">
        <v>1503060</v>
      </c>
      <c r="C338" s="146">
        <v>3.2</v>
      </c>
      <c r="D338" s="181" t="s">
        <v>2840</v>
      </c>
      <c r="E338" s="8">
        <v>12</v>
      </c>
      <c r="F338" s="8" t="s">
        <v>34</v>
      </c>
      <c r="G338" s="20">
        <v>0</v>
      </c>
      <c r="H338" s="20">
        <v>0</v>
      </c>
    </row>
    <row r="339" spans="1:8" x14ac:dyDescent="0.3">
      <c r="A339" s="13"/>
      <c r="B339" s="13"/>
      <c r="C339" s="147"/>
      <c r="D339" s="176" t="s">
        <v>3507</v>
      </c>
      <c r="E339" s="8">
        <v>12</v>
      </c>
      <c r="F339" s="8" t="s">
        <v>34</v>
      </c>
      <c r="G339" s="20">
        <v>0</v>
      </c>
      <c r="H339" s="20">
        <v>0</v>
      </c>
    </row>
    <row r="340" spans="1:8" x14ac:dyDescent="0.3">
      <c r="A340" s="13" t="s">
        <v>3515</v>
      </c>
      <c r="B340" s="13">
        <v>1503060</v>
      </c>
      <c r="C340" s="13"/>
      <c r="D340" s="154" t="s">
        <v>2841</v>
      </c>
      <c r="E340" s="8"/>
      <c r="F340" s="8"/>
      <c r="G340" s="20"/>
      <c r="H340" s="20"/>
    </row>
    <row r="341" spans="1:8" x14ac:dyDescent="0.3">
      <c r="A341" s="13" t="s">
        <v>1794</v>
      </c>
      <c r="B341" s="13">
        <v>1503060</v>
      </c>
      <c r="C341" s="13" t="s">
        <v>14</v>
      </c>
      <c r="D341" s="155" t="s">
        <v>2842</v>
      </c>
      <c r="E341" s="8">
        <v>12</v>
      </c>
      <c r="F341" s="8" t="s">
        <v>34</v>
      </c>
      <c r="G341" s="20">
        <v>0</v>
      </c>
      <c r="H341" s="20">
        <v>0</v>
      </c>
    </row>
    <row r="342" spans="1:8" x14ac:dyDescent="0.3">
      <c r="A342" s="13" t="s">
        <v>1865</v>
      </c>
      <c r="B342" s="13">
        <v>1503060</v>
      </c>
      <c r="C342" s="147" t="s">
        <v>14</v>
      </c>
      <c r="D342" s="185" t="s">
        <v>2843</v>
      </c>
      <c r="E342" s="8"/>
      <c r="F342" s="8"/>
      <c r="G342" s="20"/>
      <c r="H342" s="20"/>
    </row>
    <row r="343" spans="1:8" x14ac:dyDescent="0.3">
      <c r="A343" s="13" t="s">
        <v>3326</v>
      </c>
      <c r="B343" s="13">
        <v>1503060</v>
      </c>
      <c r="C343" s="147" t="s">
        <v>14</v>
      </c>
      <c r="D343" s="185" t="s">
        <v>2844</v>
      </c>
      <c r="E343" s="8"/>
      <c r="F343" s="8"/>
      <c r="G343" s="20"/>
      <c r="H343" s="20"/>
    </row>
    <row r="344" spans="1:8" x14ac:dyDescent="0.3">
      <c r="A344" s="13" t="s">
        <v>3366</v>
      </c>
      <c r="B344" s="13">
        <v>1503060</v>
      </c>
      <c r="C344" s="147" t="s">
        <v>14</v>
      </c>
      <c r="D344" s="185" t="s">
        <v>2784</v>
      </c>
      <c r="E344" s="8"/>
      <c r="F344" s="8"/>
      <c r="G344" s="20"/>
      <c r="H344" s="20"/>
    </row>
    <row r="345" spans="1:8" x14ac:dyDescent="0.3">
      <c r="A345" s="13" t="s">
        <v>3367</v>
      </c>
      <c r="B345" s="13">
        <v>1503060</v>
      </c>
      <c r="C345" s="147"/>
      <c r="D345" s="185" t="s">
        <v>2785</v>
      </c>
      <c r="E345" s="8"/>
      <c r="F345" s="8"/>
      <c r="G345" s="20"/>
      <c r="H345" s="20"/>
    </row>
    <row r="346" spans="1:8" x14ac:dyDescent="0.3">
      <c r="A346" s="13" t="s">
        <v>3368</v>
      </c>
      <c r="B346" s="13">
        <v>1503060</v>
      </c>
      <c r="C346" s="147" t="s">
        <v>14</v>
      </c>
      <c r="D346" s="186" t="s">
        <v>2845</v>
      </c>
      <c r="E346" s="8"/>
      <c r="F346" s="8"/>
      <c r="G346" s="20"/>
      <c r="H346" s="20"/>
    </row>
    <row r="347" spans="1:8" x14ac:dyDescent="0.3">
      <c r="A347" s="13" t="s">
        <v>3449</v>
      </c>
      <c r="B347" s="13">
        <v>1503060</v>
      </c>
      <c r="C347" s="147" t="s">
        <v>14</v>
      </c>
      <c r="D347" s="182" t="s">
        <v>284</v>
      </c>
      <c r="E347" s="8"/>
      <c r="F347" s="8"/>
      <c r="G347" s="20"/>
      <c r="H347" s="20"/>
    </row>
    <row r="348" spans="1:8" x14ac:dyDescent="0.3">
      <c r="A348" s="13" t="s">
        <v>3516</v>
      </c>
      <c r="B348" s="13">
        <v>1503060</v>
      </c>
      <c r="C348" s="147"/>
      <c r="D348" s="177" t="s">
        <v>2846</v>
      </c>
      <c r="E348" s="8"/>
      <c r="F348" s="8"/>
      <c r="G348" s="20"/>
      <c r="H348" s="20"/>
    </row>
    <row r="349" spans="1:8" x14ac:dyDescent="0.3">
      <c r="A349" s="8" t="s">
        <v>3517</v>
      </c>
      <c r="B349" s="8">
        <v>1503060</v>
      </c>
      <c r="C349" s="146">
        <v>3.1</v>
      </c>
      <c r="D349" s="165" t="s">
        <v>2847</v>
      </c>
      <c r="E349" s="8">
        <v>12</v>
      </c>
      <c r="F349" s="8" t="s">
        <v>34</v>
      </c>
      <c r="G349" s="20">
        <v>0</v>
      </c>
      <c r="H349" s="20">
        <v>0</v>
      </c>
    </row>
    <row r="350" spans="1:8" x14ac:dyDescent="0.3">
      <c r="A350" s="8" t="s">
        <v>3518</v>
      </c>
      <c r="B350" s="8">
        <v>1503060</v>
      </c>
      <c r="C350" s="146">
        <v>3.2</v>
      </c>
      <c r="D350" s="184" t="s">
        <v>382</v>
      </c>
      <c r="E350" s="8">
        <v>12</v>
      </c>
      <c r="F350" s="8" t="s">
        <v>34</v>
      </c>
      <c r="G350" s="20">
        <v>0</v>
      </c>
      <c r="H350" s="20">
        <v>0</v>
      </c>
    </row>
    <row r="351" spans="1:8" x14ac:dyDescent="0.3">
      <c r="A351" s="13"/>
      <c r="B351" s="13"/>
      <c r="C351" s="147"/>
      <c r="D351" s="183" t="s">
        <v>3519</v>
      </c>
      <c r="E351" s="8"/>
      <c r="F351" s="8"/>
      <c r="G351" s="20"/>
      <c r="H351" s="20"/>
    </row>
    <row r="352" spans="1:8" x14ac:dyDescent="0.3">
      <c r="A352" s="13" t="s">
        <v>3520</v>
      </c>
      <c r="B352" s="13">
        <v>1503060</v>
      </c>
      <c r="C352" s="146"/>
      <c r="D352" s="177" t="s">
        <v>2849</v>
      </c>
      <c r="E352" s="8"/>
      <c r="F352" s="8"/>
      <c r="G352" s="20"/>
      <c r="H352" s="20"/>
    </row>
    <row r="353" spans="1:8" x14ac:dyDescent="0.3">
      <c r="A353" s="8" t="s">
        <v>3521</v>
      </c>
      <c r="B353" s="8">
        <v>1503060</v>
      </c>
      <c r="C353" s="146">
        <v>3.1</v>
      </c>
      <c r="D353" s="181" t="s">
        <v>385</v>
      </c>
      <c r="E353" s="8">
        <v>12</v>
      </c>
      <c r="F353" s="8" t="s">
        <v>34</v>
      </c>
      <c r="G353" s="20">
        <v>0</v>
      </c>
      <c r="H353" s="20">
        <v>0</v>
      </c>
    </row>
    <row r="354" spans="1:8" x14ac:dyDescent="0.3">
      <c r="A354" s="8" t="s">
        <v>3522</v>
      </c>
      <c r="B354" s="8">
        <v>1503060</v>
      </c>
      <c r="C354" s="146">
        <v>3.2</v>
      </c>
      <c r="D354" s="181" t="s">
        <v>2850</v>
      </c>
      <c r="E354" s="8">
        <v>12</v>
      </c>
      <c r="F354" s="8" t="s">
        <v>34</v>
      </c>
      <c r="G354" s="20">
        <v>0</v>
      </c>
      <c r="H354" s="20">
        <v>0</v>
      </c>
    </row>
    <row r="355" spans="1:8" x14ac:dyDescent="0.3">
      <c r="A355" s="13"/>
      <c r="B355" s="13"/>
      <c r="C355" s="147"/>
      <c r="D355" s="183" t="s">
        <v>3529</v>
      </c>
      <c r="E355" s="8"/>
      <c r="F355" s="8"/>
      <c r="G355" s="20"/>
      <c r="H355" s="20"/>
    </row>
    <row r="356" spans="1:8" x14ac:dyDescent="0.3">
      <c r="A356" s="13" t="s">
        <v>3523</v>
      </c>
      <c r="B356" s="13">
        <v>1503060</v>
      </c>
      <c r="C356" s="147"/>
      <c r="D356" s="177" t="s">
        <v>2851</v>
      </c>
      <c r="E356" s="8"/>
      <c r="F356" s="8"/>
      <c r="G356" s="20"/>
      <c r="H356" s="20"/>
    </row>
    <row r="357" spans="1:8" x14ac:dyDescent="0.3">
      <c r="A357" s="8" t="s">
        <v>3524</v>
      </c>
      <c r="B357" s="8">
        <v>1503060</v>
      </c>
      <c r="C357" s="146">
        <v>3.1</v>
      </c>
      <c r="D357" s="165" t="s">
        <v>390</v>
      </c>
      <c r="E357" s="8">
        <v>12</v>
      </c>
      <c r="F357" s="8" t="s">
        <v>34</v>
      </c>
      <c r="G357" s="20">
        <v>0</v>
      </c>
      <c r="H357" s="20">
        <v>0</v>
      </c>
    </row>
    <row r="358" spans="1:8" x14ac:dyDescent="0.3">
      <c r="A358" s="8" t="s">
        <v>3525</v>
      </c>
      <c r="B358" s="8">
        <v>1503060</v>
      </c>
      <c r="C358" s="146">
        <v>3.2</v>
      </c>
      <c r="D358" s="184" t="s">
        <v>2852</v>
      </c>
      <c r="E358" s="8">
        <v>12</v>
      </c>
      <c r="F358" s="8" t="s">
        <v>34</v>
      </c>
      <c r="G358" s="20">
        <v>0</v>
      </c>
      <c r="H358" s="20">
        <v>0</v>
      </c>
    </row>
    <row r="359" spans="1:8" x14ac:dyDescent="0.3">
      <c r="A359" s="13"/>
      <c r="B359" s="13"/>
      <c r="C359" s="147"/>
      <c r="D359" s="183" t="s">
        <v>3530</v>
      </c>
      <c r="E359" s="8">
        <v>12</v>
      </c>
      <c r="F359" s="8" t="s">
        <v>34</v>
      </c>
      <c r="G359" s="20">
        <v>0</v>
      </c>
      <c r="H359" s="20">
        <v>0</v>
      </c>
    </row>
    <row r="360" spans="1:8" x14ac:dyDescent="0.3">
      <c r="A360" s="13" t="s">
        <v>3526</v>
      </c>
      <c r="B360" s="13">
        <v>1503060</v>
      </c>
      <c r="C360" s="146"/>
      <c r="D360" s="177" t="s">
        <v>2853</v>
      </c>
      <c r="E360" s="8"/>
      <c r="F360" s="8"/>
      <c r="G360" s="20"/>
      <c r="H360" s="20"/>
    </row>
    <row r="361" spans="1:8" x14ac:dyDescent="0.3">
      <c r="A361" s="8" t="s">
        <v>3527</v>
      </c>
      <c r="B361" s="8">
        <v>1503060</v>
      </c>
      <c r="C361" s="146">
        <v>3.1</v>
      </c>
      <c r="D361" s="181" t="s">
        <v>395</v>
      </c>
      <c r="E361" s="8">
        <v>12</v>
      </c>
      <c r="F361" s="8" t="s">
        <v>34</v>
      </c>
      <c r="G361" s="20">
        <v>0</v>
      </c>
      <c r="H361" s="20">
        <v>0</v>
      </c>
    </row>
    <row r="362" spans="1:8" x14ac:dyDescent="0.3">
      <c r="A362" s="8" t="s">
        <v>3528</v>
      </c>
      <c r="B362" s="8">
        <v>1503060</v>
      </c>
      <c r="C362" s="146">
        <v>3.2</v>
      </c>
      <c r="D362" s="181" t="s">
        <v>2854</v>
      </c>
      <c r="E362" s="8">
        <v>12</v>
      </c>
      <c r="F362" s="8" t="s">
        <v>34</v>
      </c>
      <c r="G362" s="20">
        <v>0</v>
      </c>
      <c r="H362" s="20">
        <v>0</v>
      </c>
    </row>
    <row r="363" spans="1:8" x14ac:dyDescent="0.3">
      <c r="A363" s="13"/>
      <c r="B363" s="13"/>
      <c r="C363" s="13"/>
      <c r="D363" s="187" t="s">
        <v>3531</v>
      </c>
      <c r="E363" s="8">
        <v>12</v>
      </c>
      <c r="F363" s="8" t="s">
        <v>34</v>
      </c>
      <c r="G363" s="20">
        <v>0</v>
      </c>
      <c r="H363" s="20">
        <v>0</v>
      </c>
    </row>
    <row r="364" spans="1:8" x14ac:dyDescent="0.3">
      <c r="A364" s="13" t="s">
        <v>3449</v>
      </c>
      <c r="B364" s="13">
        <v>1503060</v>
      </c>
      <c r="C364" s="13" t="s">
        <v>14</v>
      </c>
      <c r="D364" s="153" t="s">
        <v>2855</v>
      </c>
      <c r="E364" s="8">
        <v>12</v>
      </c>
      <c r="F364" s="8" t="s">
        <v>34</v>
      </c>
      <c r="G364" s="20">
        <v>0</v>
      </c>
      <c r="H364" s="20">
        <v>0</v>
      </c>
    </row>
    <row r="365" spans="1:8" x14ac:dyDescent="0.3">
      <c r="A365" s="214" t="s">
        <v>2856</v>
      </c>
      <c r="B365" s="214"/>
      <c r="C365" s="214"/>
      <c r="D365" s="215"/>
      <c r="E365" s="8">
        <v>12</v>
      </c>
      <c r="F365" s="8" t="s">
        <v>34</v>
      </c>
      <c r="G365" s="20">
        <v>0</v>
      </c>
      <c r="H365" s="20">
        <v>0</v>
      </c>
    </row>
    <row r="366" spans="1:8" x14ac:dyDescent="0.3">
      <c r="A366" s="214" t="s">
        <v>2857</v>
      </c>
      <c r="B366" s="214"/>
      <c r="C366" s="214"/>
      <c r="D366" s="215"/>
      <c r="E366" s="8">
        <v>12</v>
      </c>
      <c r="F366" s="8" t="s">
        <v>34</v>
      </c>
      <c r="G366" s="20">
        <v>0</v>
      </c>
      <c r="H366" s="20">
        <v>0</v>
      </c>
    </row>
  </sheetData>
  <mergeCells count="5">
    <mergeCell ref="A313:D313"/>
    <mergeCell ref="A365:D365"/>
    <mergeCell ref="A366:D366"/>
    <mergeCell ref="A9:D9"/>
    <mergeCell ref="A312:D31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A1:G160"/>
  <sheetViews>
    <sheetView workbookViewId="0">
      <selection activeCell="F2" sqref="F2"/>
    </sheetView>
  </sheetViews>
  <sheetFormatPr defaultColWidth="9.1796875" defaultRowHeight="13" x14ac:dyDescent="0.3"/>
  <cols>
    <col min="1" max="1" width="6.26953125" style="49" customWidth="1"/>
    <col min="2" max="2" width="15.7265625" style="49" customWidth="1"/>
    <col min="3" max="3" width="50.7265625" style="18" customWidth="1"/>
    <col min="4" max="4" width="11.7265625" style="50" customWidth="1"/>
    <col min="5" max="5" width="6.7265625" style="49" customWidth="1"/>
    <col min="6" max="6" width="11.7265625" style="18" customWidth="1"/>
    <col min="7" max="7" width="13.7265625" style="18" customWidth="1"/>
    <col min="8" max="16384" width="9.1796875" style="18"/>
  </cols>
  <sheetData>
    <row r="1" spans="1:7" s="100" customFormat="1" x14ac:dyDescent="0.3">
      <c r="A1" s="101"/>
      <c r="B1" s="102"/>
      <c r="C1" s="103" t="s">
        <v>0</v>
      </c>
      <c r="D1" s="104"/>
      <c r="E1" s="102"/>
      <c r="F1" s="105"/>
      <c r="G1" s="106"/>
    </row>
    <row r="2" spans="1:7" s="100" customFormat="1" x14ac:dyDescent="0.3">
      <c r="A2" s="107"/>
      <c r="B2" s="108"/>
      <c r="C2" s="109" t="s">
        <v>1</v>
      </c>
      <c r="D2" s="110"/>
      <c r="E2" s="108"/>
      <c r="F2" s="111"/>
      <c r="G2" s="112"/>
    </row>
    <row r="3" spans="1:7" s="100" customFormat="1" x14ac:dyDescent="0.3">
      <c r="A3" s="107"/>
      <c r="B3" s="108"/>
      <c r="C3" s="109" t="s">
        <v>398</v>
      </c>
      <c r="D3" s="110"/>
      <c r="E3" s="108"/>
      <c r="F3" s="111"/>
      <c r="G3" s="112"/>
    </row>
    <row r="4" spans="1:7" s="100" customFormat="1" x14ac:dyDescent="0.3">
      <c r="A4" s="107"/>
      <c r="B4" s="108"/>
      <c r="C4" s="109" t="s">
        <v>3</v>
      </c>
      <c r="D4" s="110"/>
      <c r="E4" s="108"/>
      <c r="F4" s="111"/>
      <c r="G4" s="112"/>
    </row>
    <row r="5" spans="1:7" s="100" customFormat="1" x14ac:dyDescent="0.3">
      <c r="A5" s="230" t="s">
        <v>1866</v>
      </c>
      <c r="B5" s="231"/>
      <c r="C5" s="231"/>
      <c r="D5" s="110"/>
      <c r="E5" s="108"/>
      <c r="F5" s="111"/>
      <c r="G5" s="112"/>
    </row>
    <row r="6" spans="1:7" s="100" customFormat="1" x14ac:dyDescent="0.3">
      <c r="A6" s="230" t="s">
        <v>400</v>
      </c>
      <c r="B6" s="231"/>
      <c r="C6" s="231"/>
      <c r="D6" s="110"/>
      <c r="E6" s="108"/>
      <c r="F6" s="111"/>
      <c r="G6" s="112"/>
    </row>
    <row r="7" spans="1:7" s="100" customFormat="1" x14ac:dyDescent="0.3">
      <c r="A7" s="232" t="s">
        <v>1867</v>
      </c>
      <c r="B7" s="233"/>
      <c r="C7" s="233"/>
      <c r="D7" s="113"/>
      <c r="E7" s="114"/>
      <c r="F7" s="115"/>
      <c r="G7" s="116"/>
    </row>
    <row r="8" spans="1:7" s="100" customFormat="1" x14ac:dyDescent="0.3">
      <c r="A8" s="234"/>
      <c r="B8" s="235"/>
      <c r="C8" s="235"/>
    </row>
    <row r="9" spans="1:7" s="100" customFormat="1" x14ac:dyDescent="0.3">
      <c r="A9" s="117"/>
      <c r="B9" s="117"/>
      <c r="C9" s="117"/>
      <c r="D9" s="118"/>
      <c r="E9" s="119"/>
      <c r="F9" s="120"/>
      <c r="G9" s="120"/>
    </row>
    <row r="10" spans="1:7" s="100" customFormat="1" ht="26" x14ac:dyDescent="0.3">
      <c r="A10" s="121" t="s">
        <v>402</v>
      </c>
      <c r="B10" s="122" t="s">
        <v>403</v>
      </c>
      <c r="C10" s="123" t="s">
        <v>404</v>
      </c>
      <c r="D10" s="124" t="s">
        <v>405</v>
      </c>
      <c r="E10" s="125" t="s">
        <v>406</v>
      </c>
      <c r="F10" s="125" t="s">
        <v>27</v>
      </c>
      <c r="G10" s="122" t="s">
        <v>7</v>
      </c>
    </row>
    <row r="11" spans="1:7" s="100" customFormat="1" ht="39" x14ac:dyDescent="0.3">
      <c r="A11" s="126" t="s">
        <v>1868</v>
      </c>
      <c r="B11" s="127" t="s">
        <v>408</v>
      </c>
      <c r="C11" s="127" t="s">
        <v>409</v>
      </c>
      <c r="D11" s="128">
        <v>10000</v>
      </c>
      <c r="E11" s="129" t="s">
        <v>410</v>
      </c>
      <c r="F11" s="130">
        <v>0</v>
      </c>
      <c r="G11" s="131">
        <f>D11*F11</f>
        <v>0</v>
      </c>
    </row>
    <row r="12" spans="1:7" s="100" customFormat="1" ht="39" x14ac:dyDescent="0.3">
      <c r="A12" s="126" t="s">
        <v>1869</v>
      </c>
      <c r="B12" s="127" t="s">
        <v>412</v>
      </c>
      <c r="C12" s="127" t="s">
        <v>413</v>
      </c>
      <c r="D12" s="132">
        <v>500</v>
      </c>
      <c r="E12" s="133" t="s">
        <v>414</v>
      </c>
      <c r="F12" s="130">
        <v>0</v>
      </c>
      <c r="G12" s="131">
        <f t="shared" ref="G12:G75" si="0">D12*F12</f>
        <v>0</v>
      </c>
    </row>
    <row r="13" spans="1:7" s="100" customFormat="1" ht="39" x14ac:dyDescent="0.3">
      <c r="A13" s="126" t="s">
        <v>1870</v>
      </c>
      <c r="B13" s="127" t="s">
        <v>416</v>
      </c>
      <c r="C13" s="127" t="s">
        <v>417</v>
      </c>
      <c r="D13" s="132">
        <v>1000</v>
      </c>
      <c r="E13" s="133" t="s">
        <v>414</v>
      </c>
      <c r="F13" s="130">
        <v>0</v>
      </c>
      <c r="G13" s="131">
        <f t="shared" si="0"/>
        <v>0</v>
      </c>
    </row>
    <row r="14" spans="1:7" s="100" customFormat="1" ht="26" x14ac:dyDescent="0.3">
      <c r="A14" s="126" t="s">
        <v>1871</v>
      </c>
      <c r="B14" s="127" t="s">
        <v>419</v>
      </c>
      <c r="C14" s="127" t="s">
        <v>420</v>
      </c>
      <c r="D14" s="132">
        <v>50000</v>
      </c>
      <c r="E14" s="133" t="s">
        <v>421</v>
      </c>
      <c r="F14" s="130">
        <v>0</v>
      </c>
      <c r="G14" s="131">
        <f t="shared" si="0"/>
        <v>0</v>
      </c>
    </row>
    <row r="15" spans="1:7" s="100" customFormat="1" ht="52" x14ac:dyDescent="0.3">
      <c r="A15" s="126" t="s">
        <v>1872</v>
      </c>
      <c r="B15" s="127" t="s">
        <v>423</v>
      </c>
      <c r="C15" s="127" t="s">
        <v>424</v>
      </c>
      <c r="D15" s="132">
        <v>200000</v>
      </c>
      <c r="E15" s="133" t="s">
        <v>410</v>
      </c>
      <c r="F15" s="130">
        <v>0</v>
      </c>
      <c r="G15" s="131">
        <f t="shared" si="0"/>
        <v>0</v>
      </c>
    </row>
    <row r="16" spans="1:7" s="100" customFormat="1" ht="91" x14ac:dyDescent="0.3">
      <c r="A16" s="126" t="s">
        <v>1873</v>
      </c>
      <c r="B16" s="127" t="s">
        <v>426</v>
      </c>
      <c r="C16" s="127" t="s">
        <v>427</v>
      </c>
      <c r="D16" s="132">
        <v>100</v>
      </c>
      <c r="E16" s="133" t="s">
        <v>428</v>
      </c>
      <c r="F16" s="130">
        <v>0</v>
      </c>
      <c r="G16" s="131">
        <f t="shared" si="0"/>
        <v>0</v>
      </c>
    </row>
    <row r="17" spans="1:7" s="100" customFormat="1" ht="91" x14ac:dyDescent="0.3">
      <c r="A17" s="126" t="s">
        <v>1874</v>
      </c>
      <c r="B17" s="127" t="s">
        <v>430</v>
      </c>
      <c r="C17" s="127" t="s">
        <v>431</v>
      </c>
      <c r="D17" s="132">
        <v>100</v>
      </c>
      <c r="E17" s="133" t="s">
        <v>428</v>
      </c>
      <c r="F17" s="130">
        <v>0</v>
      </c>
      <c r="G17" s="131">
        <f t="shared" si="0"/>
        <v>0</v>
      </c>
    </row>
    <row r="18" spans="1:7" s="100" customFormat="1" ht="91" x14ac:dyDescent="0.3">
      <c r="A18" s="126" t="s">
        <v>1875</v>
      </c>
      <c r="B18" s="127" t="s">
        <v>433</v>
      </c>
      <c r="C18" s="127" t="s">
        <v>434</v>
      </c>
      <c r="D18" s="132">
        <v>100</v>
      </c>
      <c r="E18" s="133" t="s">
        <v>428</v>
      </c>
      <c r="F18" s="130">
        <v>0</v>
      </c>
      <c r="G18" s="131">
        <f t="shared" si="0"/>
        <v>0</v>
      </c>
    </row>
    <row r="19" spans="1:7" s="100" customFormat="1" ht="65" x14ac:dyDescent="0.3">
      <c r="A19" s="126" t="s">
        <v>1876</v>
      </c>
      <c r="B19" s="127" t="s">
        <v>436</v>
      </c>
      <c r="C19" s="127" t="s">
        <v>437</v>
      </c>
      <c r="D19" s="132">
        <v>100</v>
      </c>
      <c r="E19" s="133" t="s">
        <v>428</v>
      </c>
      <c r="F19" s="130">
        <v>0</v>
      </c>
      <c r="G19" s="131">
        <f t="shared" si="0"/>
        <v>0</v>
      </c>
    </row>
    <row r="20" spans="1:7" s="100" customFormat="1" ht="91" x14ac:dyDescent="0.3">
      <c r="A20" s="126" t="s">
        <v>1877</v>
      </c>
      <c r="B20" s="127" t="s">
        <v>439</v>
      </c>
      <c r="C20" s="127" t="s">
        <v>440</v>
      </c>
      <c r="D20" s="132">
        <v>200</v>
      </c>
      <c r="E20" s="133" t="s">
        <v>428</v>
      </c>
      <c r="F20" s="130">
        <v>0</v>
      </c>
      <c r="G20" s="131">
        <f t="shared" si="0"/>
        <v>0</v>
      </c>
    </row>
    <row r="21" spans="1:7" s="100" customFormat="1" ht="91" x14ac:dyDescent="0.3">
      <c r="A21" s="126" t="s">
        <v>1878</v>
      </c>
      <c r="B21" s="127" t="s">
        <v>442</v>
      </c>
      <c r="C21" s="127" t="s">
        <v>443</v>
      </c>
      <c r="D21" s="132">
        <v>200</v>
      </c>
      <c r="E21" s="133" t="s">
        <v>428</v>
      </c>
      <c r="F21" s="130">
        <v>0</v>
      </c>
      <c r="G21" s="131">
        <f t="shared" si="0"/>
        <v>0</v>
      </c>
    </row>
    <row r="22" spans="1:7" s="100" customFormat="1" ht="91" x14ac:dyDescent="0.3">
      <c r="A22" s="126" t="s">
        <v>1879</v>
      </c>
      <c r="B22" s="127" t="s">
        <v>445</v>
      </c>
      <c r="C22" s="127" t="s">
        <v>446</v>
      </c>
      <c r="D22" s="132">
        <v>25</v>
      </c>
      <c r="E22" s="133" t="s">
        <v>428</v>
      </c>
      <c r="F22" s="130">
        <v>0</v>
      </c>
      <c r="G22" s="131">
        <f t="shared" si="0"/>
        <v>0</v>
      </c>
    </row>
    <row r="23" spans="1:7" s="100" customFormat="1" ht="91" x14ac:dyDescent="0.3">
      <c r="A23" s="126" t="s">
        <v>1880</v>
      </c>
      <c r="B23" s="127" t="s">
        <v>448</v>
      </c>
      <c r="C23" s="127" t="s">
        <v>449</v>
      </c>
      <c r="D23" s="132">
        <v>25</v>
      </c>
      <c r="E23" s="133" t="s">
        <v>428</v>
      </c>
      <c r="F23" s="130">
        <v>0</v>
      </c>
      <c r="G23" s="131">
        <f t="shared" si="0"/>
        <v>0</v>
      </c>
    </row>
    <row r="24" spans="1:7" s="100" customFormat="1" ht="65" x14ac:dyDescent="0.3">
      <c r="A24" s="126" t="s">
        <v>1881</v>
      </c>
      <c r="B24" s="127" t="s">
        <v>451</v>
      </c>
      <c r="C24" s="127" t="s">
        <v>452</v>
      </c>
      <c r="D24" s="132">
        <v>10</v>
      </c>
      <c r="E24" s="133" t="s">
        <v>428</v>
      </c>
      <c r="F24" s="130">
        <v>0</v>
      </c>
      <c r="G24" s="131">
        <f t="shared" si="0"/>
        <v>0</v>
      </c>
    </row>
    <row r="25" spans="1:7" s="100" customFormat="1" ht="195" x14ac:dyDescent="0.3">
      <c r="A25" s="126" t="s">
        <v>1882</v>
      </c>
      <c r="B25" s="127" t="s">
        <v>454</v>
      </c>
      <c r="C25" s="127" t="s">
        <v>455</v>
      </c>
      <c r="D25" s="132">
        <v>50</v>
      </c>
      <c r="E25" s="133" t="s">
        <v>414</v>
      </c>
      <c r="F25" s="130">
        <v>0</v>
      </c>
      <c r="G25" s="131">
        <f t="shared" si="0"/>
        <v>0</v>
      </c>
    </row>
    <row r="26" spans="1:7" s="100" customFormat="1" ht="169" x14ac:dyDescent="0.3">
      <c r="A26" s="126" t="s">
        <v>1883</v>
      </c>
      <c r="B26" s="127" t="s">
        <v>457</v>
      </c>
      <c r="C26" s="127" t="s">
        <v>458</v>
      </c>
      <c r="D26" s="132">
        <v>50</v>
      </c>
      <c r="E26" s="133" t="s">
        <v>428</v>
      </c>
      <c r="F26" s="130">
        <v>0</v>
      </c>
      <c r="G26" s="131">
        <f t="shared" si="0"/>
        <v>0</v>
      </c>
    </row>
    <row r="27" spans="1:7" s="100" customFormat="1" ht="169" x14ac:dyDescent="0.3">
      <c r="A27" s="126" t="s">
        <v>1884</v>
      </c>
      <c r="B27" s="127" t="s">
        <v>460</v>
      </c>
      <c r="C27" s="127" t="s">
        <v>458</v>
      </c>
      <c r="D27" s="132">
        <v>60</v>
      </c>
      <c r="E27" s="133" t="s">
        <v>428</v>
      </c>
      <c r="F27" s="130">
        <v>0</v>
      </c>
      <c r="G27" s="131">
        <f t="shared" si="0"/>
        <v>0</v>
      </c>
    </row>
    <row r="28" spans="1:7" s="100" customFormat="1" ht="169" x14ac:dyDescent="0.3">
      <c r="A28" s="126" t="s">
        <v>1885</v>
      </c>
      <c r="B28" s="127" t="s">
        <v>462</v>
      </c>
      <c r="C28" s="127" t="s">
        <v>463</v>
      </c>
      <c r="D28" s="132">
        <v>15</v>
      </c>
      <c r="E28" s="133" t="s">
        <v>428</v>
      </c>
      <c r="F28" s="130">
        <v>0</v>
      </c>
      <c r="G28" s="131">
        <f t="shared" si="0"/>
        <v>0</v>
      </c>
    </row>
    <row r="29" spans="1:7" s="100" customFormat="1" ht="182" x14ac:dyDescent="0.3">
      <c r="A29" s="126" t="s">
        <v>1886</v>
      </c>
      <c r="B29" s="127" t="s">
        <v>465</v>
      </c>
      <c r="C29" s="127" t="s">
        <v>466</v>
      </c>
      <c r="D29" s="132">
        <v>5000</v>
      </c>
      <c r="E29" s="133" t="s">
        <v>428</v>
      </c>
      <c r="F29" s="130">
        <v>0</v>
      </c>
      <c r="G29" s="131">
        <f t="shared" si="0"/>
        <v>0</v>
      </c>
    </row>
    <row r="30" spans="1:7" s="100" customFormat="1" ht="156" x14ac:dyDescent="0.3">
      <c r="A30" s="126" t="s">
        <v>1887</v>
      </c>
      <c r="B30" s="127" t="s">
        <v>468</v>
      </c>
      <c r="C30" s="127" t="s">
        <v>469</v>
      </c>
      <c r="D30" s="132">
        <v>1000</v>
      </c>
      <c r="E30" s="133" t="s">
        <v>410</v>
      </c>
      <c r="F30" s="130">
        <v>0</v>
      </c>
      <c r="G30" s="131">
        <f t="shared" si="0"/>
        <v>0</v>
      </c>
    </row>
    <row r="31" spans="1:7" s="100" customFormat="1" ht="143" x14ac:dyDescent="0.3">
      <c r="A31" s="126" t="s">
        <v>1888</v>
      </c>
      <c r="B31" s="127" t="s">
        <v>471</v>
      </c>
      <c r="C31" s="127" t="s">
        <v>472</v>
      </c>
      <c r="D31" s="132">
        <v>850</v>
      </c>
      <c r="E31" s="133" t="s">
        <v>410</v>
      </c>
      <c r="F31" s="130">
        <v>0</v>
      </c>
      <c r="G31" s="131">
        <f t="shared" si="0"/>
        <v>0</v>
      </c>
    </row>
    <row r="32" spans="1:7" s="100" customFormat="1" ht="78" x14ac:dyDescent="0.3">
      <c r="A32" s="126" t="s">
        <v>1889</v>
      </c>
      <c r="B32" s="127" t="s">
        <v>474</v>
      </c>
      <c r="C32" s="127" t="s">
        <v>475</v>
      </c>
      <c r="D32" s="132">
        <v>25</v>
      </c>
      <c r="E32" s="133" t="s">
        <v>414</v>
      </c>
      <c r="F32" s="130">
        <v>0</v>
      </c>
      <c r="G32" s="131">
        <f t="shared" si="0"/>
        <v>0</v>
      </c>
    </row>
    <row r="33" spans="1:7" s="100" customFormat="1" ht="78" x14ac:dyDescent="0.3">
      <c r="A33" s="126" t="s">
        <v>1890</v>
      </c>
      <c r="B33" s="127" t="s">
        <v>477</v>
      </c>
      <c r="C33" s="127" t="s">
        <v>478</v>
      </c>
      <c r="D33" s="132">
        <v>50</v>
      </c>
      <c r="E33" s="133" t="s">
        <v>428</v>
      </c>
      <c r="F33" s="130">
        <v>0</v>
      </c>
      <c r="G33" s="131">
        <f t="shared" si="0"/>
        <v>0</v>
      </c>
    </row>
    <row r="34" spans="1:7" s="100" customFormat="1" ht="91" x14ac:dyDescent="0.3">
      <c r="A34" s="126" t="s">
        <v>1891</v>
      </c>
      <c r="B34" s="127" t="s">
        <v>480</v>
      </c>
      <c r="C34" s="127" t="s">
        <v>481</v>
      </c>
      <c r="D34" s="132">
        <v>5000</v>
      </c>
      <c r="E34" s="133" t="s">
        <v>410</v>
      </c>
      <c r="F34" s="130">
        <v>0</v>
      </c>
      <c r="G34" s="131">
        <f t="shared" si="0"/>
        <v>0</v>
      </c>
    </row>
    <row r="35" spans="1:7" s="100" customFormat="1" ht="91" x14ac:dyDescent="0.3">
      <c r="A35" s="126" t="s">
        <v>1892</v>
      </c>
      <c r="B35" s="127" t="s">
        <v>483</v>
      </c>
      <c r="C35" s="127" t="s">
        <v>481</v>
      </c>
      <c r="D35" s="132">
        <v>100</v>
      </c>
      <c r="E35" s="133" t="s">
        <v>428</v>
      </c>
      <c r="F35" s="130">
        <v>0</v>
      </c>
      <c r="G35" s="131">
        <f t="shared" si="0"/>
        <v>0</v>
      </c>
    </row>
    <row r="36" spans="1:7" s="100" customFormat="1" ht="52" x14ac:dyDescent="0.3">
      <c r="A36" s="126" t="s">
        <v>1893</v>
      </c>
      <c r="B36" s="127" t="s">
        <v>485</v>
      </c>
      <c r="C36" s="127" t="s">
        <v>486</v>
      </c>
      <c r="D36" s="132">
        <v>50</v>
      </c>
      <c r="E36" s="133" t="s">
        <v>414</v>
      </c>
      <c r="F36" s="130">
        <v>0</v>
      </c>
      <c r="G36" s="131">
        <f t="shared" si="0"/>
        <v>0</v>
      </c>
    </row>
    <row r="37" spans="1:7" s="100" customFormat="1" ht="26" x14ac:dyDescent="0.3">
      <c r="A37" s="126" t="s">
        <v>1894</v>
      </c>
      <c r="B37" s="127" t="s">
        <v>488</v>
      </c>
      <c r="C37" s="127" t="s">
        <v>489</v>
      </c>
      <c r="D37" s="132">
        <v>50</v>
      </c>
      <c r="E37" s="133" t="s">
        <v>414</v>
      </c>
      <c r="F37" s="130">
        <v>0</v>
      </c>
      <c r="G37" s="131">
        <f t="shared" si="0"/>
        <v>0</v>
      </c>
    </row>
    <row r="38" spans="1:7" s="100" customFormat="1" ht="91" x14ac:dyDescent="0.3">
      <c r="A38" s="126" t="s">
        <v>1895</v>
      </c>
      <c r="B38" s="127" t="s">
        <v>491</v>
      </c>
      <c r="C38" s="127" t="s">
        <v>492</v>
      </c>
      <c r="D38" s="132">
        <v>100</v>
      </c>
      <c r="E38" s="133" t="s">
        <v>428</v>
      </c>
      <c r="F38" s="130">
        <v>0</v>
      </c>
      <c r="G38" s="131">
        <f t="shared" si="0"/>
        <v>0</v>
      </c>
    </row>
    <row r="39" spans="1:7" s="100" customFormat="1" ht="91" x14ac:dyDescent="0.3">
      <c r="A39" s="126" t="s">
        <v>1896</v>
      </c>
      <c r="B39" s="127" t="s">
        <v>494</v>
      </c>
      <c r="C39" s="127" t="s">
        <v>495</v>
      </c>
      <c r="D39" s="132">
        <v>1000</v>
      </c>
      <c r="E39" s="133" t="s">
        <v>421</v>
      </c>
      <c r="F39" s="130">
        <v>0</v>
      </c>
      <c r="G39" s="131">
        <f t="shared" si="0"/>
        <v>0</v>
      </c>
    </row>
    <row r="40" spans="1:7" s="100" customFormat="1" ht="91" x14ac:dyDescent="0.3">
      <c r="A40" s="126" t="s">
        <v>1897</v>
      </c>
      <c r="B40" s="127" t="s">
        <v>497</v>
      </c>
      <c r="C40" s="127" t="s">
        <v>498</v>
      </c>
      <c r="D40" s="132">
        <v>100</v>
      </c>
      <c r="E40" s="133" t="s">
        <v>499</v>
      </c>
      <c r="F40" s="130">
        <v>0</v>
      </c>
      <c r="G40" s="131">
        <f t="shared" si="0"/>
        <v>0</v>
      </c>
    </row>
    <row r="41" spans="1:7" s="100" customFormat="1" ht="26" x14ac:dyDescent="0.3">
      <c r="A41" s="126" t="s">
        <v>1898</v>
      </c>
      <c r="B41" s="127" t="s">
        <v>501</v>
      </c>
      <c r="C41" s="127" t="s">
        <v>502</v>
      </c>
      <c r="D41" s="132">
        <v>3000</v>
      </c>
      <c r="E41" s="133" t="s">
        <v>410</v>
      </c>
      <c r="F41" s="130">
        <v>0</v>
      </c>
      <c r="G41" s="131">
        <f t="shared" si="0"/>
        <v>0</v>
      </c>
    </row>
    <row r="42" spans="1:7" s="100" customFormat="1" ht="52" x14ac:dyDescent="0.3">
      <c r="A42" s="126" t="s">
        <v>1899</v>
      </c>
      <c r="B42" s="127" t="s">
        <v>504</v>
      </c>
      <c r="C42" s="127" t="s">
        <v>505</v>
      </c>
      <c r="D42" s="132">
        <v>125</v>
      </c>
      <c r="E42" s="133" t="s">
        <v>499</v>
      </c>
      <c r="F42" s="130">
        <v>0</v>
      </c>
      <c r="G42" s="131">
        <f t="shared" si="0"/>
        <v>0</v>
      </c>
    </row>
    <row r="43" spans="1:7" s="100" customFormat="1" ht="130" x14ac:dyDescent="0.3">
      <c r="A43" s="126" t="s">
        <v>1900</v>
      </c>
      <c r="B43" s="127" t="s">
        <v>507</v>
      </c>
      <c r="C43" s="127" t="s">
        <v>508</v>
      </c>
      <c r="D43" s="132">
        <v>8500</v>
      </c>
      <c r="E43" s="133" t="s">
        <v>410</v>
      </c>
      <c r="F43" s="130">
        <v>0</v>
      </c>
      <c r="G43" s="131">
        <f t="shared" si="0"/>
        <v>0</v>
      </c>
    </row>
    <row r="44" spans="1:7" s="100" customFormat="1" ht="65" x14ac:dyDescent="0.3">
      <c r="A44" s="126" t="s">
        <v>1901</v>
      </c>
      <c r="B44" s="127" t="s">
        <v>510</v>
      </c>
      <c r="C44" s="127" t="s">
        <v>511</v>
      </c>
      <c r="D44" s="132">
        <v>50</v>
      </c>
      <c r="E44" s="133" t="s">
        <v>414</v>
      </c>
      <c r="F44" s="130">
        <v>0</v>
      </c>
      <c r="G44" s="131">
        <f t="shared" si="0"/>
        <v>0</v>
      </c>
    </row>
    <row r="45" spans="1:7" s="100" customFormat="1" ht="195" x14ac:dyDescent="0.3">
      <c r="A45" s="126" t="s">
        <v>1902</v>
      </c>
      <c r="B45" s="127" t="s">
        <v>513</v>
      </c>
      <c r="C45" s="127" t="s">
        <v>514</v>
      </c>
      <c r="D45" s="132">
        <v>200</v>
      </c>
      <c r="E45" s="133" t="s">
        <v>515</v>
      </c>
      <c r="F45" s="130">
        <v>0</v>
      </c>
      <c r="G45" s="131">
        <f t="shared" si="0"/>
        <v>0</v>
      </c>
    </row>
    <row r="46" spans="1:7" s="100" customFormat="1" ht="104" x14ac:dyDescent="0.3">
      <c r="A46" s="126" t="s">
        <v>1903</v>
      </c>
      <c r="B46" s="127" t="s">
        <v>517</v>
      </c>
      <c r="C46" s="127" t="s">
        <v>518</v>
      </c>
      <c r="D46" s="132">
        <v>10000</v>
      </c>
      <c r="E46" s="133" t="s">
        <v>421</v>
      </c>
      <c r="F46" s="130">
        <v>0</v>
      </c>
      <c r="G46" s="131">
        <f t="shared" si="0"/>
        <v>0</v>
      </c>
    </row>
    <row r="47" spans="1:7" s="100" customFormat="1" ht="104" x14ac:dyDescent="0.3">
      <c r="A47" s="126" t="s">
        <v>1904</v>
      </c>
      <c r="B47" s="127" t="s">
        <v>520</v>
      </c>
      <c r="C47" s="127" t="s">
        <v>521</v>
      </c>
      <c r="D47" s="132">
        <v>10000</v>
      </c>
      <c r="E47" s="133" t="s">
        <v>421</v>
      </c>
      <c r="F47" s="130">
        <v>0</v>
      </c>
      <c r="G47" s="131">
        <f t="shared" si="0"/>
        <v>0</v>
      </c>
    </row>
    <row r="48" spans="1:7" s="100" customFormat="1" ht="104" x14ac:dyDescent="0.3">
      <c r="A48" s="126" t="s">
        <v>1905</v>
      </c>
      <c r="B48" s="127" t="s">
        <v>523</v>
      </c>
      <c r="C48" s="127" t="s">
        <v>521</v>
      </c>
      <c r="D48" s="132">
        <v>4000</v>
      </c>
      <c r="E48" s="133" t="s">
        <v>421</v>
      </c>
      <c r="F48" s="130">
        <v>0</v>
      </c>
      <c r="G48" s="131">
        <f t="shared" si="0"/>
        <v>0</v>
      </c>
    </row>
    <row r="49" spans="1:7" s="100" customFormat="1" ht="130" x14ac:dyDescent="0.3">
      <c r="A49" s="126" t="s">
        <v>1906</v>
      </c>
      <c r="B49" s="127" t="s">
        <v>525</v>
      </c>
      <c r="C49" s="127" t="s">
        <v>526</v>
      </c>
      <c r="D49" s="132">
        <v>10000</v>
      </c>
      <c r="E49" s="133" t="s">
        <v>421</v>
      </c>
      <c r="F49" s="130">
        <v>0</v>
      </c>
      <c r="G49" s="131">
        <f t="shared" si="0"/>
        <v>0</v>
      </c>
    </row>
    <row r="50" spans="1:7" s="100" customFormat="1" ht="78" x14ac:dyDescent="0.3">
      <c r="A50" s="126" t="s">
        <v>1907</v>
      </c>
      <c r="B50" s="127" t="s">
        <v>528</v>
      </c>
      <c r="C50" s="127" t="s">
        <v>529</v>
      </c>
      <c r="D50" s="132">
        <v>5000</v>
      </c>
      <c r="E50" s="133" t="s">
        <v>421</v>
      </c>
      <c r="F50" s="130">
        <v>0</v>
      </c>
      <c r="G50" s="131">
        <f t="shared" si="0"/>
        <v>0</v>
      </c>
    </row>
    <row r="51" spans="1:7" s="100" customFormat="1" ht="104" x14ac:dyDescent="0.3">
      <c r="A51" s="126" t="s">
        <v>1908</v>
      </c>
      <c r="B51" s="127" t="s">
        <v>531</v>
      </c>
      <c r="C51" s="127" t="s">
        <v>532</v>
      </c>
      <c r="D51" s="132">
        <v>5000</v>
      </c>
      <c r="E51" s="133" t="s">
        <v>421</v>
      </c>
      <c r="F51" s="130">
        <v>0</v>
      </c>
      <c r="G51" s="131">
        <f t="shared" si="0"/>
        <v>0</v>
      </c>
    </row>
    <row r="52" spans="1:7" s="100" customFormat="1" ht="104" x14ac:dyDescent="0.3">
      <c r="A52" s="126" t="s">
        <v>1909</v>
      </c>
      <c r="B52" s="127" t="s">
        <v>534</v>
      </c>
      <c r="C52" s="127" t="s">
        <v>535</v>
      </c>
      <c r="D52" s="132">
        <v>10</v>
      </c>
      <c r="E52" s="133" t="s">
        <v>428</v>
      </c>
      <c r="F52" s="130">
        <v>0</v>
      </c>
      <c r="G52" s="131">
        <f t="shared" si="0"/>
        <v>0</v>
      </c>
    </row>
    <row r="53" spans="1:7" s="100" customFormat="1" ht="117" x14ac:dyDescent="0.3">
      <c r="A53" s="126" t="s">
        <v>1910</v>
      </c>
      <c r="B53" s="127" t="s">
        <v>537</v>
      </c>
      <c r="C53" s="127" t="s">
        <v>538</v>
      </c>
      <c r="D53" s="132">
        <v>5000</v>
      </c>
      <c r="E53" s="133" t="s">
        <v>421</v>
      </c>
      <c r="F53" s="130">
        <v>0</v>
      </c>
      <c r="G53" s="131">
        <f t="shared" si="0"/>
        <v>0</v>
      </c>
    </row>
    <row r="54" spans="1:7" s="100" customFormat="1" ht="39" x14ac:dyDescent="0.3">
      <c r="A54" s="126" t="s">
        <v>1911</v>
      </c>
      <c r="B54" s="127" t="s">
        <v>540</v>
      </c>
      <c r="C54" s="127" t="s">
        <v>541</v>
      </c>
      <c r="D54" s="132">
        <v>50</v>
      </c>
      <c r="E54" s="133" t="s">
        <v>428</v>
      </c>
      <c r="F54" s="130">
        <v>0</v>
      </c>
      <c r="G54" s="131">
        <f t="shared" si="0"/>
        <v>0</v>
      </c>
    </row>
    <row r="55" spans="1:7" s="100" customFormat="1" ht="65" x14ac:dyDescent="0.3">
      <c r="A55" s="126" t="s">
        <v>1912</v>
      </c>
      <c r="B55" s="127" t="s">
        <v>543</v>
      </c>
      <c r="C55" s="127" t="s">
        <v>544</v>
      </c>
      <c r="D55" s="132">
        <v>100</v>
      </c>
      <c r="E55" s="133" t="s">
        <v>428</v>
      </c>
      <c r="F55" s="130">
        <v>0</v>
      </c>
      <c r="G55" s="131">
        <f t="shared" si="0"/>
        <v>0</v>
      </c>
    </row>
    <row r="56" spans="1:7" s="100" customFormat="1" ht="130" x14ac:dyDescent="0.3">
      <c r="A56" s="126" t="s">
        <v>1913</v>
      </c>
      <c r="B56" s="127" t="s">
        <v>546</v>
      </c>
      <c r="C56" s="127" t="s">
        <v>547</v>
      </c>
      <c r="D56" s="132">
        <v>10000</v>
      </c>
      <c r="E56" s="133" t="s">
        <v>548</v>
      </c>
      <c r="F56" s="130">
        <v>0</v>
      </c>
      <c r="G56" s="131">
        <f t="shared" si="0"/>
        <v>0</v>
      </c>
    </row>
    <row r="57" spans="1:7" s="100" customFormat="1" ht="104" x14ac:dyDescent="0.3">
      <c r="A57" s="126" t="s">
        <v>1914</v>
      </c>
      <c r="B57" s="127" t="s">
        <v>550</v>
      </c>
      <c r="C57" s="127" t="s">
        <v>551</v>
      </c>
      <c r="D57" s="132">
        <v>10</v>
      </c>
      <c r="E57" s="133" t="s">
        <v>428</v>
      </c>
      <c r="F57" s="130">
        <v>0</v>
      </c>
      <c r="G57" s="131">
        <f t="shared" si="0"/>
        <v>0</v>
      </c>
    </row>
    <row r="58" spans="1:7" s="100" customFormat="1" ht="91" x14ac:dyDescent="0.3">
      <c r="A58" s="126" t="s">
        <v>1915</v>
      </c>
      <c r="B58" s="127" t="s">
        <v>553</v>
      </c>
      <c r="C58" s="127" t="s">
        <v>554</v>
      </c>
      <c r="D58" s="132">
        <v>2000</v>
      </c>
      <c r="E58" s="133" t="s">
        <v>548</v>
      </c>
      <c r="F58" s="130">
        <v>0</v>
      </c>
      <c r="G58" s="131">
        <f t="shared" si="0"/>
        <v>0</v>
      </c>
    </row>
    <row r="59" spans="1:7" s="100" customFormat="1" ht="78" x14ac:dyDescent="0.3">
      <c r="A59" s="126" t="s">
        <v>1916</v>
      </c>
      <c r="B59" s="127" t="s">
        <v>556</v>
      </c>
      <c r="C59" s="127" t="s">
        <v>557</v>
      </c>
      <c r="D59" s="132">
        <v>9</v>
      </c>
      <c r="E59" s="133" t="s">
        <v>558</v>
      </c>
      <c r="F59" s="130">
        <v>0</v>
      </c>
      <c r="G59" s="131">
        <f t="shared" si="0"/>
        <v>0</v>
      </c>
    </row>
    <row r="60" spans="1:7" s="100" customFormat="1" ht="65" x14ac:dyDescent="0.3">
      <c r="A60" s="126" t="s">
        <v>1917</v>
      </c>
      <c r="B60" s="127" t="s">
        <v>560</v>
      </c>
      <c r="C60" s="127" t="s">
        <v>561</v>
      </c>
      <c r="D60" s="132">
        <v>9</v>
      </c>
      <c r="E60" s="133" t="s">
        <v>558</v>
      </c>
      <c r="F60" s="130">
        <v>0</v>
      </c>
      <c r="G60" s="131">
        <f t="shared" si="0"/>
        <v>0</v>
      </c>
    </row>
    <row r="61" spans="1:7" s="100" customFormat="1" ht="78" x14ac:dyDescent="0.3">
      <c r="A61" s="126" t="s">
        <v>1918</v>
      </c>
      <c r="B61" s="127" t="s">
        <v>563</v>
      </c>
      <c r="C61" s="127" t="s">
        <v>564</v>
      </c>
      <c r="D61" s="132">
        <v>25000</v>
      </c>
      <c r="E61" s="133" t="s">
        <v>548</v>
      </c>
      <c r="F61" s="130">
        <v>0</v>
      </c>
      <c r="G61" s="131">
        <f t="shared" si="0"/>
        <v>0</v>
      </c>
    </row>
    <row r="62" spans="1:7" s="100" customFormat="1" ht="65.25" customHeight="1" x14ac:dyDescent="0.3">
      <c r="A62" s="126" t="s">
        <v>1919</v>
      </c>
      <c r="B62" s="127" t="s">
        <v>566</v>
      </c>
      <c r="C62" s="127" t="s">
        <v>567</v>
      </c>
      <c r="D62" s="132">
        <v>25000</v>
      </c>
      <c r="E62" s="133" t="s">
        <v>548</v>
      </c>
      <c r="F62" s="130">
        <v>0</v>
      </c>
      <c r="G62" s="131">
        <f t="shared" si="0"/>
        <v>0</v>
      </c>
    </row>
    <row r="63" spans="1:7" s="100" customFormat="1" ht="52" x14ac:dyDescent="0.3">
      <c r="A63" s="126" t="s">
        <v>1920</v>
      </c>
      <c r="B63" s="127" t="s">
        <v>569</v>
      </c>
      <c r="C63" s="127" t="s">
        <v>570</v>
      </c>
      <c r="D63" s="132">
        <v>200000</v>
      </c>
      <c r="E63" s="133" t="s">
        <v>548</v>
      </c>
      <c r="F63" s="130">
        <v>0</v>
      </c>
      <c r="G63" s="131">
        <f t="shared" si="0"/>
        <v>0</v>
      </c>
    </row>
    <row r="64" spans="1:7" s="100" customFormat="1" ht="65" x14ac:dyDescent="0.3">
      <c r="A64" s="126" t="s">
        <v>1921</v>
      </c>
      <c r="B64" s="127" t="s">
        <v>572</v>
      </c>
      <c r="C64" s="127" t="s">
        <v>573</v>
      </c>
      <c r="D64" s="132">
        <v>800000</v>
      </c>
      <c r="E64" s="133" t="s">
        <v>548</v>
      </c>
      <c r="F64" s="130">
        <v>0</v>
      </c>
      <c r="G64" s="131">
        <f t="shared" si="0"/>
        <v>0</v>
      </c>
    </row>
    <row r="65" spans="1:7" s="100" customFormat="1" ht="65" x14ac:dyDescent="0.3">
      <c r="A65" s="126" t="s">
        <v>1922</v>
      </c>
      <c r="B65" s="127" t="s">
        <v>575</v>
      </c>
      <c r="C65" s="127" t="s">
        <v>576</v>
      </c>
      <c r="D65" s="132">
        <v>20000</v>
      </c>
      <c r="E65" s="133" t="s">
        <v>548</v>
      </c>
      <c r="F65" s="130">
        <v>0</v>
      </c>
      <c r="G65" s="131">
        <f t="shared" si="0"/>
        <v>0</v>
      </c>
    </row>
    <row r="66" spans="1:7" s="100" customFormat="1" ht="39" x14ac:dyDescent="0.3">
      <c r="A66" s="126" t="s">
        <v>1923</v>
      </c>
      <c r="B66" s="127" t="s">
        <v>578</v>
      </c>
      <c r="C66" s="127" t="s">
        <v>579</v>
      </c>
      <c r="D66" s="132">
        <v>10000</v>
      </c>
      <c r="E66" s="133" t="s">
        <v>548</v>
      </c>
      <c r="F66" s="130">
        <v>0</v>
      </c>
      <c r="G66" s="131">
        <f t="shared" si="0"/>
        <v>0</v>
      </c>
    </row>
    <row r="67" spans="1:7" s="100" customFormat="1" ht="52" x14ac:dyDescent="0.3">
      <c r="A67" s="126" t="s">
        <v>1924</v>
      </c>
      <c r="B67" s="127" t="s">
        <v>581</v>
      </c>
      <c r="C67" s="127" t="s">
        <v>582</v>
      </c>
      <c r="D67" s="132">
        <v>500</v>
      </c>
      <c r="E67" s="133" t="s">
        <v>583</v>
      </c>
      <c r="F67" s="130">
        <v>0</v>
      </c>
      <c r="G67" s="131">
        <f t="shared" si="0"/>
        <v>0</v>
      </c>
    </row>
    <row r="68" spans="1:7" s="100" customFormat="1" ht="52" x14ac:dyDescent="0.3">
      <c r="A68" s="126" t="s">
        <v>1925</v>
      </c>
      <c r="B68" s="127" t="s">
        <v>585</v>
      </c>
      <c r="C68" s="127" t="s">
        <v>586</v>
      </c>
      <c r="D68" s="132">
        <v>100</v>
      </c>
      <c r="E68" s="133" t="s">
        <v>583</v>
      </c>
      <c r="F68" s="130">
        <v>0</v>
      </c>
      <c r="G68" s="131">
        <f t="shared" si="0"/>
        <v>0</v>
      </c>
    </row>
    <row r="69" spans="1:7" s="100" customFormat="1" ht="78" x14ac:dyDescent="0.3">
      <c r="A69" s="126" t="s">
        <v>1926</v>
      </c>
      <c r="B69" s="127" t="s">
        <v>588</v>
      </c>
      <c r="C69" s="127" t="s">
        <v>589</v>
      </c>
      <c r="D69" s="132">
        <v>100</v>
      </c>
      <c r="E69" s="133" t="s">
        <v>583</v>
      </c>
      <c r="F69" s="130">
        <v>0</v>
      </c>
      <c r="G69" s="131">
        <f t="shared" si="0"/>
        <v>0</v>
      </c>
    </row>
    <row r="70" spans="1:7" s="100" customFormat="1" ht="26" x14ac:dyDescent="0.3">
      <c r="A70" s="126" t="s">
        <v>1927</v>
      </c>
      <c r="B70" s="127" t="s">
        <v>591</v>
      </c>
      <c r="C70" s="127" t="s">
        <v>592</v>
      </c>
      <c r="D70" s="132">
        <v>10000</v>
      </c>
      <c r="E70" s="133" t="s">
        <v>583</v>
      </c>
      <c r="F70" s="130">
        <v>0</v>
      </c>
      <c r="G70" s="131">
        <f t="shared" si="0"/>
        <v>0</v>
      </c>
    </row>
    <row r="71" spans="1:7" s="100" customFormat="1" ht="260" x14ac:dyDescent="0.3">
      <c r="A71" s="126" t="s">
        <v>1928</v>
      </c>
      <c r="B71" s="134" t="s">
        <v>594</v>
      </c>
      <c r="C71" s="134" t="s">
        <v>595</v>
      </c>
      <c r="D71" s="132">
        <v>4</v>
      </c>
      <c r="E71" s="133" t="s">
        <v>428</v>
      </c>
      <c r="F71" s="130">
        <v>0</v>
      </c>
      <c r="G71" s="131">
        <f t="shared" si="0"/>
        <v>0</v>
      </c>
    </row>
    <row r="72" spans="1:7" s="100" customFormat="1" ht="104" x14ac:dyDescent="0.3">
      <c r="A72" s="126" t="s">
        <v>1929</v>
      </c>
      <c r="B72" s="134" t="s">
        <v>597</v>
      </c>
      <c r="C72" s="135" t="s">
        <v>598</v>
      </c>
      <c r="D72" s="132">
        <v>4</v>
      </c>
      <c r="E72" s="133" t="s">
        <v>428</v>
      </c>
      <c r="F72" s="130">
        <v>0</v>
      </c>
      <c r="G72" s="131">
        <f t="shared" si="0"/>
        <v>0</v>
      </c>
    </row>
    <row r="73" spans="1:7" s="100" customFormat="1" ht="91" x14ac:dyDescent="0.3">
      <c r="A73" s="126" t="s">
        <v>1930</v>
      </c>
      <c r="B73" s="134" t="s">
        <v>600</v>
      </c>
      <c r="C73" s="136" t="s">
        <v>601</v>
      </c>
      <c r="D73" s="132">
        <v>4</v>
      </c>
      <c r="E73" s="133" t="s">
        <v>428</v>
      </c>
      <c r="F73" s="130">
        <v>0</v>
      </c>
      <c r="G73" s="131">
        <f t="shared" si="0"/>
        <v>0</v>
      </c>
    </row>
    <row r="74" spans="1:7" s="100" customFormat="1" ht="78" x14ac:dyDescent="0.3">
      <c r="A74" s="126" t="s">
        <v>1931</v>
      </c>
      <c r="B74" s="134" t="s">
        <v>603</v>
      </c>
      <c r="C74" s="134" t="s">
        <v>604</v>
      </c>
      <c r="D74" s="132">
        <v>4</v>
      </c>
      <c r="E74" s="133" t="s">
        <v>428</v>
      </c>
      <c r="F74" s="130">
        <v>0</v>
      </c>
      <c r="G74" s="131">
        <f t="shared" si="0"/>
        <v>0</v>
      </c>
    </row>
    <row r="75" spans="1:7" s="100" customFormat="1" ht="78" x14ac:dyDescent="0.3">
      <c r="A75" s="126" t="s">
        <v>1932</v>
      </c>
      <c r="B75" s="134" t="s">
        <v>606</v>
      </c>
      <c r="C75" s="134" t="s">
        <v>607</v>
      </c>
      <c r="D75" s="132">
        <v>4</v>
      </c>
      <c r="E75" s="133" t="s">
        <v>428</v>
      </c>
      <c r="F75" s="130">
        <v>0</v>
      </c>
      <c r="G75" s="131">
        <f t="shared" si="0"/>
        <v>0</v>
      </c>
    </row>
    <row r="76" spans="1:7" s="100" customFormat="1" ht="65" x14ac:dyDescent="0.3">
      <c r="A76" s="126" t="s">
        <v>1933</v>
      </c>
      <c r="B76" s="134" t="s">
        <v>609</v>
      </c>
      <c r="C76" s="134" t="s">
        <v>610</v>
      </c>
      <c r="D76" s="132">
        <v>2</v>
      </c>
      <c r="E76" s="133" t="s">
        <v>428</v>
      </c>
      <c r="F76" s="130">
        <v>0</v>
      </c>
      <c r="G76" s="131">
        <f t="shared" ref="G76:G135" si="1">D76*F76</f>
        <v>0</v>
      </c>
    </row>
    <row r="77" spans="1:7" s="100" customFormat="1" ht="65" x14ac:dyDescent="0.3">
      <c r="A77" s="126" t="s">
        <v>1934</v>
      </c>
      <c r="B77" s="134" t="s">
        <v>612</v>
      </c>
      <c r="C77" s="134" t="s">
        <v>613</v>
      </c>
      <c r="D77" s="132">
        <v>1</v>
      </c>
      <c r="E77" s="133" t="s">
        <v>428</v>
      </c>
      <c r="F77" s="130">
        <v>0</v>
      </c>
      <c r="G77" s="131">
        <f t="shared" si="1"/>
        <v>0</v>
      </c>
    </row>
    <row r="78" spans="1:7" s="100" customFormat="1" ht="260" x14ac:dyDescent="0.3">
      <c r="A78" s="126" t="s">
        <v>1935</v>
      </c>
      <c r="B78" s="134" t="s">
        <v>615</v>
      </c>
      <c r="C78" s="134" t="s">
        <v>595</v>
      </c>
      <c r="D78" s="132">
        <v>4</v>
      </c>
      <c r="E78" s="133" t="s">
        <v>428</v>
      </c>
      <c r="F78" s="130">
        <v>0</v>
      </c>
      <c r="G78" s="131">
        <f t="shared" si="1"/>
        <v>0</v>
      </c>
    </row>
    <row r="79" spans="1:7" s="100" customFormat="1" ht="104" x14ac:dyDescent="0.3">
      <c r="A79" s="126" t="s">
        <v>1936</v>
      </c>
      <c r="B79" s="134" t="s">
        <v>617</v>
      </c>
      <c r="C79" s="135" t="s">
        <v>598</v>
      </c>
      <c r="D79" s="132">
        <v>4</v>
      </c>
      <c r="E79" s="133" t="s">
        <v>428</v>
      </c>
      <c r="F79" s="130">
        <v>0</v>
      </c>
      <c r="G79" s="131">
        <f t="shared" si="1"/>
        <v>0</v>
      </c>
    </row>
    <row r="80" spans="1:7" s="100" customFormat="1" ht="91" x14ac:dyDescent="0.3">
      <c r="A80" s="126" t="s">
        <v>1937</v>
      </c>
      <c r="B80" s="134" t="s">
        <v>619</v>
      </c>
      <c r="C80" s="136" t="s">
        <v>601</v>
      </c>
      <c r="D80" s="132">
        <v>4</v>
      </c>
      <c r="E80" s="133" t="s">
        <v>428</v>
      </c>
      <c r="F80" s="130">
        <v>0</v>
      </c>
      <c r="G80" s="131">
        <f t="shared" si="1"/>
        <v>0</v>
      </c>
    </row>
    <row r="81" spans="1:7" s="100" customFormat="1" ht="78" x14ac:dyDescent="0.3">
      <c r="A81" s="126" t="s">
        <v>1938</v>
      </c>
      <c r="B81" s="134" t="s">
        <v>621</v>
      </c>
      <c r="C81" s="134" t="s">
        <v>604</v>
      </c>
      <c r="D81" s="132">
        <v>4</v>
      </c>
      <c r="E81" s="133" t="s">
        <v>428</v>
      </c>
      <c r="F81" s="130">
        <v>0</v>
      </c>
      <c r="G81" s="131">
        <f t="shared" si="1"/>
        <v>0</v>
      </c>
    </row>
    <row r="82" spans="1:7" s="100" customFormat="1" ht="78" x14ac:dyDescent="0.3">
      <c r="A82" s="126" t="s">
        <v>1939</v>
      </c>
      <c r="B82" s="134" t="s">
        <v>623</v>
      </c>
      <c r="C82" s="134" t="s">
        <v>607</v>
      </c>
      <c r="D82" s="132">
        <v>4</v>
      </c>
      <c r="E82" s="133" t="s">
        <v>428</v>
      </c>
      <c r="F82" s="130">
        <v>0</v>
      </c>
      <c r="G82" s="131">
        <f t="shared" si="1"/>
        <v>0</v>
      </c>
    </row>
    <row r="83" spans="1:7" s="100" customFormat="1" ht="65" x14ac:dyDescent="0.3">
      <c r="A83" s="126" t="s">
        <v>1940</v>
      </c>
      <c r="B83" s="134" t="s">
        <v>625</v>
      </c>
      <c r="C83" s="134" t="s">
        <v>610</v>
      </c>
      <c r="D83" s="132">
        <v>2</v>
      </c>
      <c r="E83" s="133" t="s">
        <v>428</v>
      </c>
      <c r="F83" s="130">
        <v>0</v>
      </c>
      <c r="G83" s="131">
        <f t="shared" si="1"/>
        <v>0</v>
      </c>
    </row>
    <row r="84" spans="1:7" s="100" customFormat="1" ht="65" x14ac:dyDescent="0.3">
      <c r="A84" s="126" t="s">
        <v>1941</v>
      </c>
      <c r="B84" s="134" t="s">
        <v>627</v>
      </c>
      <c r="C84" s="134" t="s">
        <v>628</v>
      </c>
      <c r="D84" s="132">
        <v>1</v>
      </c>
      <c r="E84" s="133" t="s">
        <v>428</v>
      </c>
      <c r="F84" s="130">
        <v>0</v>
      </c>
      <c r="G84" s="131">
        <f t="shared" si="1"/>
        <v>0</v>
      </c>
    </row>
    <row r="85" spans="1:7" s="100" customFormat="1" ht="260" x14ac:dyDescent="0.3">
      <c r="A85" s="126" t="s">
        <v>1942</v>
      </c>
      <c r="B85" s="134" t="s">
        <v>630</v>
      </c>
      <c r="C85" s="134" t="s">
        <v>595</v>
      </c>
      <c r="D85" s="132">
        <v>4</v>
      </c>
      <c r="E85" s="133" t="s">
        <v>428</v>
      </c>
      <c r="F85" s="130">
        <v>0</v>
      </c>
      <c r="G85" s="131">
        <f t="shared" si="1"/>
        <v>0</v>
      </c>
    </row>
    <row r="86" spans="1:7" s="100" customFormat="1" ht="104" x14ac:dyDescent="0.3">
      <c r="A86" s="126" t="s">
        <v>1943</v>
      </c>
      <c r="B86" s="134" t="s">
        <v>632</v>
      </c>
      <c r="C86" s="135" t="s">
        <v>598</v>
      </c>
      <c r="D86" s="132">
        <v>4</v>
      </c>
      <c r="E86" s="133" t="s">
        <v>428</v>
      </c>
      <c r="F86" s="130">
        <v>0</v>
      </c>
      <c r="G86" s="131">
        <f t="shared" si="1"/>
        <v>0</v>
      </c>
    </row>
    <row r="87" spans="1:7" s="100" customFormat="1" ht="91" x14ac:dyDescent="0.3">
      <c r="A87" s="126" t="s">
        <v>1944</v>
      </c>
      <c r="B87" s="134" t="s">
        <v>634</v>
      </c>
      <c r="C87" s="136" t="s">
        <v>601</v>
      </c>
      <c r="D87" s="132">
        <v>4</v>
      </c>
      <c r="E87" s="133" t="s">
        <v>428</v>
      </c>
      <c r="F87" s="130">
        <v>0</v>
      </c>
      <c r="G87" s="131">
        <f t="shared" si="1"/>
        <v>0</v>
      </c>
    </row>
    <row r="88" spans="1:7" s="100" customFormat="1" ht="78" x14ac:dyDescent="0.3">
      <c r="A88" s="126" t="s">
        <v>1945</v>
      </c>
      <c r="B88" s="134" t="s">
        <v>636</v>
      </c>
      <c r="C88" s="134" t="s">
        <v>604</v>
      </c>
      <c r="D88" s="132">
        <v>4</v>
      </c>
      <c r="E88" s="133" t="s">
        <v>428</v>
      </c>
      <c r="F88" s="130">
        <v>0</v>
      </c>
      <c r="G88" s="131">
        <f t="shared" si="1"/>
        <v>0</v>
      </c>
    </row>
    <row r="89" spans="1:7" s="100" customFormat="1" ht="78" x14ac:dyDescent="0.3">
      <c r="A89" s="126" t="s">
        <v>1946</v>
      </c>
      <c r="B89" s="134" t="s">
        <v>638</v>
      </c>
      <c r="C89" s="134" t="s">
        <v>607</v>
      </c>
      <c r="D89" s="132">
        <v>4</v>
      </c>
      <c r="E89" s="133" t="s">
        <v>428</v>
      </c>
      <c r="F89" s="130">
        <v>0</v>
      </c>
      <c r="G89" s="131">
        <f t="shared" si="1"/>
        <v>0</v>
      </c>
    </row>
    <row r="90" spans="1:7" s="100" customFormat="1" ht="65" x14ac:dyDescent="0.3">
      <c r="A90" s="126" t="s">
        <v>1947</v>
      </c>
      <c r="B90" s="134" t="s">
        <v>640</v>
      </c>
      <c r="C90" s="134" t="s">
        <v>610</v>
      </c>
      <c r="D90" s="132">
        <v>2</v>
      </c>
      <c r="E90" s="133" t="s">
        <v>428</v>
      </c>
      <c r="F90" s="130">
        <v>0</v>
      </c>
      <c r="G90" s="131">
        <f t="shared" si="1"/>
        <v>0</v>
      </c>
    </row>
    <row r="91" spans="1:7" s="100" customFormat="1" ht="65" x14ac:dyDescent="0.3">
      <c r="A91" s="126" t="s">
        <v>1948</v>
      </c>
      <c r="B91" s="134" t="s">
        <v>642</v>
      </c>
      <c r="C91" s="134" t="s">
        <v>628</v>
      </c>
      <c r="D91" s="132">
        <v>1</v>
      </c>
      <c r="E91" s="133" t="s">
        <v>428</v>
      </c>
      <c r="F91" s="130">
        <v>0</v>
      </c>
      <c r="G91" s="131">
        <f t="shared" si="1"/>
        <v>0</v>
      </c>
    </row>
    <row r="92" spans="1:7" s="100" customFormat="1" ht="260" x14ac:dyDescent="0.3">
      <c r="A92" s="126" t="s">
        <v>1949</v>
      </c>
      <c r="B92" s="134" t="s">
        <v>644</v>
      </c>
      <c r="C92" s="134" t="s">
        <v>595</v>
      </c>
      <c r="D92" s="132">
        <v>4</v>
      </c>
      <c r="E92" s="133" t="s">
        <v>428</v>
      </c>
      <c r="F92" s="130">
        <v>0</v>
      </c>
      <c r="G92" s="131">
        <f t="shared" si="1"/>
        <v>0</v>
      </c>
    </row>
    <row r="93" spans="1:7" s="100" customFormat="1" ht="104" x14ac:dyDescent="0.3">
      <c r="A93" s="126" t="s">
        <v>1950</v>
      </c>
      <c r="B93" s="134" t="s">
        <v>646</v>
      </c>
      <c r="C93" s="135" t="s">
        <v>598</v>
      </c>
      <c r="D93" s="132">
        <v>4</v>
      </c>
      <c r="E93" s="133" t="s">
        <v>428</v>
      </c>
      <c r="F93" s="130">
        <v>0</v>
      </c>
      <c r="G93" s="131">
        <f t="shared" si="1"/>
        <v>0</v>
      </c>
    </row>
    <row r="94" spans="1:7" s="100" customFormat="1" ht="91" x14ac:dyDescent="0.3">
      <c r="A94" s="126" t="s">
        <v>1951</v>
      </c>
      <c r="B94" s="134" t="s">
        <v>648</v>
      </c>
      <c r="C94" s="136" t="s">
        <v>601</v>
      </c>
      <c r="D94" s="132">
        <v>4</v>
      </c>
      <c r="E94" s="133" t="s">
        <v>428</v>
      </c>
      <c r="F94" s="130">
        <v>0</v>
      </c>
      <c r="G94" s="131">
        <f t="shared" si="1"/>
        <v>0</v>
      </c>
    </row>
    <row r="95" spans="1:7" s="100" customFormat="1" ht="78" x14ac:dyDescent="0.3">
      <c r="A95" s="126" t="s">
        <v>1952</v>
      </c>
      <c r="B95" s="134" t="s">
        <v>650</v>
      </c>
      <c r="C95" s="134" t="s">
        <v>604</v>
      </c>
      <c r="D95" s="132">
        <v>4</v>
      </c>
      <c r="E95" s="133" t="s">
        <v>428</v>
      </c>
      <c r="F95" s="130">
        <v>0</v>
      </c>
      <c r="G95" s="131">
        <f t="shared" si="1"/>
        <v>0</v>
      </c>
    </row>
    <row r="96" spans="1:7" s="100" customFormat="1" ht="78" x14ac:dyDescent="0.3">
      <c r="A96" s="126" t="s">
        <v>1953</v>
      </c>
      <c r="B96" s="134" t="s">
        <v>652</v>
      </c>
      <c r="C96" s="134" t="s">
        <v>607</v>
      </c>
      <c r="D96" s="132">
        <v>4</v>
      </c>
      <c r="E96" s="133" t="s">
        <v>428</v>
      </c>
      <c r="F96" s="130">
        <v>0</v>
      </c>
      <c r="G96" s="131">
        <f t="shared" si="1"/>
        <v>0</v>
      </c>
    </row>
    <row r="97" spans="1:7" s="100" customFormat="1" ht="65" x14ac:dyDescent="0.3">
      <c r="A97" s="126" t="s">
        <v>1954</v>
      </c>
      <c r="B97" s="134" t="s">
        <v>654</v>
      </c>
      <c r="C97" s="134" t="s">
        <v>610</v>
      </c>
      <c r="D97" s="132">
        <v>2</v>
      </c>
      <c r="E97" s="133" t="s">
        <v>428</v>
      </c>
      <c r="F97" s="130">
        <v>0</v>
      </c>
      <c r="G97" s="131">
        <f t="shared" si="1"/>
        <v>0</v>
      </c>
    </row>
    <row r="98" spans="1:7" s="100" customFormat="1" ht="65" x14ac:dyDescent="0.3">
      <c r="A98" s="126" t="s">
        <v>1955</v>
      </c>
      <c r="B98" s="134" t="s">
        <v>656</v>
      </c>
      <c r="C98" s="134" t="s">
        <v>628</v>
      </c>
      <c r="D98" s="132">
        <v>1</v>
      </c>
      <c r="E98" s="133" t="s">
        <v>428</v>
      </c>
      <c r="F98" s="130">
        <v>0</v>
      </c>
      <c r="G98" s="131">
        <f t="shared" si="1"/>
        <v>0</v>
      </c>
    </row>
    <row r="99" spans="1:7" s="100" customFormat="1" ht="260" x14ac:dyDescent="0.3">
      <c r="A99" s="126" t="s">
        <v>1956</v>
      </c>
      <c r="B99" s="134" t="s">
        <v>658</v>
      </c>
      <c r="C99" s="134" t="s">
        <v>595</v>
      </c>
      <c r="D99" s="132">
        <v>4</v>
      </c>
      <c r="E99" s="133" t="s">
        <v>428</v>
      </c>
      <c r="F99" s="130">
        <v>0</v>
      </c>
      <c r="G99" s="131">
        <f t="shared" si="1"/>
        <v>0</v>
      </c>
    </row>
    <row r="100" spans="1:7" s="100" customFormat="1" ht="104" x14ac:dyDescent="0.3">
      <c r="A100" s="126" t="s">
        <v>1957</v>
      </c>
      <c r="B100" s="134" t="s">
        <v>660</v>
      </c>
      <c r="C100" s="135" t="s">
        <v>598</v>
      </c>
      <c r="D100" s="132">
        <v>4</v>
      </c>
      <c r="E100" s="133" t="s">
        <v>428</v>
      </c>
      <c r="F100" s="130">
        <v>0</v>
      </c>
      <c r="G100" s="131">
        <f t="shared" si="1"/>
        <v>0</v>
      </c>
    </row>
    <row r="101" spans="1:7" s="100" customFormat="1" ht="91" x14ac:dyDescent="0.3">
      <c r="A101" s="126" t="s">
        <v>1958</v>
      </c>
      <c r="B101" s="134" t="s">
        <v>662</v>
      </c>
      <c r="C101" s="136" t="s">
        <v>601</v>
      </c>
      <c r="D101" s="132">
        <v>4</v>
      </c>
      <c r="E101" s="133" t="s">
        <v>428</v>
      </c>
      <c r="F101" s="130">
        <v>0</v>
      </c>
      <c r="G101" s="131">
        <f t="shared" si="1"/>
        <v>0</v>
      </c>
    </row>
    <row r="102" spans="1:7" s="100" customFormat="1" ht="78" x14ac:dyDescent="0.3">
      <c r="A102" s="126" t="s">
        <v>1959</v>
      </c>
      <c r="B102" s="134" t="s">
        <v>664</v>
      </c>
      <c r="C102" s="134" t="s">
        <v>604</v>
      </c>
      <c r="D102" s="132">
        <v>4</v>
      </c>
      <c r="E102" s="133" t="s">
        <v>428</v>
      </c>
      <c r="F102" s="130">
        <v>0</v>
      </c>
      <c r="G102" s="131">
        <f t="shared" si="1"/>
        <v>0</v>
      </c>
    </row>
    <row r="103" spans="1:7" s="100" customFormat="1" ht="78" x14ac:dyDescent="0.3">
      <c r="A103" s="126" t="s">
        <v>1960</v>
      </c>
      <c r="B103" s="134" t="s">
        <v>666</v>
      </c>
      <c r="C103" s="134" t="s">
        <v>607</v>
      </c>
      <c r="D103" s="132">
        <v>4</v>
      </c>
      <c r="E103" s="133" t="s">
        <v>428</v>
      </c>
      <c r="F103" s="130">
        <v>0</v>
      </c>
      <c r="G103" s="131">
        <f t="shared" si="1"/>
        <v>0</v>
      </c>
    </row>
    <row r="104" spans="1:7" s="100" customFormat="1" ht="65" x14ac:dyDescent="0.3">
      <c r="A104" s="126" t="s">
        <v>1961</v>
      </c>
      <c r="B104" s="134" t="s">
        <v>668</v>
      </c>
      <c r="C104" s="134" t="s">
        <v>610</v>
      </c>
      <c r="D104" s="132">
        <v>2</v>
      </c>
      <c r="E104" s="133" t="s">
        <v>428</v>
      </c>
      <c r="F104" s="130">
        <v>0</v>
      </c>
      <c r="G104" s="131">
        <f t="shared" si="1"/>
        <v>0</v>
      </c>
    </row>
    <row r="105" spans="1:7" s="100" customFormat="1" ht="65" x14ac:dyDescent="0.3">
      <c r="A105" s="126" t="s">
        <v>1962</v>
      </c>
      <c r="B105" s="134" t="s">
        <v>670</v>
      </c>
      <c r="C105" s="134" t="s">
        <v>628</v>
      </c>
      <c r="D105" s="132">
        <v>1</v>
      </c>
      <c r="E105" s="133" t="s">
        <v>428</v>
      </c>
      <c r="F105" s="130">
        <v>0</v>
      </c>
      <c r="G105" s="131">
        <f t="shared" si="1"/>
        <v>0</v>
      </c>
    </row>
    <row r="106" spans="1:7" s="100" customFormat="1" ht="260" x14ac:dyDescent="0.3">
      <c r="A106" s="126" t="s">
        <v>1963</v>
      </c>
      <c r="B106" s="134" t="s">
        <v>672</v>
      </c>
      <c r="C106" s="134" t="s">
        <v>595</v>
      </c>
      <c r="D106" s="132">
        <v>4</v>
      </c>
      <c r="E106" s="133" t="s">
        <v>428</v>
      </c>
      <c r="F106" s="130">
        <v>0</v>
      </c>
      <c r="G106" s="131">
        <f t="shared" si="1"/>
        <v>0</v>
      </c>
    </row>
    <row r="107" spans="1:7" s="100" customFormat="1" ht="104" x14ac:dyDescent="0.3">
      <c r="A107" s="126" t="s">
        <v>1964</v>
      </c>
      <c r="B107" s="134" t="s">
        <v>674</v>
      </c>
      <c r="C107" s="135" t="s">
        <v>598</v>
      </c>
      <c r="D107" s="132">
        <v>4</v>
      </c>
      <c r="E107" s="133" t="s">
        <v>428</v>
      </c>
      <c r="F107" s="130">
        <v>0</v>
      </c>
      <c r="G107" s="131">
        <f t="shared" si="1"/>
        <v>0</v>
      </c>
    </row>
    <row r="108" spans="1:7" s="100" customFormat="1" ht="91" x14ac:dyDescent="0.3">
      <c r="A108" s="126" t="s">
        <v>1965</v>
      </c>
      <c r="B108" s="134" t="s">
        <v>676</v>
      </c>
      <c r="C108" s="136" t="s">
        <v>601</v>
      </c>
      <c r="D108" s="132">
        <v>4</v>
      </c>
      <c r="E108" s="133" t="s">
        <v>428</v>
      </c>
      <c r="F108" s="130">
        <v>0</v>
      </c>
      <c r="G108" s="131">
        <f t="shared" si="1"/>
        <v>0</v>
      </c>
    </row>
    <row r="109" spans="1:7" s="100" customFormat="1" ht="78" x14ac:dyDescent="0.3">
      <c r="A109" s="126" t="s">
        <v>1966</v>
      </c>
      <c r="B109" s="134" t="s">
        <v>678</v>
      </c>
      <c r="C109" s="134" t="s">
        <v>604</v>
      </c>
      <c r="D109" s="132">
        <v>4</v>
      </c>
      <c r="E109" s="133" t="s">
        <v>428</v>
      </c>
      <c r="F109" s="130">
        <v>0</v>
      </c>
      <c r="G109" s="131">
        <f t="shared" si="1"/>
        <v>0</v>
      </c>
    </row>
    <row r="110" spans="1:7" s="100" customFormat="1" ht="78" x14ac:dyDescent="0.3">
      <c r="A110" s="126" t="s">
        <v>1967</v>
      </c>
      <c r="B110" s="134" t="s">
        <v>680</v>
      </c>
      <c r="C110" s="134" t="s">
        <v>607</v>
      </c>
      <c r="D110" s="132">
        <v>4</v>
      </c>
      <c r="E110" s="133" t="s">
        <v>428</v>
      </c>
      <c r="F110" s="130">
        <v>0</v>
      </c>
      <c r="G110" s="131">
        <f t="shared" si="1"/>
        <v>0</v>
      </c>
    </row>
    <row r="111" spans="1:7" s="100" customFormat="1" ht="65" x14ac:dyDescent="0.3">
      <c r="A111" s="126" t="s">
        <v>1968</v>
      </c>
      <c r="B111" s="134" t="s">
        <v>682</v>
      </c>
      <c r="C111" s="134" t="s">
        <v>610</v>
      </c>
      <c r="D111" s="132">
        <v>2</v>
      </c>
      <c r="E111" s="133" t="s">
        <v>428</v>
      </c>
      <c r="F111" s="130">
        <v>0</v>
      </c>
      <c r="G111" s="131">
        <f t="shared" si="1"/>
        <v>0</v>
      </c>
    </row>
    <row r="112" spans="1:7" s="100" customFormat="1" ht="65" x14ac:dyDescent="0.3">
      <c r="A112" s="126" t="s">
        <v>1969</v>
      </c>
      <c r="B112" s="134" t="s">
        <v>684</v>
      </c>
      <c r="C112" s="134" t="s">
        <v>628</v>
      </c>
      <c r="D112" s="132">
        <v>1</v>
      </c>
      <c r="E112" s="133" t="s">
        <v>428</v>
      </c>
      <c r="F112" s="130">
        <v>0</v>
      </c>
      <c r="G112" s="131">
        <f t="shared" si="1"/>
        <v>0</v>
      </c>
    </row>
    <row r="113" spans="1:7" s="100" customFormat="1" ht="117" x14ac:dyDescent="0.3">
      <c r="A113" s="126" t="s">
        <v>1970</v>
      </c>
      <c r="B113" s="134" t="s">
        <v>686</v>
      </c>
      <c r="C113" s="134" t="s">
        <v>687</v>
      </c>
      <c r="D113" s="132">
        <v>12</v>
      </c>
      <c r="E113" s="133" t="s">
        <v>428</v>
      </c>
      <c r="F113" s="130">
        <v>0</v>
      </c>
      <c r="G113" s="131">
        <f t="shared" si="1"/>
        <v>0</v>
      </c>
    </row>
    <row r="114" spans="1:7" s="100" customFormat="1" ht="52" x14ac:dyDescent="0.3">
      <c r="A114" s="126" t="s">
        <v>1971</v>
      </c>
      <c r="B114" s="134" t="s">
        <v>689</v>
      </c>
      <c r="C114" s="127" t="s">
        <v>690</v>
      </c>
      <c r="D114" s="132">
        <v>10</v>
      </c>
      <c r="E114" s="133" t="s">
        <v>428</v>
      </c>
      <c r="F114" s="130">
        <v>0</v>
      </c>
      <c r="G114" s="131">
        <f t="shared" si="1"/>
        <v>0</v>
      </c>
    </row>
    <row r="115" spans="1:7" s="100" customFormat="1" ht="65" x14ac:dyDescent="0.3">
      <c r="A115" s="126" t="s">
        <v>1972</v>
      </c>
      <c r="B115" s="134" t="s">
        <v>692</v>
      </c>
      <c r="C115" s="134" t="s">
        <v>693</v>
      </c>
      <c r="D115" s="132">
        <v>4</v>
      </c>
      <c r="E115" s="133" t="s">
        <v>428</v>
      </c>
      <c r="F115" s="130">
        <v>0</v>
      </c>
      <c r="G115" s="131">
        <f t="shared" si="1"/>
        <v>0</v>
      </c>
    </row>
    <row r="116" spans="1:7" s="100" customFormat="1" ht="91" x14ac:dyDescent="0.3">
      <c r="A116" s="126" t="s">
        <v>1973</v>
      </c>
      <c r="B116" s="134" t="s">
        <v>695</v>
      </c>
      <c r="C116" s="134" t="s">
        <v>696</v>
      </c>
      <c r="D116" s="134">
        <v>6</v>
      </c>
      <c r="E116" s="137" t="s">
        <v>428</v>
      </c>
      <c r="F116" s="130">
        <v>0</v>
      </c>
      <c r="G116" s="131">
        <f t="shared" si="1"/>
        <v>0</v>
      </c>
    </row>
    <row r="117" spans="1:7" s="100" customFormat="1" ht="91" x14ac:dyDescent="0.3">
      <c r="A117" s="126" t="s">
        <v>1974</v>
      </c>
      <c r="B117" s="134" t="s">
        <v>698</v>
      </c>
      <c r="C117" s="134" t="s">
        <v>699</v>
      </c>
      <c r="D117" s="134">
        <v>3</v>
      </c>
      <c r="E117" s="138" t="s">
        <v>428</v>
      </c>
      <c r="F117" s="130">
        <v>0</v>
      </c>
      <c r="G117" s="131">
        <f t="shared" si="1"/>
        <v>0</v>
      </c>
    </row>
    <row r="118" spans="1:7" s="100" customFormat="1" ht="78" x14ac:dyDescent="0.3">
      <c r="A118" s="126" t="s">
        <v>1975</v>
      </c>
      <c r="B118" s="134" t="s">
        <v>701</v>
      </c>
      <c r="C118" s="134" t="s">
        <v>702</v>
      </c>
      <c r="D118" s="134">
        <v>2</v>
      </c>
      <c r="E118" s="138" t="s">
        <v>428</v>
      </c>
      <c r="F118" s="130">
        <v>0</v>
      </c>
      <c r="G118" s="131">
        <f t="shared" si="1"/>
        <v>0</v>
      </c>
    </row>
    <row r="119" spans="1:7" s="100" customFormat="1" ht="78" x14ac:dyDescent="0.3">
      <c r="A119" s="126" t="s">
        <v>1976</v>
      </c>
      <c r="B119" s="134" t="s">
        <v>704</v>
      </c>
      <c r="C119" s="134" t="s">
        <v>705</v>
      </c>
      <c r="D119" s="132">
        <v>1</v>
      </c>
      <c r="E119" s="133" t="s">
        <v>428</v>
      </c>
      <c r="F119" s="130">
        <v>0</v>
      </c>
      <c r="G119" s="131">
        <f t="shared" si="1"/>
        <v>0</v>
      </c>
    </row>
    <row r="120" spans="1:7" s="100" customFormat="1" ht="117" x14ac:dyDescent="0.3">
      <c r="A120" s="126" t="s">
        <v>1977</v>
      </c>
      <c r="B120" s="134" t="s">
        <v>707</v>
      </c>
      <c r="C120" s="134" t="s">
        <v>687</v>
      </c>
      <c r="D120" s="132">
        <v>12</v>
      </c>
      <c r="E120" s="133" t="s">
        <v>428</v>
      </c>
      <c r="F120" s="130">
        <v>0</v>
      </c>
      <c r="G120" s="131">
        <f t="shared" si="1"/>
        <v>0</v>
      </c>
    </row>
    <row r="121" spans="1:7" s="100" customFormat="1" ht="52" x14ac:dyDescent="0.3">
      <c r="A121" s="126" t="s">
        <v>1978</v>
      </c>
      <c r="B121" s="127" t="s">
        <v>709</v>
      </c>
      <c r="C121" s="134" t="s">
        <v>690</v>
      </c>
      <c r="D121" s="132">
        <v>10</v>
      </c>
      <c r="E121" s="133" t="s">
        <v>428</v>
      </c>
      <c r="F121" s="130">
        <v>0</v>
      </c>
      <c r="G121" s="131">
        <f t="shared" si="1"/>
        <v>0</v>
      </c>
    </row>
    <row r="122" spans="1:7" s="100" customFormat="1" ht="78" x14ac:dyDescent="0.3">
      <c r="A122" s="126" t="s">
        <v>1979</v>
      </c>
      <c r="B122" s="134" t="s">
        <v>711</v>
      </c>
      <c r="C122" s="134" t="s">
        <v>712</v>
      </c>
      <c r="D122" s="132">
        <v>4</v>
      </c>
      <c r="E122" s="133" t="s">
        <v>428</v>
      </c>
      <c r="F122" s="130">
        <v>0</v>
      </c>
      <c r="G122" s="131">
        <f t="shared" si="1"/>
        <v>0</v>
      </c>
    </row>
    <row r="123" spans="1:7" s="100" customFormat="1" ht="91" x14ac:dyDescent="0.3">
      <c r="A123" s="126" t="s">
        <v>1980</v>
      </c>
      <c r="B123" s="134" t="s">
        <v>714</v>
      </c>
      <c r="C123" s="134" t="s">
        <v>715</v>
      </c>
      <c r="D123" s="132">
        <v>6</v>
      </c>
      <c r="E123" s="133" t="s">
        <v>428</v>
      </c>
      <c r="F123" s="130">
        <v>0</v>
      </c>
      <c r="G123" s="131">
        <f t="shared" si="1"/>
        <v>0</v>
      </c>
    </row>
    <row r="124" spans="1:7" s="100" customFormat="1" ht="91" x14ac:dyDescent="0.3">
      <c r="A124" s="126" t="s">
        <v>1981</v>
      </c>
      <c r="B124" s="134" t="s">
        <v>717</v>
      </c>
      <c r="C124" s="134" t="s">
        <v>718</v>
      </c>
      <c r="D124" s="132">
        <v>3</v>
      </c>
      <c r="E124" s="133" t="s">
        <v>428</v>
      </c>
      <c r="F124" s="130">
        <v>0</v>
      </c>
      <c r="G124" s="131">
        <f t="shared" si="1"/>
        <v>0</v>
      </c>
    </row>
    <row r="125" spans="1:7" s="100" customFormat="1" ht="78" x14ac:dyDescent="0.3">
      <c r="A125" s="126" t="s">
        <v>1982</v>
      </c>
      <c r="B125" s="134" t="s">
        <v>720</v>
      </c>
      <c r="C125" s="134" t="s">
        <v>721</v>
      </c>
      <c r="D125" s="132">
        <v>2</v>
      </c>
      <c r="E125" s="133" t="s">
        <v>428</v>
      </c>
      <c r="F125" s="130">
        <v>0</v>
      </c>
      <c r="G125" s="131">
        <f t="shared" si="1"/>
        <v>0</v>
      </c>
    </row>
    <row r="126" spans="1:7" s="100" customFormat="1" ht="91" x14ac:dyDescent="0.3">
      <c r="A126" s="126" t="s">
        <v>1983</v>
      </c>
      <c r="B126" s="134" t="s">
        <v>723</v>
      </c>
      <c r="C126" s="134" t="s">
        <v>724</v>
      </c>
      <c r="D126" s="132">
        <v>1</v>
      </c>
      <c r="E126" s="133" t="s">
        <v>428</v>
      </c>
      <c r="F126" s="130">
        <v>0</v>
      </c>
      <c r="G126" s="131">
        <f t="shared" si="1"/>
        <v>0</v>
      </c>
    </row>
    <row r="127" spans="1:7" s="100" customFormat="1" ht="221" x14ac:dyDescent="0.3">
      <c r="A127" s="126" t="s">
        <v>1984</v>
      </c>
      <c r="B127" s="134" t="s">
        <v>726</v>
      </c>
      <c r="C127" s="134" t="s">
        <v>727</v>
      </c>
      <c r="D127" s="132">
        <v>12</v>
      </c>
      <c r="E127" s="133" t="s">
        <v>428</v>
      </c>
      <c r="F127" s="130">
        <v>0</v>
      </c>
      <c r="G127" s="131">
        <f t="shared" si="1"/>
        <v>0</v>
      </c>
    </row>
    <row r="128" spans="1:7" s="100" customFormat="1" ht="117" x14ac:dyDescent="0.3">
      <c r="A128" s="126" t="s">
        <v>1985</v>
      </c>
      <c r="B128" s="134" t="s">
        <v>729</v>
      </c>
      <c r="C128" s="134" t="s">
        <v>730</v>
      </c>
      <c r="D128" s="132">
        <v>12</v>
      </c>
      <c r="E128" s="133" t="s">
        <v>428</v>
      </c>
      <c r="F128" s="130">
        <v>0</v>
      </c>
      <c r="G128" s="131">
        <f t="shared" si="1"/>
        <v>0</v>
      </c>
    </row>
    <row r="129" spans="1:7" s="100" customFormat="1" ht="52" x14ac:dyDescent="0.3">
      <c r="A129" s="126" t="s">
        <v>1986</v>
      </c>
      <c r="B129" s="134" t="s">
        <v>732</v>
      </c>
      <c r="C129" s="134" t="s">
        <v>733</v>
      </c>
      <c r="D129" s="132">
        <v>12</v>
      </c>
      <c r="E129" s="133" t="s">
        <v>428</v>
      </c>
      <c r="F129" s="130">
        <v>0</v>
      </c>
      <c r="G129" s="131">
        <f t="shared" si="1"/>
        <v>0</v>
      </c>
    </row>
    <row r="130" spans="1:7" s="100" customFormat="1" ht="52.5" customHeight="1" x14ac:dyDescent="0.3">
      <c r="A130" s="126" t="s">
        <v>1987</v>
      </c>
      <c r="B130" s="134" t="s">
        <v>735</v>
      </c>
      <c r="C130" s="134" t="s">
        <v>693</v>
      </c>
      <c r="D130" s="132">
        <v>6</v>
      </c>
      <c r="E130" s="133" t="s">
        <v>428</v>
      </c>
      <c r="F130" s="130">
        <v>0</v>
      </c>
      <c r="G130" s="131">
        <f t="shared" si="1"/>
        <v>0</v>
      </c>
    </row>
    <row r="131" spans="1:7" s="100" customFormat="1" ht="91" x14ac:dyDescent="0.3">
      <c r="A131" s="126" t="s">
        <v>1988</v>
      </c>
      <c r="B131" s="134" t="s">
        <v>737</v>
      </c>
      <c r="C131" s="134" t="s">
        <v>696</v>
      </c>
      <c r="D131" s="132">
        <v>4</v>
      </c>
      <c r="E131" s="133" t="s">
        <v>428</v>
      </c>
      <c r="F131" s="130">
        <v>0</v>
      </c>
      <c r="G131" s="131">
        <f t="shared" si="1"/>
        <v>0</v>
      </c>
    </row>
    <row r="132" spans="1:7" s="100" customFormat="1" ht="91" x14ac:dyDescent="0.3">
      <c r="A132" s="126" t="s">
        <v>1989</v>
      </c>
      <c r="B132" s="134" t="s">
        <v>739</v>
      </c>
      <c r="C132" s="134" t="s">
        <v>740</v>
      </c>
      <c r="D132" s="132">
        <v>6</v>
      </c>
      <c r="E132" s="133" t="s">
        <v>428</v>
      </c>
      <c r="F132" s="130">
        <v>0</v>
      </c>
      <c r="G132" s="131">
        <f t="shared" si="1"/>
        <v>0</v>
      </c>
    </row>
    <row r="133" spans="1:7" s="100" customFormat="1" ht="78" x14ac:dyDescent="0.3">
      <c r="A133" s="126" t="s">
        <v>1990</v>
      </c>
      <c r="B133" s="134" t="s">
        <v>742</v>
      </c>
      <c r="C133" s="134" t="s">
        <v>743</v>
      </c>
      <c r="D133" s="132">
        <v>2</v>
      </c>
      <c r="E133" s="133" t="s">
        <v>428</v>
      </c>
      <c r="F133" s="130">
        <v>0</v>
      </c>
      <c r="G133" s="131">
        <f t="shared" si="1"/>
        <v>0</v>
      </c>
    </row>
    <row r="134" spans="1:7" s="100" customFormat="1" ht="65.25" customHeight="1" x14ac:dyDescent="0.3">
      <c r="A134" s="126" t="s">
        <v>1991</v>
      </c>
      <c r="B134" s="134" t="s">
        <v>745</v>
      </c>
      <c r="C134" s="134" t="s">
        <v>746</v>
      </c>
      <c r="D134" s="132">
        <v>1</v>
      </c>
      <c r="E134" s="133" t="s">
        <v>428</v>
      </c>
      <c r="F134" s="130">
        <v>0</v>
      </c>
      <c r="G134" s="131">
        <f t="shared" si="1"/>
        <v>0</v>
      </c>
    </row>
    <row r="135" spans="1:7" s="100" customFormat="1" ht="109.5" customHeight="1" x14ac:dyDescent="0.3">
      <c r="A135" s="126" t="s">
        <v>1992</v>
      </c>
      <c r="B135" s="135" t="s">
        <v>748</v>
      </c>
      <c r="C135" s="135" t="s">
        <v>749</v>
      </c>
      <c r="D135" s="132">
        <v>12</v>
      </c>
      <c r="E135" s="133" t="s">
        <v>428</v>
      </c>
      <c r="F135" s="130">
        <v>0</v>
      </c>
      <c r="G135" s="131">
        <f t="shared" si="1"/>
        <v>0</v>
      </c>
    </row>
    <row r="136" spans="1:7" s="100" customFormat="1" ht="109.5" customHeight="1" x14ac:dyDescent="0.3">
      <c r="A136" s="126" t="s">
        <v>1993</v>
      </c>
      <c r="B136" s="135" t="s">
        <v>751</v>
      </c>
      <c r="C136" s="135" t="s">
        <v>1788</v>
      </c>
      <c r="D136" s="132">
        <f>G136-F136</f>
        <v>0</v>
      </c>
      <c r="E136" s="133" t="s">
        <v>515</v>
      </c>
      <c r="F136" s="130">
        <v>0</v>
      </c>
      <c r="G136" s="131">
        <v>0</v>
      </c>
    </row>
    <row r="137" spans="1:7" s="100" customFormat="1" ht="109.5" customHeight="1" x14ac:dyDescent="0.3">
      <c r="A137" s="126" t="s">
        <v>1994</v>
      </c>
      <c r="B137" s="135" t="s">
        <v>754</v>
      </c>
      <c r="C137" s="135" t="s">
        <v>1790</v>
      </c>
      <c r="D137" s="132">
        <f>G137-F137</f>
        <v>0</v>
      </c>
      <c r="E137" s="133" t="s">
        <v>428</v>
      </c>
      <c r="F137" s="130">
        <v>0</v>
      </c>
      <c r="G137" s="131">
        <v>0</v>
      </c>
    </row>
    <row r="138" spans="1:7" s="100" customFormat="1" ht="109.5" customHeight="1" x14ac:dyDescent="0.3">
      <c r="A138" s="93" t="s">
        <v>1995</v>
      </c>
      <c r="B138" s="94" t="s">
        <v>757</v>
      </c>
      <c r="C138" s="95" t="s">
        <v>758</v>
      </c>
      <c r="D138" s="96">
        <v>180000</v>
      </c>
      <c r="E138" s="97" t="s">
        <v>421</v>
      </c>
      <c r="F138" s="98">
        <v>0</v>
      </c>
      <c r="G138" s="99">
        <v>0</v>
      </c>
    </row>
    <row r="139" spans="1:7" ht="15" customHeight="1" x14ac:dyDescent="0.3">
      <c r="A139" s="226" t="s">
        <v>1996</v>
      </c>
      <c r="B139" s="227"/>
      <c r="C139" s="227"/>
      <c r="D139" s="78"/>
      <c r="E139" s="78"/>
      <c r="F139" s="80"/>
      <c r="G139" s="20">
        <f>SUM(G11:G138)</f>
        <v>0</v>
      </c>
    </row>
    <row r="141" spans="1:7" ht="14.25" customHeight="1" x14ac:dyDescent="0.3"/>
    <row r="142" spans="1:7" ht="15" customHeight="1" x14ac:dyDescent="0.3"/>
    <row r="143" spans="1:7" ht="15" customHeight="1" x14ac:dyDescent="0.3"/>
    <row r="144" spans="1:7" ht="15" customHeight="1" x14ac:dyDescent="0.3"/>
    <row r="145" ht="15" customHeight="1" x14ac:dyDescent="0.3"/>
    <row r="146" ht="15" customHeight="1" x14ac:dyDescent="0.3"/>
    <row r="147" ht="15" customHeight="1" x14ac:dyDescent="0.3"/>
    <row r="148" ht="15" customHeight="1" x14ac:dyDescent="0.3"/>
    <row r="149" ht="15" customHeight="1" x14ac:dyDescent="0.3"/>
    <row r="150" ht="15" customHeight="1" x14ac:dyDescent="0.3"/>
    <row r="151" ht="15" customHeight="1" x14ac:dyDescent="0.3"/>
    <row r="152" ht="15" customHeight="1" x14ac:dyDescent="0.3"/>
    <row r="153" ht="15" customHeight="1" x14ac:dyDescent="0.3"/>
    <row r="154" ht="15" customHeight="1" x14ac:dyDescent="0.3"/>
    <row r="155" ht="15" customHeight="1" x14ac:dyDescent="0.3"/>
    <row r="156" ht="15" customHeight="1" x14ac:dyDescent="0.3"/>
    <row r="157" ht="15" customHeight="1" x14ac:dyDescent="0.3"/>
    <row r="158" ht="15" customHeight="1" x14ac:dyDescent="0.3"/>
    <row r="159" ht="15" customHeight="1" x14ac:dyDescent="0.3"/>
    <row r="160" ht="15" customHeight="1" x14ac:dyDescent="0.3"/>
  </sheetData>
  <mergeCells count="5">
    <mergeCell ref="A139:C139"/>
    <mergeCell ref="A5:C5"/>
    <mergeCell ref="A6:C6"/>
    <mergeCell ref="A7:C7"/>
    <mergeCell ref="A8:C8"/>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79998168889431442"/>
  </sheetPr>
  <dimension ref="A1:J366"/>
  <sheetViews>
    <sheetView topLeftCell="A339" zoomScale="90" zoomScaleNormal="90" workbookViewId="0">
      <selection activeCell="D363" sqref="D363"/>
    </sheetView>
  </sheetViews>
  <sheetFormatPr defaultColWidth="9.1796875" defaultRowHeight="13" x14ac:dyDescent="0.3"/>
  <cols>
    <col min="1" max="1" width="9.1796875" style="49"/>
    <col min="2" max="3" width="10.7265625" style="49" customWidth="1"/>
    <col min="4" max="4" width="82" style="18" customWidth="1"/>
    <col min="5" max="5" width="19" style="49" customWidth="1"/>
    <col min="6" max="6" width="18" style="49" customWidth="1"/>
    <col min="7" max="7" width="17.54296875" style="74" customWidth="1"/>
    <col min="8" max="8" width="17.1796875" style="74" customWidth="1"/>
    <col min="9" max="10" width="10.7265625" style="18" customWidth="1"/>
    <col min="11" max="11" width="9.81640625" style="18" customWidth="1"/>
    <col min="12" max="16384" width="9.1796875" style="18"/>
  </cols>
  <sheetData>
    <row r="1" spans="1:10" ht="15.75" customHeight="1" x14ac:dyDescent="0.3">
      <c r="A1" s="21"/>
      <c r="B1" s="22"/>
      <c r="C1" s="22"/>
      <c r="D1" s="79" t="s">
        <v>0</v>
      </c>
      <c r="E1" s="22"/>
      <c r="F1" s="22"/>
      <c r="G1" s="71"/>
      <c r="H1" s="75"/>
    </row>
    <row r="2" spans="1:10" ht="15.75" customHeight="1" x14ac:dyDescent="0.3">
      <c r="A2" s="26"/>
      <c r="B2" s="17"/>
      <c r="C2" s="17"/>
      <c r="D2" s="142" t="s">
        <v>1</v>
      </c>
      <c r="E2" s="17"/>
      <c r="F2" s="17"/>
      <c r="G2" s="72"/>
      <c r="H2" s="76"/>
    </row>
    <row r="3" spans="1:10" ht="15.75" customHeight="1" x14ac:dyDescent="0.3">
      <c r="A3" s="26"/>
      <c r="B3" s="17"/>
      <c r="C3" s="17"/>
      <c r="D3" s="143" t="s">
        <v>2</v>
      </c>
      <c r="E3" s="17"/>
      <c r="F3" s="17"/>
      <c r="G3" s="72"/>
      <c r="H3" s="76"/>
    </row>
    <row r="4" spans="1:10" ht="15.75" customHeight="1" x14ac:dyDescent="0.3">
      <c r="A4" s="26"/>
      <c r="B4" s="17"/>
      <c r="C4" s="17"/>
      <c r="D4" s="142" t="s">
        <v>3</v>
      </c>
      <c r="E4" s="17"/>
      <c r="F4" s="17"/>
      <c r="G4" s="72"/>
      <c r="H4" s="76"/>
    </row>
    <row r="5" spans="1:10" ht="15.75" customHeight="1" x14ac:dyDescent="0.3">
      <c r="A5" s="51" t="s">
        <v>18</v>
      </c>
      <c r="B5" s="52"/>
      <c r="C5" s="52"/>
      <c r="D5" s="52"/>
      <c r="E5" s="17"/>
      <c r="F5" s="17"/>
      <c r="G5" s="72"/>
      <c r="H5" s="76"/>
    </row>
    <row r="6" spans="1:10" ht="15.75" customHeight="1" x14ac:dyDescent="0.3">
      <c r="A6" s="51" t="s">
        <v>19</v>
      </c>
      <c r="B6" s="52"/>
      <c r="C6" s="52"/>
      <c r="D6" s="52"/>
      <c r="E6" s="17"/>
      <c r="F6" s="17"/>
      <c r="G6" s="72"/>
      <c r="H6" s="76"/>
    </row>
    <row r="7" spans="1:10" ht="15.75" customHeight="1" x14ac:dyDescent="0.3">
      <c r="A7" s="53" t="s">
        <v>1997</v>
      </c>
      <c r="B7" s="54"/>
      <c r="C7" s="54"/>
      <c r="D7" s="54"/>
      <c r="E7" s="30"/>
      <c r="F7" s="30"/>
      <c r="G7" s="73"/>
      <c r="H7" s="77"/>
    </row>
    <row r="8" spans="1:10" ht="53.25" customHeight="1" x14ac:dyDescent="0.3">
      <c r="A8" s="145" t="s">
        <v>21</v>
      </c>
      <c r="B8" s="145" t="s">
        <v>22</v>
      </c>
      <c r="C8" s="145" t="s">
        <v>23</v>
      </c>
      <c r="D8" s="55" t="s">
        <v>24</v>
      </c>
      <c r="E8" s="38" t="s">
        <v>25</v>
      </c>
      <c r="F8" s="38" t="s">
        <v>26</v>
      </c>
      <c r="G8" s="38" t="s">
        <v>27</v>
      </c>
      <c r="H8" s="38" t="s">
        <v>7</v>
      </c>
    </row>
    <row r="9" spans="1:10" x14ac:dyDescent="0.3">
      <c r="A9" s="216" t="s">
        <v>28</v>
      </c>
      <c r="B9" s="217"/>
      <c r="C9" s="217"/>
      <c r="D9" s="218"/>
      <c r="E9" s="38"/>
      <c r="F9" s="38"/>
      <c r="G9" s="38"/>
      <c r="H9" s="38"/>
    </row>
    <row r="10" spans="1:10" x14ac:dyDescent="0.3">
      <c r="A10" s="13" t="s">
        <v>1998</v>
      </c>
      <c r="B10" s="13"/>
      <c r="C10" s="13" t="s">
        <v>14</v>
      </c>
      <c r="D10" s="15" t="s">
        <v>30</v>
      </c>
      <c r="E10" s="56"/>
      <c r="F10" s="56"/>
      <c r="G10" s="63"/>
      <c r="H10" s="63"/>
      <c r="J10" s="57" t="s">
        <v>14</v>
      </c>
    </row>
    <row r="11" spans="1:10" x14ac:dyDescent="0.3">
      <c r="A11" s="13" t="s">
        <v>1999</v>
      </c>
      <c r="B11" s="13">
        <v>1503050</v>
      </c>
      <c r="C11" s="13"/>
      <c r="D11" s="58" t="s">
        <v>32</v>
      </c>
      <c r="E11" s="56"/>
      <c r="F11" s="56"/>
      <c r="G11" s="63"/>
      <c r="H11" s="63"/>
      <c r="J11" s="57" t="s">
        <v>14</v>
      </c>
    </row>
    <row r="12" spans="1:10" ht="12.75" customHeight="1" x14ac:dyDescent="0.3">
      <c r="A12" s="8" t="s">
        <v>2000</v>
      </c>
      <c r="B12" s="8">
        <v>1503050</v>
      </c>
      <c r="C12" s="8">
        <v>3.1</v>
      </c>
      <c r="D12" s="9" t="s">
        <v>2869</v>
      </c>
      <c r="E12" s="59">
        <v>6</v>
      </c>
      <c r="F12" s="56" t="s">
        <v>34</v>
      </c>
      <c r="G12" s="63">
        <f>H12/E12</f>
        <v>0</v>
      </c>
      <c r="H12" s="63">
        <v>0</v>
      </c>
      <c r="J12" s="57" t="s">
        <v>14</v>
      </c>
    </row>
    <row r="13" spans="1:10" x14ac:dyDescent="0.3">
      <c r="A13" s="8" t="s">
        <v>2001</v>
      </c>
      <c r="B13" s="8">
        <v>1503050</v>
      </c>
      <c r="C13" s="8">
        <v>3.1</v>
      </c>
      <c r="D13" s="9" t="s">
        <v>36</v>
      </c>
      <c r="E13" s="59">
        <v>6</v>
      </c>
      <c r="F13" s="56" t="s">
        <v>34</v>
      </c>
      <c r="G13" s="63">
        <f t="shared" ref="G13:G19" si="0">H13/E13</f>
        <v>0</v>
      </c>
      <c r="H13" s="63">
        <v>0</v>
      </c>
      <c r="J13" s="57"/>
    </row>
    <row r="14" spans="1:10" x14ac:dyDescent="0.3">
      <c r="A14" s="8" t="s">
        <v>2002</v>
      </c>
      <c r="B14" s="8">
        <v>1503050</v>
      </c>
      <c r="C14" s="8">
        <v>3.1</v>
      </c>
      <c r="D14" s="9" t="s">
        <v>38</v>
      </c>
      <c r="E14" s="59">
        <v>6</v>
      </c>
      <c r="F14" s="56" t="s">
        <v>34</v>
      </c>
      <c r="G14" s="63">
        <f t="shared" si="0"/>
        <v>0</v>
      </c>
      <c r="H14" s="63">
        <v>0</v>
      </c>
      <c r="J14" s="57"/>
    </row>
    <row r="15" spans="1:10" x14ac:dyDescent="0.3">
      <c r="A15" s="8" t="s">
        <v>2003</v>
      </c>
      <c r="B15" s="8">
        <v>1503050</v>
      </c>
      <c r="C15" s="8">
        <v>3.2</v>
      </c>
      <c r="D15" s="9" t="s">
        <v>40</v>
      </c>
      <c r="E15" s="59">
        <v>6</v>
      </c>
      <c r="F15" s="56" t="s">
        <v>34</v>
      </c>
      <c r="G15" s="63">
        <f t="shared" si="0"/>
        <v>0</v>
      </c>
      <c r="H15" s="63">
        <v>0</v>
      </c>
      <c r="J15" s="57" t="s">
        <v>14</v>
      </c>
    </row>
    <row r="16" spans="1:10" x14ac:dyDescent="0.3">
      <c r="A16" s="8" t="s">
        <v>2004</v>
      </c>
      <c r="B16" s="8">
        <v>1503050</v>
      </c>
      <c r="C16" s="8">
        <v>3.3</v>
      </c>
      <c r="D16" s="9" t="s">
        <v>2870</v>
      </c>
      <c r="E16" s="59">
        <v>6</v>
      </c>
      <c r="F16" s="56" t="s">
        <v>34</v>
      </c>
      <c r="G16" s="63">
        <f t="shared" si="0"/>
        <v>0</v>
      </c>
      <c r="H16" s="63">
        <v>0</v>
      </c>
      <c r="J16" s="57" t="s">
        <v>14</v>
      </c>
    </row>
    <row r="17" spans="1:10" ht="12.75" customHeight="1" x14ac:dyDescent="0.3">
      <c r="A17" s="8" t="s">
        <v>2005</v>
      </c>
      <c r="B17" s="8">
        <v>1503050</v>
      </c>
      <c r="C17" s="8">
        <v>3.5</v>
      </c>
      <c r="D17" s="9" t="s">
        <v>2871</v>
      </c>
      <c r="E17" s="59">
        <v>6</v>
      </c>
      <c r="F17" s="56" t="s">
        <v>34</v>
      </c>
      <c r="G17" s="63">
        <f t="shared" si="0"/>
        <v>0</v>
      </c>
      <c r="H17" s="63">
        <v>0</v>
      </c>
      <c r="J17" s="57" t="s">
        <v>14</v>
      </c>
    </row>
    <row r="18" spans="1:10" x14ac:dyDescent="0.3">
      <c r="A18" s="8" t="s">
        <v>2006</v>
      </c>
      <c r="B18" s="8">
        <v>1503050</v>
      </c>
      <c r="C18" s="8">
        <v>3.6</v>
      </c>
      <c r="D18" s="9" t="s">
        <v>44</v>
      </c>
      <c r="E18" s="59">
        <v>6</v>
      </c>
      <c r="F18" s="56" t="s">
        <v>34</v>
      </c>
      <c r="G18" s="63">
        <f t="shared" si="0"/>
        <v>0</v>
      </c>
      <c r="H18" s="63">
        <v>0</v>
      </c>
      <c r="J18" s="57"/>
    </row>
    <row r="19" spans="1:10" x14ac:dyDescent="0.3">
      <c r="A19" s="49" t="s">
        <v>2007</v>
      </c>
      <c r="B19" s="8">
        <v>1503050</v>
      </c>
      <c r="C19" s="8">
        <v>3.7</v>
      </c>
      <c r="D19" s="9" t="s">
        <v>46</v>
      </c>
      <c r="E19" s="59">
        <v>6</v>
      </c>
      <c r="F19" s="56" t="s">
        <v>34</v>
      </c>
      <c r="G19" s="63">
        <f t="shared" si="0"/>
        <v>0</v>
      </c>
      <c r="H19" s="63">
        <v>0</v>
      </c>
      <c r="J19" s="57" t="s">
        <v>14</v>
      </c>
    </row>
    <row r="20" spans="1:10" x14ac:dyDescent="0.3">
      <c r="A20" s="13"/>
      <c r="B20" s="13"/>
      <c r="C20" s="13"/>
      <c r="D20" s="144" t="s">
        <v>2008</v>
      </c>
      <c r="E20" s="59">
        <v>6</v>
      </c>
      <c r="F20" s="56" t="s">
        <v>34</v>
      </c>
      <c r="G20" s="63">
        <f>SUM(G12:G19)</f>
        <v>0</v>
      </c>
      <c r="H20" s="63">
        <f>SUM(H12:H19)</f>
        <v>0</v>
      </c>
      <c r="J20" s="57"/>
    </row>
    <row r="21" spans="1:10" x14ac:dyDescent="0.3">
      <c r="A21" s="13" t="s">
        <v>2009</v>
      </c>
      <c r="B21" s="13">
        <v>1503050</v>
      </c>
      <c r="C21" s="8"/>
      <c r="D21" s="58" t="s">
        <v>49</v>
      </c>
      <c r="E21" s="56"/>
      <c r="F21" s="56"/>
      <c r="G21" s="63"/>
      <c r="H21" s="63"/>
      <c r="J21" s="57"/>
    </row>
    <row r="22" spans="1:10" ht="12.75" customHeight="1" x14ac:dyDescent="0.3">
      <c r="A22" s="8" t="s">
        <v>2010</v>
      </c>
      <c r="B22" s="8">
        <v>1503050</v>
      </c>
      <c r="C22" s="8">
        <v>3.1</v>
      </c>
      <c r="D22" s="9" t="s">
        <v>51</v>
      </c>
      <c r="E22" s="8">
        <v>6</v>
      </c>
      <c r="F22" s="8" t="s">
        <v>34</v>
      </c>
      <c r="G22" s="20">
        <v>0</v>
      </c>
      <c r="H22" s="20">
        <v>0</v>
      </c>
      <c r="J22" s="57"/>
    </row>
    <row r="23" spans="1:10" x14ac:dyDescent="0.3">
      <c r="A23" s="8" t="s">
        <v>2011</v>
      </c>
      <c r="B23" s="8">
        <v>1503050</v>
      </c>
      <c r="C23" s="8">
        <v>3.1</v>
      </c>
      <c r="D23" s="9" t="s">
        <v>2872</v>
      </c>
      <c r="E23" s="59">
        <v>6</v>
      </c>
      <c r="F23" s="56" t="s">
        <v>34</v>
      </c>
      <c r="G23" s="63">
        <f>H23/E23</f>
        <v>0</v>
      </c>
      <c r="H23" s="63">
        <v>0</v>
      </c>
      <c r="J23" s="57"/>
    </row>
    <row r="24" spans="1:10" x14ac:dyDescent="0.3">
      <c r="A24" s="8" t="s">
        <v>2012</v>
      </c>
      <c r="B24" s="8">
        <v>1503050</v>
      </c>
      <c r="C24" s="8">
        <v>3.1</v>
      </c>
      <c r="D24" s="9" t="s">
        <v>2873</v>
      </c>
      <c r="E24" s="59">
        <v>6</v>
      </c>
      <c r="F24" s="56" t="s">
        <v>34</v>
      </c>
      <c r="G24" s="63">
        <f t="shared" ref="G24:G29" si="1">H24/E24</f>
        <v>0</v>
      </c>
      <c r="H24" s="63">
        <v>0</v>
      </c>
      <c r="J24" s="57"/>
    </row>
    <row r="25" spans="1:10" x14ac:dyDescent="0.3">
      <c r="A25" s="8" t="s">
        <v>2013</v>
      </c>
      <c r="B25" s="8">
        <v>1503050</v>
      </c>
      <c r="C25" s="8">
        <v>3.2</v>
      </c>
      <c r="D25" s="9" t="s">
        <v>55</v>
      </c>
      <c r="E25" s="59">
        <v>6</v>
      </c>
      <c r="F25" s="56" t="s">
        <v>34</v>
      </c>
      <c r="G25" s="63">
        <f t="shared" si="1"/>
        <v>0</v>
      </c>
      <c r="H25" s="63">
        <v>0</v>
      </c>
      <c r="J25" s="57"/>
    </row>
    <row r="26" spans="1:10" x14ac:dyDescent="0.3">
      <c r="A26" s="8" t="s">
        <v>2014</v>
      </c>
      <c r="B26" s="8">
        <v>1503050</v>
      </c>
      <c r="C26" s="8">
        <v>3.3</v>
      </c>
      <c r="D26" s="9" t="s">
        <v>57</v>
      </c>
      <c r="E26" s="59">
        <v>6</v>
      </c>
      <c r="F26" s="56" t="s">
        <v>34</v>
      </c>
      <c r="G26" s="63">
        <f t="shared" si="1"/>
        <v>0</v>
      </c>
      <c r="H26" s="63">
        <v>0</v>
      </c>
      <c r="J26" s="57"/>
    </row>
    <row r="27" spans="1:10" x14ac:dyDescent="0.3">
      <c r="A27" s="8" t="s">
        <v>2015</v>
      </c>
      <c r="B27" s="8">
        <v>1503050</v>
      </c>
      <c r="C27" s="8">
        <v>3.5</v>
      </c>
      <c r="D27" s="9" t="s">
        <v>2874</v>
      </c>
      <c r="E27" s="59">
        <v>6</v>
      </c>
      <c r="F27" s="56" t="s">
        <v>34</v>
      </c>
      <c r="G27" s="63">
        <f t="shared" si="1"/>
        <v>0</v>
      </c>
      <c r="H27" s="63">
        <v>0</v>
      </c>
      <c r="J27" s="57"/>
    </row>
    <row r="28" spans="1:10" x14ac:dyDescent="0.3">
      <c r="A28" s="8" t="s">
        <v>2016</v>
      </c>
      <c r="B28" s="8">
        <v>1503050</v>
      </c>
      <c r="C28" s="8">
        <v>3.6</v>
      </c>
      <c r="D28" s="9" t="s">
        <v>60</v>
      </c>
      <c r="E28" s="59">
        <v>6</v>
      </c>
      <c r="F28" s="56" t="s">
        <v>34</v>
      </c>
      <c r="G28" s="63">
        <f t="shared" si="1"/>
        <v>0</v>
      </c>
      <c r="H28" s="63">
        <v>0</v>
      </c>
      <c r="J28" s="57"/>
    </row>
    <row r="29" spans="1:10" x14ac:dyDescent="0.3">
      <c r="A29" s="8" t="s">
        <v>2017</v>
      </c>
      <c r="B29" s="8">
        <v>1503050</v>
      </c>
      <c r="C29" s="8">
        <v>3.7</v>
      </c>
      <c r="D29" s="9" t="s">
        <v>62</v>
      </c>
      <c r="E29" s="59">
        <v>6</v>
      </c>
      <c r="F29" s="56" t="s">
        <v>34</v>
      </c>
      <c r="G29" s="63">
        <f t="shared" si="1"/>
        <v>0</v>
      </c>
      <c r="H29" s="63">
        <v>0</v>
      </c>
      <c r="J29" s="57"/>
    </row>
    <row r="30" spans="1:10" x14ac:dyDescent="0.3">
      <c r="A30" s="13"/>
      <c r="B30" s="13"/>
      <c r="C30" s="13"/>
      <c r="D30" s="144" t="s">
        <v>2018</v>
      </c>
      <c r="E30" s="59">
        <v>6</v>
      </c>
      <c r="F30" s="56" t="s">
        <v>34</v>
      </c>
      <c r="G30" s="63">
        <f>SUM(G22:G29)</f>
        <v>0</v>
      </c>
      <c r="H30" s="63">
        <f>SUM(H22:H29)</f>
        <v>0</v>
      </c>
      <c r="J30" s="57"/>
    </row>
    <row r="31" spans="1:10" x14ac:dyDescent="0.3">
      <c r="A31" s="13" t="s">
        <v>2019</v>
      </c>
      <c r="B31" s="13">
        <v>1503050</v>
      </c>
      <c r="C31" s="13"/>
      <c r="D31" s="192" t="s">
        <v>65</v>
      </c>
      <c r="E31" s="56"/>
      <c r="F31" s="56"/>
      <c r="G31" s="63"/>
      <c r="H31" s="63"/>
      <c r="J31" s="57"/>
    </row>
    <row r="32" spans="1:10" x14ac:dyDescent="0.3">
      <c r="A32" s="8" t="s">
        <v>2020</v>
      </c>
      <c r="B32" s="8">
        <v>1503050</v>
      </c>
      <c r="C32" s="8">
        <v>3.1</v>
      </c>
      <c r="D32" s="4" t="s">
        <v>67</v>
      </c>
      <c r="E32" s="59">
        <v>6</v>
      </c>
      <c r="F32" s="56" t="s">
        <v>34</v>
      </c>
      <c r="G32" s="63">
        <f t="shared" ref="G32:G39" si="2">H32/E32</f>
        <v>0</v>
      </c>
      <c r="H32" s="63">
        <v>0</v>
      </c>
      <c r="J32" s="57"/>
    </row>
    <row r="33" spans="1:10" x14ac:dyDescent="0.3">
      <c r="A33" s="8" t="s">
        <v>2021</v>
      </c>
      <c r="B33" s="8">
        <v>1503050</v>
      </c>
      <c r="C33" s="8">
        <v>3.1</v>
      </c>
      <c r="D33" s="4" t="s">
        <v>2875</v>
      </c>
      <c r="E33" s="59">
        <v>6</v>
      </c>
      <c r="F33" s="56" t="s">
        <v>34</v>
      </c>
      <c r="G33" s="63">
        <f t="shared" si="2"/>
        <v>0</v>
      </c>
      <c r="H33" s="63">
        <v>0</v>
      </c>
      <c r="J33" s="57"/>
    </row>
    <row r="34" spans="1:10" x14ac:dyDescent="0.3">
      <c r="A34" s="8" t="s">
        <v>2022</v>
      </c>
      <c r="B34" s="8">
        <v>1503050</v>
      </c>
      <c r="C34" s="8">
        <v>3.1</v>
      </c>
      <c r="D34" s="4" t="s">
        <v>70</v>
      </c>
      <c r="E34" s="59">
        <v>6</v>
      </c>
      <c r="F34" s="56" t="s">
        <v>34</v>
      </c>
      <c r="G34" s="63">
        <f t="shared" si="2"/>
        <v>0</v>
      </c>
      <c r="H34" s="63">
        <v>0</v>
      </c>
      <c r="J34" s="57"/>
    </row>
    <row r="35" spans="1:10" ht="12.75" customHeight="1" x14ac:dyDescent="0.3">
      <c r="A35" s="8" t="s">
        <v>2023</v>
      </c>
      <c r="B35" s="8">
        <v>1503050</v>
      </c>
      <c r="C35" s="8">
        <v>3.2</v>
      </c>
      <c r="D35" s="60" t="s">
        <v>72</v>
      </c>
      <c r="E35" s="59">
        <v>6</v>
      </c>
      <c r="F35" s="56" t="s">
        <v>34</v>
      </c>
      <c r="G35" s="63">
        <f t="shared" si="2"/>
        <v>0</v>
      </c>
      <c r="H35" s="63">
        <v>0</v>
      </c>
      <c r="J35" s="57"/>
    </row>
    <row r="36" spans="1:10" x14ac:dyDescent="0.3">
      <c r="A36" s="8" t="s">
        <v>2024</v>
      </c>
      <c r="B36" s="8">
        <v>1503050</v>
      </c>
      <c r="C36" s="8">
        <v>3.3</v>
      </c>
      <c r="D36" s="9" t="s">
        <v>74</v>
      </c>
      <c r="E36" s="59">
        <v>6</v>
      </c>
      <c r="F36" s="56" t="s">
        <v>34</v>
      </c>
      <c r="G36" s="63">
        <f t="shared" si="2"/>
        <v>0</v>
      </c>
      <c r="H36" s="63">
        <v>0</v>
      </c>
      <c r="J36" s="57"/>
    </row>
    <row r="37" spans="1:10" x14ac:dyDescent="0.3">
      <c r="A37" s="8" t="s">
        <v>2025</v>
      </c>
      <c r="B37" s="8">
        <v>1503050</v>
      </c>
      <c r="C37" s="8">
        <v>3.5</v>
      </c>
      <c r="D37" s="9" t="s">
        <v>2876</v>
      </c>
      <c r="E37" s="59">
        <v>6</v>
      </c>
      <c r="F37" s="56" t="s">
        <v>34</v>
      </c>
      <c r="G37" s="63">
        <f t="shared" si="2"/>
        <v>0</v>
      </c>
      <c r="H37" s="63">
        <v>0</v>
      </c>
      <c r="J37" s="57"/>
    </row>
    <row r="38" spans="1:10" x14ac:dyDescent="0.3">
      <c r="A38" s="8" t="s">
        <v>2026</v>
      </c>
      <c r="B38" s="8">
        <v>1503050</v>
      </c>
      <c r="C38" s="8">
        <v>3.6</v>
      </c>
      <c r="D38" s="9" t="s">
        <v>77</v>
      </c>
      <c r="E38" s="59">
        <v>6</v>
      </c>
      <c r="F38" s="56" t="s">
        <v>34</v>
      </c>
      <c r="G38" s="63">
        <f t="shared" si="2"/>
        <v>0</v>
      </c>
      <c r="H38" s="63">
        <v>0</v>
      </c>
      <c r="J38" s="57"/>
    </row>
    <row r="39" spans="1:10" x14ac:dyDescent="0.3">
      <c r="A39" s="8" t="s">
        <v>2027</v>
      </c>
      <c r="B39" s="8">
        <v>1503050</v>
      </c>
      <c r="C39" s="8">
        <v>3.7</v>
      </c>
      <c r="D39" s="9" t="s">
        <v>79</v>
      </c>
      <c r="E39" s="59">
        <v>6</v>
      </c>
      <c r="F39" s="56" t="s">
        <v>34</v>
      </c>
      <c r="G39" s="63">
        <f t="shared" si="2"/>
        <v>0</v>
      </c>
      <c r="H39" s="63">
        <v>0</v>
      </c>
      <c r="J39" s="57"/>
    </row>
    <row r="40" spans="1:10" ht="12.75" customHeight="1" x14ac:dyDescent="0.3">
      <c r="A40" s="13"/>
      <c r="B40" s="13"/>
      <c r="C40" s="13"/>
      <c r="D40" s="144" t="s">
        <v>2028</v>
      </c>
      <c r="E40" s="59">
        <v>6</v>
      </c>
      <c r="F40" s="56" t="s">
        <v>34</v>
      </c>
      <c r="G40" s="63">
        <f t="shared" ref="G40:H40" si="3">SUM(G32:G39)</f>
        <v>0</v>
      </c>
      <c r="H40" s="63">
        <f t="shared" si="3"/>
        <v>0</v>
      </c>
      <c r="J40" s="57"/>
    </row>
    <row r="41" spans="1:10" x14ac:dyDescent="0.3">
      <c r="A41" s="13" t="s">
        <v>2029</v>
      </c>
      <c r="B41" s="13">
        <v>1503050</v>
      </c>
      <c r="C41" s="8"/>
      <c r="D41" s="192" t="s">
        <v>82</v>
      </c>
      <c r="E41" s="56"/>
      <c r="F41" s="56"/>
      <c r="G41" s="63"/>
      <c r="H41" s="63"/>
      <c r="J41" s="57"/>
    </row>
    <row r="42" spans="1:10" x14ac:dyDescent="0.3">
      <c r="A42" s="8" t="s">
        <v>2030</v>
      </c>
      <c r="B42" s="8">
        <v>1503050</v>
      </c>
      <c r="C42" s="8">
        <v>3.1</v>
      </c>
      <c r="D42" s="9" t="s">
        <v>84</v>
      </c>
      <c r="E42" s="59">
        <v>6</v>
      </c>
      <c r="F42" s="56" t="s">
        <v>34</v>
      </c>
      <c r="G42" s="63">
        <f t="shared" ref="G42:G49" si="4">H42/E42</f>
        <v>0</v>
      </c>
      <c r="H42" s="63">
        <v>0</v>
      </c>
      <c r="J42" s="57"/>
    </row>
    <row r="43" spans="1:10" x14ac:dyDescent="0.3">
      <c r="A43" s="8" t="s">
        <v>2031</v>
      </c>
      <c r="B43" s="8">
        <v>1503050</v>
      </c>
      <c r="C43" s="8">
        <v>3.1</v>
      </c>
      <c r="D43" s="9" t="s">
        <v>86</v>
      </c>
      <c r="E43" s="59">
        <v>6</v>
      </c>
      <c r="F43" s="56" t="s">
        <v>34</v>
      </c>
      <c r="G43" s="63">
        <f t="shared" si="4"/>
        <v>0</v>
      </c>
      <c r="H43" s="63">
        <v>0</v>
      </c>
      <c r="J43" s="57"/>
    </row>
    <row r="44" spans="1:10" x14ac:dyDescent="0.3">
      <c r="A44" s="8" t="s">
        <v>2032</v>
      </c>
      <c r="B44" s="8">
        <v>1503050</v>
      </c>
      <c r="C44" s="8">
        <v>3.1</v>
      </c>
      <c r="D44" s="9" t="s">
        <v>88</v>
      </c>
      <c r="E44" s="59">
        <v>6</v>
      </c>
      <c r="F44" s="56" t="s">
        <v>34</v>
      </c>
      <c r="G44" s="63">
        <f t="shared" si="4"/>
        <v>0</v>
      </c>
      <c r="H44" s="63">
        <v>0</v>
      </c>
      <c r="J44" s="57"/>
    </row>
    <row r="45" spans="1:10" x14ac:dyDescent="0.3">
      <c r="A45" s="8" t="s">
        <v>2033</v>
      </c>
      <c r="B45" s="8">
        <v>1503050</v>
      </c>
      <c r="C45" s="8">
        <v>3.2</v>
      </c>
      <c r="D45" s="9" t="s">
        <v>90</v>
      </c>
      <c r="E45" s="59">
        <v>6</v>
      </c>
      <c r="F45" s="56" t="s">
        <v>34</v>
      </c>
      <c r="G45" s="63">
        <f t="shared" si="4"/>
        <v>0</v>
      </c>
      <c r="H45" s="63">
        <v>0</v>
      </c>
      <c r="J45" s="57"/>
    </row>
    <row r="46" spans="1:10" x14ac:dyDescent="0.3">
      <c r="A46" s="8" t="s">
        <v>2034</v>
      </c>
      <c r="B46" s="8">
        <v>1503050</v>
      </c>
      <c r="C46" s="8">
        <v>3.3</v>
      </c>
      <c r="D46" s="9" t="s">
        <v>92</v>
      </c>
      <c r="E46" s="59">
        <v>6</v>
      </c>
      <c r="F46" s="56" t="s">
        <v>34</v>
      </c>
      <c r="G46" s="63">
        <f t="shared" si="4"/>
        <v>0</v>
      </c>
      <c r="H46" s="63">
        <v>0</v>
      </c>
      <c r="J46" s="57"/>
    </row>
    <row r="47" spans="1:10" x14ac:dyDescent="0.3">
      <c r="A47" s="8" t="s">
        <v>2035</v>
      </c>
      <c r="B47" s="8">
        <v>1503050</v>
      </c>
      <c r="C47" s="8">
        <v>3.5</v>
      </c>
      <c r="D47" s="9" t="s">
        <v>94</v>
      </c>
      <c r="E47" s="59">
        <v>6</v>
      </c>
      <c r="F47" s="56" t="s">
        <v>34</v>
      </c>
      <c r="G47" s="63">
        <f t="shared" si="4"/>
        <v>0</v>
      </c>
      <c r="H47" s="63">
        <v>0</v>
      </c>
      <c r="J47" s="57"/>
    </row>
    <row r="48" spans="1:10" x14ac:dyDescent="0.3">
      <c r="A48" s="8" t="s">
        <v>2036</v>
      </c>
      <c r="B48" s="8">
        <v>1503050</v>
      </c>
      <c r="C48" s="8">
        <v>3.6</v>
      </c>
      <c r="D48" s="9" t="s">
        <v>96</v>
      </c>
      <c r="E48" s="59">
        <v>6</v>
      </c>
      <c r="F48" s="56" t="s">
        <v>34</v>
      </c>
      <c r="G48" s="63">
        <f t="shared" si="4"/>
        <v>0</v>
      </c>
      <c r="H48" s="63">
        <v>0</v>
      </c>
      <c r="J48" s="57"/>
    </row>
    <row r="49" spans="1:10" x14ac:dyDescent="0.3">
      <c r="A49" s="8" t="s">
        <v>2037</v>
      </c>
      <c r="B49" s="8">
        <v>1503050</v>
      </c>
      <c r="C49" s="8">
        <v>3.7</v>
      </c>
      <c r="D49" s="9" t="s">
        <v>98</v>
      </c>
      <c r="E49" s="59">
        <v>6</v>
      </c>
      <c r="F49" s="56" t="s">
        <v>34</v>
      </c>
      <c r="G49" s="63">
        <f t="shared" si="4"/>
        <v>0</v>
      </c>
      <c r="H49" s="63">
        <v>0</v>
      </c>
      <c r="J49" s="57"/>
    </row>
    <row r="50" spans="1:10" x14ac:dyDescent="0.3">
      <c r="A50" s="13"/>
      <c r="B50" s="13"/>
      <c r="C50" s="13"/>
      <c r="D50" s="144" t="s">
        <v>2038</v>
      </c>
      <c r="E50" s="59">
        <v>6</v>
      </c>
      <c r="F50" s="56" t="s">
        <v>34</v>
      </c>
      <c r="G50" s="63">
        <f t="shared" ref="G50:H50" si="5">SUM(G42:G49)</f>
        <v>0</v>
      </c>
      <c r="H50" s="63">
        <f t="shared" si="5"/>
        <v>0</v>
      </c>
      <c r="J50" s="57"/>
    </row>
    <row r="51" spans="1:10" ht="12.75" customHeight="1" x14ac:dyDescent="0.3">
      <c r="A51" s="13" t="s">
        <v>2039</v>
      </c>
      <c r="B51" s="13">
        <v>1503050</v>
      </c>
      <c r="C51" s="13"/>
      <c r="D51" s="192" t="s">
        <v>101</v>
      </c>
      <c r="E51" s="56"/>
      <c r="F51" s="56"/>
      <c r="G51" s="63"/>
      <c r="H51" s="63"/>
      <c r="J51" s="57"/>
    </row>
    <row r="52" spans="1:10" x14ac:dyDescent="0.3">
      <c r="A52" s="8" t="s">
        <v>2040</v>
      </c>
      <c r="B52" s="8">
        <v>1503050</v>
      </c>
      <c r="C52" s="8">
        <v>3.1</v>
      </c>
      <c r="D52" s="4" t="s">
        <v>2877</v>
      </c>
      <c r="E52" s="59">
        <v>6</v>
      </c>
      <c r="F52" s="56" t="s">
        <v>34</v>
      </c>
      <c r="G52" s="63">
        <f t="shared" ref="G52:G59" si="6">H52/E52</f>
        <v>0</v>
      </c>
      <c r="H52" s="63">
        <v>0</v>
      </c>
      <c r="J52" s="57"/>
    </row>
    <row r="53" spans="1:10" x14ac:dyDescent="0.3">
      <c r="A53" s="8" t="s">
        <v>2041</v>
      </c>
      <c r="B53" s="8">
        <v>1503050</v>
      </c>
      <c r="C53" s="8">
        <v>3.1</v>
      </c>
      <c r="D53" s="4" t="s">
        <v>2878</v>
      </c>
      <c r="E53" s="59">
        <v>6</v>
      </c>
      <c r="F53" s="56" t="s">
        <v>34</v>
      </c>
      <c r="G53" s="63">
        <f t="shared" si="6"/>
        <v>0</v>
      </c>
      <c r="H53" s="63">
        <v>0</v>
      </c>
      <c r="J53" s="57"/>
    </row>
    <row r="54" spans="1:10" x14ac:dyDescent="0.3">
      <c r="A54" s="8" t="s">
        <v>2042</v>
      </c>
      <c r="B54" s="8">
        <v>1503050</v>
      </c>
      <c r="C54" s="8">
        <v>3.1</v>
      </c>
      <c r="D54" s="4" t="s">
        <v>105</v>
      </c>
      <c r="E54" s="59">
        <v>6</v>
      </c>
      <c r="F54" s="56" t="s">
        <v>34</v>
      </c>
      <c r="G54" s="63">
        <f t="shared" si="6"/>
        <v>0</v>
      </c>
      <c r="H54" s="63">
        <v>0</v>
      </c>
      <c r="J54" s="57"/>
    </row>
    <row r="55" spans="1:10" ht="12.75" customHeight="1" x14ac:dyDescent="0.3">
      <c r="A55" s="8" t="s">
        <v>2043</v>
      </c>
      <c r="B55" s="8">
        <v>1503050</v>
      </c>
      <c r="C55" s="8">
        <v>3.2</v>
      </c>
      <c r="D55" s="60" t="s">
        <v>2879</v>
      </c>
      <c r="E55" s="59">
        <v>6</v>
      </c>
      <c r="F55" s="56" t="s">
        <v>34</v>
      </c>
      <c r="G55" s="63">
        <f t="shared" si="6"/>
        <v>0</v>
      </c>
      <c r="H55" s="63">
        <v>0</v>
      </c>
      <c r="J55" s="57"/>
    </row>
    <row r="56" spans="1:10" x14ac:dyDescent="0.3">
      <c r="A56" s="8" t="s">
        <v>2044</v>
      </c>
      <c r="B56" s="8">
        <v>1503050</v>
      </c>
      <c r="C56" s="8">
        <v>3.3</v>
      </c>
      <c r="D56" s="9" t="s">
        <v>108</v>
      </c>
      <c r="E56" s="59">
        <v>6</v>
      </c>
      <c r="F56" s="56" t="s">
        <v>34</v>
      </c>
      <c r="G56" s="63">
        <f t="shared" si="6"/>
        <v>0</v>
      </c>
      <c r="H56" s="63">
        <v>0</v>
      </c>
      <c r="J56" s="57"/>
    </row>
    <row r="57" spans="1:10" x14ac:dyDescent="0.3">
      <c r="A57" s="8" t="s">
        <v>2045</v>
      </c>
      <c r="B57" s="8">
        <v>1503050</v>
      </c>
      <c r="C57" s="8">
        <v>3.5</v>
      </c>
      <c r="D57" s="9" t="s">
        <v>2880</v>
      </c>
      <c r="E57" s="59">
        <v>6</v>
      </c>
      <c r="F57" s="56" t="s">
        <v>34</v>
      </c>
      <c r="G57" s="63">
        <f t="shared" si="6"/>
        <v>0</v>
      </c>
      <c r="H57" s="63">
        <v>0</v>
      </c>
      <c r="J57" s="57"/>
    </row>
    <row r="58" spans="1:10" x14ac:dyDescent="0.3">
      <c r="A58" s="8" t="s">
        <v>2046</v>
      </c>
      <c r="B58" s="8">
        <v>1503050</v>
      </c>
      <c r="C58" s="8">
        <v>3.6</v>
      </c>
      <c r="D58" s="9" t="s">
        <v>111</v>
      </c>
      <c r="E58" s="59">
        <v>6</v>
      </c>
      <c r="F58" s="56" t="s">
        <v>34</v>
      </c>
      <c r="G58" s="63">
        <f t="shared" si="6"/>
        <v>0</v>
      </c>
      <c r="H58" s="63">
        <v>0</v>
      </c>
      <c r="J58" s="57"/>
    </row>
    <row r="59" spans="1:10" x14ac:dyDescent="0.3">
      <c r="A59" s="8" t="s">
        <v>2047</v>
      </c>
      <c r="B59" s="8">
        <v>1503050</v>
      </c>
      <c r="C59" s="8">
        <v>3.7</v>
      </c>
      <c r="D59" s="9" t="s">
        <v>113</v>
      </c>
      <c r="E59" s="59">
        <v>6</v>
      </c>
      <c r="F59" s="56" t="s">
        <v>34</v>
      </c>
      <c r="G59" s="63">
        <f t="shared" si="6"/>
        <v>0</v>
      </c>
      <c r="H59" s="63">
        <v>0</v>
      </c>
      <c r="J59" s="57"/>
    </row>
    <row r="60" spans="1:10" x14ac:dyDescent="0.3">
      <c r="A60" s="13"/>
      <c r="B60" s="13"/>
      <c r="C60" s="13"/>
      <c r="D60" s="144" t="s">
        <v>2048</v>
      </c>
      <c r="E60" s="59">
        <v>6</v>
      </c>
      <c r="F60" s="56" t="s">
        <v>34</v>
      </c>
      <c r="G60" s="63">
        <f t="shared" ref="G60:H60" si="7">SUM(G52:G59)</f>
        <v>0</v>
      </c>
      <c r="H60" s="63">
        <f t="shared" si="7"/>
        <v>0</v>
      </c>
      <c r="J60" s="57"/>
    </row>
    <row r="61" spans="1:10" x14ac:dyDescent="0.3">
      <c r="A61" s="13" t="s">
        <v>2049</v>
      </c>
      <c r="B61" s="13">
        <v>1503050</v>
      </c>
      <c r="C61" s="8"/>
      <c r="D61" s="192" t="s">
        <v>116</v>
      </c>
      <c r="E61" s="56"/>
      <c r="F61" s="56"/>
      <c r="G61" s="63"/>
      <c r="H61" s="63"/>
      <c r="J61" s="57"/>
    </row>
    <row r="62" spans="1:10" x14ac:dyDescent="0.3">
      <c r="A62" s="8" t="s">
        <v>2050</v>
      </c>
      <c r="B62" s="8">
        <v>1503050</v>
      </c>
      <c r="C62" s="8">
        <v>3.1</v>
      </c>
      <c r="D62" s="9" t="s">
        <v>2881</v>
      </c>
      <c r="E62" s="59">
        <v>6</v>
      </c>
      <c r="F62" s="56" t="s">
        <v>34</v>
      </c>
      <c r="G62" s="63">
        <f t="shared" ref="G62:G69" si="8">H62/E62</f>
        <v>0</v>
      </c>
      <c r="H62" s="63">
        <v>0</v>
      </c>
      <c r="J62" s="57"/>
    </row>
    <row r="63" spans="1:10" x14ac:dyDescent="0.3">
      <c r="A63" s="8" t="s">
        <v>2051</v>
      </c>
      <c r="B63" s="8">
        <v>1503050</v>
      </c>
      <c r="C63" s="8">
        <v>3.1</v>
      </c>
      <c r="D63" s="9" t="s">
        <v>2882</v>
      </c>
      <c r="E63" s="59">
        <v>6</v>
      </c>
      <c r="F63" s="56" t="s">
        <v>34</v>
      </c>
      <c r="G63" s="63">
        <f t="shared" si="8"/>
        <v>0</v>
      </c>
      <c r="H63" s="63">
        <v>0</v>
      </c>
      <c r="J63" s="57"/>
    </row>
    <row r="64" spans="1:10" x14ac:dyDescent="0.3">
      <c r="A64" s="8" t="s">
        <v>2052</v>
      </c>
      <c r="B64" s="8">
        <v>1503050</v>
      </c>
      <c r="C64" s="8">
        <v>3.1</v>
      </c>
      <c r="D64" s="9" t="s">
        <v>120</v>
      </c>
      <c r="E64" s="59">
        <v>6</v>
      </c>
      <c r="F64" s="56" t="s">
        <v>34</v>
      </c>
      <c r="G64" s="63">
        <f t="shared" si="8"/>
        <v>0</v>
      </c>
      <c r="H64" s="63">
        <v>0</v>
      </c>
      <c r="J64" s="57"/>
    </row>
    <row r="65" spans="1:10" x14ac:dyDescent="0.3">
      <c r="A65" s="8" t="s">
        <v>2053</v>
      </c>
      <c r="B65" s="8">
        <v>1503050</v>
      </c>
      <c r="C65" s="8">
        <v>3.2</v>
      </c>
      <c r="D65" s="9" t="s">
        <v>2883</v>
      </c>
      <c r="E65" s="59">
        <v>6</v>
      </c>
      <c r="F65" s="56" t="s">
        <v>34</v>
      </c>
      <c r="G65" s="63">
        <f t="shared" si="8"/>
        <v>0</v>
      </c>
      <c r="H65" s="63">
        <v>0</v>
      </c>
      <c r="J65" s="57"/>
    </row>
    <row r="66" spans="1:10" x14ac:dyDescent="0.3">
      <c r="A66" s="8" t="s">
        <v>2054</v>
      </c>
      <c r="B66" s="8">
        <v>1503050</v>
      </c>
      <c r="C66" s="8">
        <v>3.3</v>
      </c>
      <c r="D66" s="9" t="s">
        <v>2884</v>
      </c>
      <c r="E66" s="59">
        <v>6</v>
      </c>
      <c r="F66" s="56" t="s">
        <v>34</v>
      </c>
      <c r="G66" s="63">
        <f t="shared" si="8"/>
        <v>0</v>
      </c>
      <c r="H66" s="63">
        <v>0</v>
      </c>
      <c r="J66" s="57"/>
    </row>
    <row r="67" spans="1:10" x14ac:dyDescent="0.3">
      <c r="A67" s="8" t="s">
        <v>2055</v>
      </c>
      <c r="B67" s="8">
        <v>1503050</v>
      </c>
      <c r="C67" s="8">
        <v>3.5</v>
      </c>
      <c r="D67" s="9" t="s">
        <v>2885</v>
      </c>
      <c r="E67" s="59">
        <v>6</v>
      </c>
      <c r="F67" s="56" t="s">
        <v>34</v>
      </c>
      <c r="G67" s="63">
        <f t="shared" si="8"/>
        <v>0</v>
      </c>
      <c r="H67" s="63">
        <v>0</v>
      </c>
      <c r="J67" s="57"/>
    </row>
    <row r="68" spans="1:10" x14ac:dyDescent="0.3">
      <c r="A68" s="8" t="s">
        <v>2056</v>
      </c>
      <c r="B68" s="8">
        <v>1503050</v>
      </c>
      <c r="C68" s="8">
        <v>3.6</v>
      </c>
      <c r="D68" s="9" t="s">
        <v>125</v>
      </c>
      <c r="E68" s="59">
        <v>6</v>
      </c>
      <c r="F68" s="56" t="s">
        <v>34</v>
      </c>
      <c r="G68" s="63">
        <f t="shared" si="8"/>
        <v>0</v>
      </c>
      <c r="H68" s="63">
        <v>0</v>
      </c>
      <c r="J68" s="57"/>
    </row>
    <row r="69" spans="1:10" x14ac:dyDescent="0.3">
      <c r="A69" s="8" t="s">
        <v>2057</v>
      </c>
      <c r="B69" s="8">
        <v>1503050</v>
      </c>
      <c r="C69" s="8">
        <v>3.7</v>
      </c>
      <c r="D69" s="9" t="s">
        <v>127</v>
      </c>
      <c r="E69" s="59">
        <v>6</v>
      </c>
      <c r="F69" s="56" t="s">
        <v>34</v>
      </c>
      <c r="G69" s="63">
        <f t="shared" si="8"/>
        <v>0</v>
      </c>
      <c r="H69" s="63">
        <v>0</v>
      </c>
      <c r="J69" s="57"/>
    </row>
    <row r="70" spans="1:10" x14ac:dyDescent="0.3">
      <c r="A70" s="13"/>
      <c r="B70" s="13"/>
      <c r="C70" s="13"/>
      <c r="D70" s="144" t="s">
        <v>2058</v>
      </c>
      <c r="E70" s="59">
        <v>6</v>
      </c>
      <c r="F70" s="56" t="s">
        <v>34</v>
      </c>
      <c r="G70" s="63">
        <f t="shared" ref="G70:H70" si="9">SUM(G62:G69)</f>
        <v>0</v>
      </c>
      <c r="H70" s="63">
        <f t="shared" si="9"/>
        <v>0</v>
      </c>
      <c r="J70" s="57"/>
    </row>
    <row r="71" spans="1:10" ht="12.75" customHeight="1" x14ac:dyDescent="0.3">
      <c r="A71" s="13" t="s">
        <v>2059</v>
      </c>
      <c r="B71" s="13">
        <v>1503050</v>
      </c>
      <c r="C71" s="13"/>
      <c r="D71" s="192" t="s">
        <v>130</v>
      </c>
      <c r="E71" s="56"/>
      <c r="F71" s="56"/>
      <c r="G71" s="63"/>
      <c r="H71" s="63"/>
      <c r="J71" s="57"/>
    </row>
    <row r="72" spans="1:10" x14ac:dyDescent="0.3">
      <c r="A72" s="8" t="s">
        <v>2060</v>
      </c>
      <c r="B72" s="8">
        <v>1503050</v>
      </c>
      <c r="C72" s="8">
        <v>3.1</v>
      </c>
      <c r="D72" s="4" t="s">
        <v>2886</v>
      </c>
      <c r="E72" s="59">
        <v>6</v>
      </c>
      <c r="F72" s="56" t="s">
        <v>34</v>
      </c>
      <c r="G72" s="63">
        <f t="shared" ref="G72:G79" si="10">H72/E72</f>
        <v>0</v>
      </c>
      <c r="H72" s="63">
        <v>0</v>
      </c>
      <c r="J72" s="57"/>
    </row>
    <row r="73" spans="1:10" x14ac:dyDescent="0.3">
      <c r="A73" s="8" t="s">
        <v>2061</v>
      </c>
      <c r="B73" s="8">
        <v>1503050</v>
      </c>
      <c r="C73" s="8">
        <v>3.1</v>
      </c>
      <c r="D73" s="4" t="s">
        <v>133</v>
      </c>
      <c r="E73" s="59">
        <v>6</v>
      </c>
      <c r="F73" s="56" t="s">
        <v>34</v>
      </c>
      <c r="G73" s="63">
        <f t="shared" si="10"/>
        <v>0</v>
      </c>
      <c r="H73" s="63">
        <v>0</v>
      </c>
      <c r="J73" s="57"/>
    </row>
    <row r="74" spans="1:10" x14ac:dyDescent="0.3">
      <c r="A74" s="8" t="s">
        <v>2062</v>
      </c>
      <c r="B74" s="8">
        <v>1503050</v>
      </c>
      <c r="C74" s="8">
        <v>3.1</v>
      </c>
      <c r="D74" s="4" t="s">
        <v>135</v>
      </c>
      <c r="E74" s="59">
        <v>6</v>
      </c>
      <c r="F74" s="56" t="s">
        <v>34</v>
      </c>
      <c r="G74" s="63">
        <f t="shared" si="10"/>
        <v>0</v>
      </c>
      <c r="H74" s="63">
        <v>0</v>
      </c>
      <c r="J74" s="57"/>
    </row>
    <row r="75" spans="1:10" ht="12.75" customHeight="1" x14ac:dyDescent="0.3">
      <c r="A75" s="8" t="s">
        <v>2063</v>
      </c>
      <c r="B75" s="8">
        <v>1503050</v>
      </c>
      <c r="C75" s="8">
        <v>3.2</v>
      </c>
      <c r="D75" s="60" t="s">
        <v>137</v>
      </c>
      <c r="E75" s="59">
        <v>6</v>
      </c>
      <c r="F75" s="56" t="s">
        <v>34</v>
      </c>
      <c r="G75" s="63">
        <f t="shared" si="10"/>
        <v>0</v>
      </c>
      <c r="H75" s="63">
        <v>0</v>
      </c>
      <c r="J75" s="57"/>
    </row>
    <row r="76" spans="1:10" x14ac:dyDescent="0.3">
      <c r="A76" s="8" t="s">
        <v>2064</v>
      </c>
      <c r="B76" s="8">
        <v>1503050</v>
      </c>
      <c r="C76" s="8">
        <v>3.3</v>
      </c>
      <c r="D76" s="9" t="s">
        <v>139</v>
      </c>
      <c r="E76" s="59">
        <v>6</v>
      </c>
      <c r="F76" s="56" t="s">
        <v>34</v>
      </c>
      <c r="G76" s="63">
        <f t="shared" si="10"/>
        <v>0</v>
      </c>
      <c r="H76" s="63">
        <v>0</v>
      </c>
      <c r="J76" s="57"/>
    </row>
    <row r="77" spans="1:10" x14ac:dyDescent="0.3">
      <c r="A77" s="8" t="s">
        <v>2065</v>
      </c>
      <c r="B77" s="8">
        <v>1503050</v>
      </c>
      <c r="C77" s="8">
        <v>3.5</v>
      </c>
      <c r="D77" s="9" t="s">
        <v>2887</v>
      </c>
      <c r="E77" s="59">
        <v>6</v>
      </c>
      <c r="F77" s="56" t="s">
        <v>34</v>
      </c>
      <c r="G77" s="63">
        <f t="shared" si="10"/>
        <v>0</v>
      </c>
      <c r="H77" s="63">
        <v>0</v>
      </c>
      <c r="J77" s="57"/>
    </row>
    <row r="78" spans="1:10" x14ac:dyDescent="0.3">
      <c r="A78" s="8" t="s">
        <v>2066</v>
      </c>
      <c r="B78" s="8">
        <v>1503050</v>
      </c>
      <c r="C78" s="8">
        <v>3.6</v>
      </c>
      <c r="D78" s="9" t="s">
        <v>142</v>
      </c>
      <c r="E78" s="59">
        <v>6</v>
      </c>
      <c r="F78" s="56" t="s">
        <v>34</v>
      </c>
      <c r="G78" s="63">
        <f t="shared" si="10"/>
        <v>0</v>
      </c>
      <c r="H78" s="63">
        <v>0</v>
      </c>
      <c r="J78" s="57"/>
    </row>
    <row r="79" spans="1:10" x14ac:dyDescent="0.3">
      <c r="A79" s="8" t="s">
        <v>2067</v>
      </c>
      <c r="B79" s="8">
        <v>1503050</v>
      </c>
      <c r="C79" s="8">
        <v>3.7</v>
      </c>
      <c r="D79" s="9" t="s">
        <v>144</v>
      </c>
      <c r="E79" s="59">
        <v>6</v>
      </c>
      <c r="F79" s="56" t="s">
        <v>34</v>
      </c>
      <c r="G79" s="63">
        <f t="shared" si="10"/>
        <v>0</v>
      </c>
      <c r="H79" s="63">
        <v>0</v>
      </c>
      <c r="J79" s="57"/>
    </row>
    <row r="80" spans="1:10" x14ac:dyDescent="0.3">
      <c r="A80" s="13"/>
      <c r="B80" s="13"/>
      <c r="C80" s="13"/>
      <c r="D80" s="144" t="s">
        <v>2068</v>
      </c>
      <c r="E80" s="59">
        <v>6</v>
      </c>
      <c r="F80" s="56" t="s">
        <v>34</v>
      </c>
      <c r="G80" s="63">
        <f t="shared" ref="G80:H80" si="11">SUM(G72:G79)</f>
        <v>0</v>
      </c>
      <c r="H80" s="63">
        <f t="shared" si="11"/>
        <v>0</v>
      </c>
      <c r="J80" s="57"/>
    </row>
    <row r="81" spans="1:10" x14ac:dyDescent="0.3">
      <c r="A81" s="13" t="s">
        <v>1998</v>
      </c>
      <c r="B81" s="13">
        <v>1503050</v>
      </c>
      <c r="C81" s="13" t="s">
        <v>14</v>
      </c>
      <c r="D81" s="144" t="s">
        <v>146</v>
      </c>
      <c r="E81" s="59">
        <v>6</v>
      </c>
      <c r="F81" s="56" t="s">
        <v>34</v>
      </c>
      <c r="G81" s="63">
        <f>G80+G70+G60+G50+G40+G30+G20</f>
        <v>0</v>
      </c>
      <c r="H81" s="63">
        <f>H80+H70+H60+H50+H40+H30+H20</f>
        <v>0</v>
      </c>
      <c r="J81" s="57" t="s">
        <v>14</v>
      </c>
    </row>
    <row r="82" spans="1:10" x14ac:dyDescent="0.3">
      <c r="A82" s="13" t="s">
        <v>2069</v>
      </c>
      <c r="B82" s="147">
        <v>1503050</v>
      </c>
      <c r="C82" s="148"/>
      <c r="D82" s="185" t="s">
        <v>2706</v>
      </c>
      <c r="E82" s="59"/>
      <c r="F82" s="56"/>
      <c r="G82" s="63"/>
      <c r="H82" s="63"/>
      <c r="J82" s="57"/>
    </row>
    <row r="83" spans="1:10" x14ac:dyDescent="0.3">
      <c r="A83" s="13" t="s">
        <v>3532</v>
      </c>
      <c r="B83" s="147">
        <v>1503050</v>
      </c>
      <c r="C83" s="148"/>
      <c r="D83" s="186" t="s">
        <v>2710</v>
      </c>
      <c r="E83" s="59"/>
      <c r="F83" s="56"/>
      <c r="G83" s="63"/>
      <c r="H83" s="63"/>
      <c r="J83" s="57"/>
    </row>
    <row r="84" spans="1:10" x14ac:dyDescent="0.3">
      <c r="A84" s="8" t="s">
        <v>3533</v>
      </c>
      <c r="B84" s="8">
        <v>1503050</v>
      </c>
      <c r="C84" s="149">
        <v>3.1</v>
      </c>
      <c r="D84" s="150" t="s">
        <v>2859</v>
      </c>
      <c r="E84" s="194">
        <v>6</v>
      </c>
      <c r="F84" s="195" t="s">
        <v>34</v>
      </c>
      <c r="G84" s="196">
        <f t="shared" ref="G84:G90" si="12">H84/E84</f>
        <v>0</v>
      </c>
      <c r="H84" s="196">
        <v>0</v>
      </c>
      <c r="J84" s="57"/>
    </row>
    <row r="85" spans="1:10" x14ac:dyDescent="0.3">
      <c r="A85" s="8" t="s">
        <v>3534</v>
      </c>
      <c r="B85" s="8">
        <v>1503050</v>
      </c>
      <c r="C85" s="8">
        <v>3.1</v>
      </c>
      <c r="D85" s="151" t="s">
        <v>2714</v>
      </c>
      <c r="E85" s="59">
        <v>6</v>
      </c>
      <c r="F85" s="56" t="s">
        <v>34</v>
      </c>
      <c r="G85" s="63">
        <f t="shared" si="12"/>
        <v>0</v>
      </c>
      <c r="H85" s="63">
        <v>0</v>
      </c>
      <c r="J85" s="57"/>
    </row>
    <row r="86" spans="1:10" x14ac:dyDescent="0.3">
      <c r="A86" s="8" t="s">
        <v>3535</v>
      </c>
      <c r="B86" s="8">
        <v>1503050</v>
      </c>
      <c r="C86" s="8">
        <v>3.1</v>
      </c>
      <c r="D86" s="151" t="s">
        <v>2716</v>
      </c>
      <c r="E86" s="59">
        <v>6</v>
      </c>
      <c r="F86" s="56" t="s">
        <v>34</v>
      </c>
      <c r="G86" s="63">
        <f t="shared" si="12"/>
        <v>0</v>
      </c>
      <c r="H86" s="63">
        <v>0</v>
      </c>
      <c r="J86" s="57"/>
    </row>
    <row r="87" spans="1:10" x14ac:dyDescent="0.3">
      <c r="A87" s="8" t="s">
        <v>3536</v>
      </c>
      <c r="B87" s="8">
        <v>1503050</v>
      </c>
      <c r="C87" s="8">
        <v>3.2</v>
      </c>
      <c r="D87" s="60" t="s">
        <v>2718</v>
      </c>
      <c r="E87" s="59">
        <v>6</v>
      </c>
      <c r="F87" s="56" t="s">
        <v>34</v>
      </c>
      <c r="G87" s="63">
        <f t="shared" si="12"/>
        <v>0</v>
      </c>
      <c r="H87" s="63">
        <v>0</v>
      </c>
      <c r="J87" s="57"/>
    </row>
    <row r="88" spans="1:10" x14ac:dyDescent="0.3">
      <c r="A88" s="8" t="s">
        <v>3537</v>
      </c>
      <c r="B88" s="8">
        <v>1503050</v>
      </c>
      <c r="C88" s="8">
        <v>3.3</v>
      </c>
      <c r="D88" s="9" t="s">
        <v>2864</v>
      </c>
      <c r="E88" s="59">
        <v>6</v>
      </c>
      <c r="F88" s="56" t="s">
        <v>34</v>
      </c>
      <c r="G88" s="63">
        <f t="shared" si="12"/>
        <v>0</v>
      </c>
      <c r="H88" s="63">
        <v>0</v>
      </c>
      <c r="J88" s="57"/>
    </row>
    <row r="89" spans="1:10" x14ac:dyDescent="0.3">
      <c r="A89" s="8" t="s">
        <v>3538</v>
      </c>
      <c r="B89" s="8">
        <v>1503050</v>
      </c>
      <c r="C89" s="8">
        <v>3.5</v>
      </c>
      <c r="D89" s="9" t="s">
        <v>2722</v>
      </c>
      <c r="E89" s="59">
        <v>6</v>
      </c>
      <c r="F89" s="56" t="s">
        <v>34</v>
      </c>
      <c r="G89" s="63">
        <f t="shared" si="12"/>
        <v>0</v>
      </c>
      <c r="H89" s="63">
        <v>0</v>
      </c>
      <c r="J89" s="57"/>
    </row>
    <row r="90" spans="1:10" x14ac:dyDescent="0.3">
      <c r="A90" s="8" t="s">
        <v>3539</v>
      </c>
      <c r="B90" s="8">
        <v>1503050</v>
      </c>
      <c r="C90" s="8">
        <v>3.6</v>
      </c>
      <c r="D90" s="9" t="s">
        <v>2724</v>
      </c>
      <c r="E90" s="59">
        <v>6</v>
      </c>
      <c r="F90" s="56" t="s">
        <v>34</v>
      </c>
      <c r="G90" s="63">
        <f t="shared" si="12"/>
        <v>0</v>
      </c>
      <c r="H90" s="63">
        <v>0</v>
      </c>
      <c r="J90" s="57"/>
    </row>
    <row r="91" spans="1:10" x14ac:dyDescent="0.3">
      <c r="A91" s="8" t="s">
        <v>3540</v>
      </c>
      <c r="B91" s="8">
        <v>1503050</v>
      </c>
      <c r="C91" s="8">
        <v>3.7</v>
      </c>
      <c r="D91" s="152" t="s">
        <v>2726</v>
      </c>
      <c r="E91" s="59">
        <v>6</v>
      </c>
      <c r="F91" s="56" t="s">
        <v>34</v>
      </c>
      <c r="G91" s="63">
        <f t="shared" ref="G91:H91" si="13">SUM(G83:G90)</f>
        <v>0</v>
      </c>
      <c r="H91" s="63">
        <f t="shared" si="13"/>
        <v>0</v>
      </c>
      <c r="J91" s="57"/>
    </row>
    <row r="92" spans="1:10" x14ac:dyDescent="0.3">
      <c r="A92" s="13"/>
      <c r="B92" s="13"/>
      <c r="C92" s="13"/>
      <c r="D92" s="153" t="s">
        <v>3541</v>
      </c>
      <c r="E92" s="59">
        <v>6</v>
      </c>
      <c r="F92" s="56" t="s">
        <v>34</v>
      </c>
      <c r="G92" s="63">
        <v>0</v>
      </c>
      <c r="H92" s="63">
        <v>0</v>
      </c>
      <c r="J92" s="57"/>
    </row>
    <row r="93" spans="1:10" x14ac:dyDescent="0.3">
      <c r="A93" s="13" t="s">
        <v>3542</v>
      </c>
      <c r="B93" s="13">
        <v>1503050</v>
      </c>
      <c r="C93" s="8"/>
      <c r="D93" s="154" t="s">
        <v>2611</v>
      </c>
      <c r="E93" s="59"/>
      <c r="F93" s="56"/>
      <c r="G93" s="63"/>
      <c r="H93" s="63"/>
      <c r="J93" s="57"/>
    </row>
    <row r="94" spans="1:10" x14ac:dyDescent="0.3">
      <c r="A94" s="8" t="s">
        <v>3543</v>
      </c>
      <c r="B94" s="8">
        <v>1503050</v>
      </c>
      <c r="C94" s="8">
        <v>3.1</v>
      </c>
      <c r="D94" s="150" t="s">
        <v>2613</v>
      </c>
      <c r="E94" s="59">
        <v>6</v>
      </c>
      <c r="F94" s="56" t="s">
        <v>34</v>
      </c>
      <c r="G94" s="63">
        <f t="shared" ref="G94:G100" si="14">H94/E94</f>
        <v>0</v>
      </c>
      <c r="H94" s="63">
        <v>0</v>
      </c>
      <c r="J94" s="57"/>
    </row>
    <row r="95" spans="1:10" x14ac:dyDescent="0.3">
      <c r="A95" s="8" t="s">
        <v>3544</v>
      </c>
      <c r="B95" s="8">
        <v>1503050</v>
      </c>
      <c r="C95" s="8">
        <v>3.1</v>
      </c>
      <c r="D95" s="151" t="s">
        <v>2615</v>
      </c>
      <c r="E95" s="59">
        <v>6</v>
      </c>
      <c r="F95" s="56" t="s">
        <v>34</v>
      </c>
      <c r="G95" s="63">
        <f t="shared" si="14"/>
        <v>0</v>
      </c>
      <c r="H95" s="63">
        <v>0</v>
      </c>
      <c r="J95" s="57"/>
    </row>
    <row r="96" spans="1:10" x14ac:dyDescent="0.3">
      <c r="A96" s="8" t="s">
        <v>3545</v>
      </c>
      <c r="B96" s="8">
        <v>1503050</v>
      </c>
      <c r="C96" s="8">
        <v>3.1</v>
      </c>
      <c r="D96" s="151" t="s">
        <v>2617</v>
      </c>
      <c r="E96" s="59">
        <v>6</v>
      </c>
      <c r="F96" s="56" t="s">
        <v>34</v>
      </c>
      <c r="G96" s="63">
        <f t="shared" si="14"/>
        <v>0</v>
      </c>
      <c r="H96" s="63">
        <v>0</v>
      </c>
      <c r="J96" s="57"/>
    </row>
    <row r="97" spans="1:10" x14ac:dyDescent="0.3">
      <c r="A97" s="8" t="s">
        <v>3546</v>
      </c>
      <c r="B97" s="8">
        <v>1503050</v>
      </c>
      <c r="C97" s="8">
        <v>3.2</v>
      </c>
      <c r="D97" s="60" t="s">
        <v>2619</v>
      </c>
      <c r="E97" s="59">
        <v>6</v>
      </c>
      <c r="F97" s="56" t="s">
        <v>34</v>
      </c>
      <c r="G97" s="63">
        <f t="shared" si="14"/>
        <v>0</v>
      </c>
      <c r="H97" s="63">
        <v>0</v>
      </c>
      <c r="J97" s="57"/>
    </row>
    <row r="98" spans="1:10" x14ac:dyDescent="0.3">
      <c r="A98" s="8" t="s">
        <v>3547</v>
      </c>
      <c r="B98" s="8">
        <v>1503050</v>
      </c>
      <c r="C98" s="8">
        <v>3.3</v>
      </c>
      <c r="D98" s="9" t="s">
        <v>2621</v>
      </c>
      <c r="E98" s="59">
        <v>6</v>
      </c>
      <c r="F98" s="56" t="s">
        <v>34</v>
      </c>
      <c r="G98" s="63">
        <f t="shared" si="14"/>
        <v>0</v>
      </c>
      <c r="H98" s="63">
        <v>0</v>
      </c>
      <c r="J98" s="57"/>
    </row>
    <row r="99" spans="1:10" x14ac:dyDescent="0.3">
      <c r="A99" s="8" t="s">
        <v>3548</v>
      </c>
      <c r="B99" s="8">
        <v>1503050</v>
      </c>
      <c r="C99" s="8">
        <v>3.5</v>
      </c>
      <c r="D99" s="9" t="s">
        <v>2623</v>
      </c>
      <c r="E99" s="59">
        <v>6</v>
      </c>
      <c r="F99" s="56" t="s">
        <v>34</v>
      </c>
      <c r="G99" s="63">
        <f t="shared" si="14"/>
        <v>0</v>
      </c>
      <c r="H99" s="63">
        <v>0</v>
      </c>
      <c r="J99" s="57"/>
    </row>
    <row r="100" spans="1:10" x14ac:dyDescent="0.3">
      <c r="A100" s="8" t="s">
        <v>3549</v>
      </c>
      <c r="B100" s="8">
        <v>1503050</v>
      </c>
      <c r="C100" s="8">
        <v>3.6</v>
      </c>
      <c r="D100" s="9" t="s">
        <v>2625</v>
      </c>
      <c r="E100" s="59">
        <v>6</v>
      </c>
      <c r="F100" s="56" t="s">
        <v>34</v>
      </c>
      <c r="G100" s="63">
        <f t="shared" si="14"/>
        <v>0</v>
      </c>
      <c r="H100" s="63">
        <v>0</v>
      </c>
      <c r="J100" s="57"/>
    </row>
    <row r="101" spans="1:10" x14ac:dyDescent="0.3">
      <c r="A101" s="8" t="s">
        <v>3550</v>
      </c>
      <c r="B101" s="8">
        <v>1503050</v>
      </c>
      <c r="C101" s="8">
        <v>3.7</v>
      </c>
      <c r="D101" s="152" t="s">
        <v>2627</v>
      </c>
      <c r="E101" s="59">
        <v>6</v>
      </c>
      <c r="F101" s="56" t="s">
        <v>34</v>
      </c>
      <c r="G101" s="63">
        <f t="shared" ref="G101" si="15">SUM(G93:G100)</f>
        <v>0</v>
      </c>
      <c r="H101" s="63">
        <f>SUM(H92:H100)</f>
        <v>0</v>
      </c>
      <c r="J101" s="57"/>
    </row>
    <row r="102" spans="1:10" x14ac:dyDescent="0.3">
      <c r="A102" s="13"/>
      <c r="B102" s="13"/>
      <c r="C102" s="13"/>
      <c r="D102" s="155" t="s">
        <v>3551</v>
      </c>
      <c r="E102" s="59">
        <v>6</v>
      </c>
      <c r="F102" s="59" t="s">
        <v>34</v>
      </c>
      <c r="G102" s="63">
        <v>0</v>
      </c>
      <c r="H102" s="63">
        <v>0</v>
      </c>
      <c r="J102" s="57" t="s">
        <v>14</v>
      </c>
    </row>
    <row r="103" spans="1:10" x14ac:dyDescent="0.3">
      <c r="A103" s="13" t="s">
        <v>3552</v>
      </c>
      <c r="B103" s="147">
        <v>1503050</v>
      </c>
      <c r="C103" s="156"/>
      <c r="D103" s="197" t="s">
        <v>2630</v>
      </c>
      <c r="E103" s="56"/>
      <c r="F103" s="56"/>
      <c r="G103" s="63"/>
      <c r="H103" s="63"/>
      <c r="J103" s="57"/>
    </row>
    <row r="104" spans="1:10" x14ac:dyDescent="0.3">
      <c r="A104" s="8" t="s">
        <v>3553</v>
      </c>
      <c r="B104" s="8">
        <v>1503050</v>
      </c>
      <c r="C104" s="149">
        <v>3.1</v>
      </c>
      <c r="D104" s="150" t="s">
        <v>2632</v>
      </c>
      <c r="E104" s="59">
        <v>6</v>
      </c>
      <c r="F104" s="59" t="s">
        <v>34</v>
      </c>
      <c r="G104" s="63">
        <v>0</v>
      </c>
      <c r="H104" s="63">
        <v>0</v>
      </c>
      <c r="J104" s="57" t="s">
        <v>14</v>
      </c>
    </row>
    <row r="105" spans="1:10" ht="12.75" customHeight="1" x14ac:dyDescent="0.3">
      <c r="A105" s="8" t="s">
        <v>3554</v>
      </c>
      <c r="B105" s="8">
        <v>1503050</v>
      </c>
      <c r="C105" s="8">
        <v>3.1</v>
      </c>
      <c r="D105" s="151" t="s">
        <v>2634</v>
      </c>
      <c r="E105" s="59">
        <v>6</v>
      </c>
      <c r="F105" s="59" t="s">
        <v>34</v>
      </c>
      <c r="G105" s="63">
        <v>0</v>
      </c>
      <c r="H105" s="63">
        <v>0</v>
      </c>
      <c r="J105" s="57"/>
    </row>
    <row r="106" spans="1:10" x14ac:dyDescent="0.3">
      <c r="A106" s="8" t="s">
        <v>3555</v>
      </c>
      <c r="B106" s="8">
        <v>1503050</v>
      </c>
      <c r="C106" s="8">
        <v>3.1</v>
      </c>
      <c r="D106" s="151" t="s">
        <v>2636</v>
      </c>
      <c r="E106" s="59">
        <v>6</v>
      </c>
      <c r="F106" s="56" t="s">
        <v>34</v>
      </c>
      <c r="G106" s="63">
        <f t="shared" ref="G106:G112" si="16">H106/E106</f>
        <v>0</v>
      </c>
      <c r="H106" s="63">
        <v>0</v>
      </c>
      <c r="J106" s="57"/>
    </row>
    <row r="107" spans="1:10" x14ac:dyDescent="0.3">
      <c r="A107" s="8" t="s">
        <v>3556</v>
      </c>
      <c r="B107" s="8">
        <v>1503050</v>
      </c>
      <c r="C107" s="8">
        <v>3.2</v>
      </c>
      <c r="D107" s="60" t="s">
        <v>2638</v>
      </c>
      <c r="E107" s="59">
        <v>6</v>
      </c>
      <c r="F107" s="56" t="s">
        <v>34</v>
      </c>
      <c r="G107" s="63">
        <f t="shared" si="16"/>
        <v>0</v>
      </c>
      <c r="H107" s="63">
        <v>0</v>
      </c>
      <c r="J107" s="57"/>
    </row>
    <row r="108" spans="1:10" x14ac:dyDescent="0.3">
      <c r="A108" s="8" t="s">
        <v>3557</v>
      </c>
      <c r="B108" s="8">
        <v>1503050</v>
      </c>
      <c r="C108" s="8">
        <v>3.3</v>
      </c>
      <c r="D108" s="9" t="s">
        <v>2640</v>
      </c>
      <c r="E108" s="59">
        <v>6</v>
      </c>
      <c r="F108" s="56" t="s">
        <v>34</v>
      </c>
      <c r="G108" s="63">
        <f t="shared" si="16"/>
        <v>0</v>
      </c>
      <c r="H108" s="63">
        <v>0</v>
      </c>
      <c r="J108" s="57"/>
    </row>
    <row r="109" spans="1:10" ht="12.75" customHeight="1" x14ac:dyDescent="0.3">
      <c r="A109" s="8" t="s">
        <v>3558</v>
      </c>
      <c r="B109" s="8">
        <v>1503050</v>
      </c>
      <c r="C109" s="8">
        <v>3.5</v>
      </c>
      <c r="D109" s="9" t="s">
        <v>2642</v>
      </c>
      <c r="E109" s="59">
        <v>6</v>
      </c>
      <c r="F109" s="56" t="s">
        <v>34</v>
      </c>
      <c r="G109" s="63">
        <f t="shared" si="16"/>
        <v>0</v>
      </c>
      <c r="H109" s="63">
        <v>0</v>
      </c>
      <c r="J109" s="57"/>
    </row>
    <row r="110" spans="1:10" x14ac:dyDescent="0.3">
      <c r="A110" s="8" t="s">
        <v>3559</v>
      </c>
      <c r="B110" s="8">
        <v>1503050</v>
      </c>
      <c r="C110" s="8">
        <v>3.6</v>
      </c>
      <c r="D110" s="9" t="s">
        <v>2644</v>
      </c>
      <c r="E110" s="59">
        <v>6</v>
      </c>
      <c r="F110" s="56" t="s">
        <v>34</v>
      </c>
      <c r="G110" s="63">
        <f t="shared" si="16"/>
        <v>0</v>
      </c>
      <c r="H110" s="63">
        <v>0</v>
      </c>
      <c r="J110" s="57"/>
    </row>
    <row r="111" spans="1:10" x14ac:dyDescent="0.3">
      <c r="A111" s="8" t="s">
        <v>3560</v>
      </c>
      <c r="B111" s="8">
        <v>1503050</v>
      </c>
      <c r="C111" s="8">
        <v>3.7</v>
      </c>
      <c r="D111" s="152" t="s">
        <v>2646</v>
      </c>
      <c r="E111" s="59">
        <v>6</v>
      </c>
      <c r="F111" s="56" t="s">
        <v>34</v>
      </c>
      <c r="G111" s="63">
        <f t="shared" si="16"/>
        <v>0</v>
      </c>
      <c r="H111" s="63">
        <v>0</v>
      </c>
      <c r="J111" s="57"/>
    </row>
    <row r="112" spans="1:10" x14ac:dyDescent="0.3">
      <c r="A112" s="13"/>
      <c r="B112" s="13"/>
      <c r="C112" s="13"/>
      <c r="D112" s="153" t="s">
        <v>3563</v>
      </c>
      <c r="E112" s="59">
        <v>6</v>
      </c>
      <c r="F112" s="56" t="s">
        <v>34</v>
      </c>
      <c r="G112" s="63">
        <f t="shared" si="16"/>
        <v>0</v>
      </c>
      <c r="H112" s="63">
        <v>0</v>
      </c>
      <c r="J112" s="57"/>
    </row>
    <row r="113" spans="1:10" x14ac:dyDescent="0.3">
      <c r="A113" s="13" t="s">
        <v>3561</v>
      </c>
      <c r="B113" s="147">
        <v>1503050</v>
      </c>
      <c r="C113" s="156"/>
      <c r="D113" s="197" t="s">
        <v>2649</v>
      </c>
      <c r="E113" s="59"/>
      <c r="F113" s="56"/>
      <c r="G113" s="63"/>
      <c r="H113" s="63"/>
      <c r="J113" s="57"/>
    </row>
    <row r="114" spans="1:10" x14ac:dyDescent="0.3">
      <c r="A114" s="8" t="s">
        <v>3562</v>
      </c>
      <c r="B114" s="8">
        <v>1503050</v>
      </c>
      <c r="C114" s="149">
        <v>3.1</v>
      </c>
      <c r="D114" s="150" t="s">
        <v>2651</v>
      </c>
      <c r="E114" s="59">
        <v>6</v>
      </c>
      <c r="F114" s="56" t="s">
        <v>34</v>
      </c>
      <c r="G114" s="63">
        <f t="shared" ref="G114" si="17">SUM(G106:G113)</f>
        <v>0</v>
      </c>
      <c r="H114" s="63">
        <f>SUM(H104:H113)</f>
        <v>0</v>
      </c>
      <c r="J114" s="57"/>
    </row>
    <row r="115" spans="1:10" x14ac:dyDescent="0.3">
      <c r="A115" s="8" t="s">
        <v>3564</v>
      </c>
      <c r="B115" s="8">
        <v>1503050</v>
      </c>
      <c r="C115" s="8">
        <v>3.1</v>
      </c>
      <c r="D115" s="151" t="s">
        <v>2653</v>
      </c>
      <c r="E115" s="59">
        <v>6</v>
      </c>
      <c r="F115" s="59" t="s">
        <v>34</v>
      </c>
      <c r="G115" s="63">
        <v>0</v>
      </c>
      <c r="H115" s="63">
        <v>0</v>
      </c>
      <c r="J115" s="57"/>
    </row>
    <row r="116" spans="1:10" x14ac:dyDescent="0.3">
      <c r="A116" s="8" t="s">
        <v>3565</v>
      </c>
      <c r="B116" s="8">
        <v>1503050</v>
      </c>
      <c r="C116" s="8">
        <v>3.1</v>
      </c>
      <c r="D116" s="151" t="s">
        <v>2655</v>
      </c>
      <c r="E116" s="59">
        <v>6</v>
      </c>
      <c r="F116" s="56" t="s">
        <v>34</v>
      </c>
      <c r="G116" s="63">
        <f t="shared" ref="G116:G122" si="18">H116/E116</f>
        <v>0</v>
      </c>
      <c r="H116" s="63">
        <v>0</v>
      </c>
      <c r="J116" s="57"/>
    </row>
    <row r="117" spans="1:10" x14ac:dyDescent="0.3">
      <c r="A117" s="8" t="s">
        <v>3566</v>
      </c>
      <c r="B117" s="8">
        <v>1503050</v>
      </c>
      <c r="C117" s="8">
        <v>3.2</v>
      </c>
      <c r="D117" s="60" t="s">
        <v>2657</v>
      </c>
      <c r="E117" s="59">
        <v>6</v>
      </c>
      <c r="F117" s="56" t="s">
        <v>34</v>
      </c>
      <c r="G117" s="63">
        <f t="shared" si="18"/>
        <v>0</v>
      </c>
      <c r="H117" s="63">
        <v>0</v>
      </c>
      <c r="J117" s="57"/>
    </row>
    <row r="118" spans="1:10" x14ac:dyDescent="0.3">
      <c r="A118" s="8" t="s">
        <v>3567</v>
      </c>
      <c r="B118" s="8">
        <v>1503050</v>
      </c>
      <c r="C118" s="8">
        <v>3.3</v>
      </c>
      <c r="D118" s="9" t="s">
        <v>2659</v>
      </c>
      <c r="E118" s="59">
        <v>6</v>
      </c>
      <c r="F118" s="56" t="s">
        <v>34</v>
      </c>
      <c r="G118" s="63">
        <f t="shared" si="18"/>
        <v>0</v>
      </c>
      <c r="H118" s="63">
        <v>0</v>
      </c>
      <c r="J118" s="57"/>
    </row>
    <row r="119" spans="1:10" x14ac:dyDescent="0.3">
      <c r="A119" s="8" t="s">
        <v>3568</v>
      </c>
      <c r="B119" s="8">
        <v>1503050</v>
      </c>
      <c r="C119" s="8">
        <v>3.5</v>
      </c>
      <c r="D119" s="9" t="s">
        <v>2661</v>
      </c>
      <c r="E119" s="59">
        <v>6</v>
      </c>
      <c r="F119" s="56" t="s">
        <v>34</v>
      </c>
      <c r="G119" s="63">
        <f t="shared" si="18"/>
        <v>0</v>
      </c>
      <c r="H119" s="63">
        <v>0</v>
      </c>
      <c r="J119" s="57"/>
    </row>
    <row r="120" spans="1:10" x14ac:dyDescent="0.3">
      <c r="A120" s="8" t="s">
        <v>3569</v>
      </c>
      <c r="B120" s="8">
        <v>1503050</v>
      </c>
      <c r="C120" s="8">
        <v>3.6</v>
      </c>
      <c r="D120" s="9" t="s">
        <v>2663</v>
      </c>
      <c r="E120" s="59">
        <v>6</v>
      </c>
      <c r="F120" s="56" t="s">
        <v>34</v>
      </c>
      <c r="G120" s="63">
        <f t="shared" si="18"/>
        <v>0</v>
      </c>
      <c r="H120" s="63">
        <v>0</v>
      </c>
      <c r="J120" s="57"/>
    </row>
    <row r="121" spans="1:10" x14ac:dyDescent="0.3">
      <c r="A121" s="8" t="s">
        <v>3570</v>
      </c>
      <c r="B121" s="8">
        <v>1503050</v>
      </c>
      <c r="C121" s="8">
        <v>3.7</v>
      </c>
      <c r="D121" s="152" t="s">
        <v>2665</v>
      </c>
      <c r="E121" s="59">
        <v>6</v>
      </c>
      <c r="F121" s="56" t="s">
        <v>34</v>
      </c>
      <c r="G121" s="63">
        <f t="shared" si="18"/>
        <v>0</v>
      </c>
      <c r="H121" s="63">
        <v>0</v>
      </c>
      <c r="J121" s="57"/>
    </row>
    <row r="122" spans="1:10" x14ac:dyDescent="0.3">
      <c r="A122" s="13"/>
      <c r="B122" s="13"/>
      <c r="C122" s="13"/>
      <c r="D122" s="153" t="s">
        <v>3571</v>
      </c>
      <c r="E122" s="59">
        <v>6</v>
      </c>
      <c r="F122" s="56" t="s">
        <v>34</v>
      </c>
      <c r="G122" s="63">
        <f t="shared" si="18"/>
        <v>0</v>
      </c>
      <c r="H122" s="63">
        <v>0</v>
      </c>
      <c r="J122" s="57"/>
    </row>
    <row r="123" spans="1:10" x14ac:dyDescent="0.3">
      <c r="A123" s="13" t="s">
        <v>3572</v>
      </c>
      <c r="B123" s="147">
        <v>1503050</v>
      </c>
      <c r="C123" s="156"/>
      <c r="D123" s="197" t="s">
        <v>2668</v>
      </c>
      <c r="E123" s="59"/>
      <c r="F123" s="56"/>
      <c r="G123" s="63"/>
      <c r="H123" s="63"/>
      <c r="J123" s="57"/>
    </row>
    <row r="124" spans="1:10" x14ac:dyDescent="0.3">
      <c r="A124" s="8" t="s">
        <v>3573</v>
      </c>
      <c r="B124" s="8">
        <v>1503050</v>
      </c>
      <c r="C124" s="149">
        <v>3.1</v>
      </c>
      <c r="D124" s="150" t="s">
        <v>2670</v>
      </c>
      <c r="E124" s="59">
        <v>6</v>
      </c>
      <c r="F124" s="56" t="s">
        <v>34</v>
      </c>
      <c r="G124" s="63">
        <f t="shared" ref="G124" si="19">SUM(G116:G123)</f>
        <v>0</v>
      </c>
      <c r="H124" s="63">
        <f>SUM(H115:H123)</f>
        <v>0</v>
      </c>
      <c r="J124" s="57"/>
    </row>
    <row r="125" spans="1:10" ht="12.75" customHeight="1" x14ac:dyDescent="0.3">
      <c r="A125" s="8" t="s">
        <v>3574</v>
      </c>
      <c r="B125" s="8">
        <v>1503050</v>
      </c>
      <c r="C125" s="8">
        <v>3.1</v>
      </c>
      <c r="D125" s="151" t="s">
        <v>2672</v>
      </c>
      <c r="E125" s="59">
        <v>6</v>
      </c>
      <c r="F125" s="59" t="s">
        <v>34</v>
      </c>
      <c r="G125" s="63">
        <v>0</v>
      </c>
      <c r="H125" s="63">
        <v>0</v>
      </c>
      <c r="J125" s="57"/>
    </row>
    <row r="126" spans="1:10" x14ac:dyDescent="0.3">
      <c r="A126" s="8" t="s">
        <v>3575</v>
      </c>
      <c r="B126" s="8">
        <v>1503050</v>
      </c>
      <c r="C126" s="8">
        <v>3.1</v>
      </c>
      <c r="D126" s="151" t="s">
        <v>2674</v>
      </c>
      <c r="E126" s="59">
        <v>6</v>
      </c>
      <c r="F126" s="56" t="s">
        <v>34</v>
      </c>
      <c r="G126" s="63">
        <f t="shared" ref="G126:G132" si="20">H126/E126</f>
        <v>0</v>
      </c>
      <c r="H126" s="63">
        <v>0</v>
      </c>
      <c r="J126" s="57"/>
    </row>
    <row r="127" spans="1:10" x14ac:dyDescent="0.3">
      <c r="A127" s="8" t="s">
        <v>3576</v>
      </c>
      <c r="B127" s="8">
        <v>1503050</v>
      </c>
      <c r="C127" s="8">
        <v>3.2</v>
      </c>
      <c r="D127" s="60" t="s">
        <v>2676</v>
      </c>
      <c r="E127" s="59">
        <v>6</v>
      </c>
      <c r="F127" s="56" t="s">
        <v>34</v>
      </c>
      <c r="G127" s="63">
        <f t="shared" si="20"/>
        <v>0</v>
      </c>
      <c r="H127" s="63">
        <v>0</v>
      </c>
      <c r="J127" s="57"/>
    </row>
    <row r="128" spans="1:10" x14ac:dyDescent="0.3">
      <c r="A128" s="8" t="s">
        <v>3577</v>
      </c>
      <c r="B128" s="8">
        <v>1503050</v>
      </c>
      <c r="C128" s="8">
        <v>3.3</v>
      </c>
      <c r="D128" s="9" t="s">
        <v>2678</v>
      </c>
      <c r="E128" s="59">
        <v>6</v>
      </c>
      <c r="F128" s="56" t="s">
        <v>34</v>
      </c>
      <c r="G128" s="63">
        <f t="shared" si="20"/>
        <v>0</v>
      </c>
      <c r="H128" s="63">
        <v>0</v>
      </c>
      <c r="J128" s="57"/>
    </row>
    <row r="129" spans="1:10" ht="12.75" customHeight="1" x14ac:dyDescent="0.3">
      <c r="A129" s="8" t="s">
        <v>3578</v>
      </c>
      <c r="B129" s="8">
        <v>1503050</v>
      </c>
      <c r="C129" s="8">
        <v>3.5</v>
      </c>
      <c r="D129" s="9" t="s">
        <v>2680</v>
      </c>
      <c r="E129" s="59">
        <v>6</v>
      </c>
      <c r="F129" s="56" t="s">
        <v>34</v>
      </c>
      <c r="G129" s="63">
        <f t="shared" si="20"/>
        <v>0</v>
      </c>
      <c r="H129" s="63">
        <v>0</v>
      </c>
      <c r="J129" s="57"/>
    </row>
    <row r="130" spans="1:10" x14ac:dyDescent="0.3">
      <c r="A130" s="8" t="s">
        <v>3579</v>
      </c>
      <c r="B130" s="8">
        <v>1503050</v>
      </c>
      <c r="C130" s="8">
        <v>3.6</v>
      </c>
      <c r="D130" s="9" t="s">
        <v>2682</v>
      </c>
      <c r="E130" s="59">
        <v>6</v>
      </c>
      <c r="F130" s="56" t="s">
        <v>34</v>
      </c>
      <c r="G130" s="63">
        <f t="shared" si="20"/>
        <v>0</v>
      </c>
      <c r="H130" s="63">
        <v>0</v>
      </c>
      <c r="J130" s="57"/>
    </row>
    <row r="131" spans="1:10" x14ac:dyDescent="0.3">
      <c r="A131" s="8" t="s">
        <v>3580</v>
      </c>
      <c r="B131" s="8">
        <v>1503050</v>
      </c>
      <c r="C131" s="8">
        <v>3.7</v>
      </c>
      <c r="D131" s="152" t="s">
        <v>2684</v>
      </c>
      <c r="E131" s="59">
        <v>6</v>
      </c>
      <c r="F131" s="56" t="s">
        <v>34</v>
      </c>
      <c r="G131" s="63">
        <f t="shared" si="20"/>
        <v>0</v>
      </c>
      <c r="H131" s="63">
        <v>0</v>
      </c>
      <c r="J131" s="57"/>
    </row>
    <row r="132" spans="1:10" x14ac:dyDescent="0.3">
      <c r="A132" s="13"/>
      <c r="B132" s="13"/>
      <c r="C132" s="13"/>
      <c r="D132" s="153" t="s">
        <v>3581</v>
      </c>
      <c r="E132" s="59">
        <v>6</v>
      </c>
      <c r="F132" s="56" t="s">
        <v>34</v>
      </c>
      <c r="G132" s="63">
        <f t="shared" si="20"/>
        <v>0</v>
      </c>
      <c r="H132" s="63">
        <v>0</v>
      </c>
      <c r="J132" s="57"/>
    </row>
    <row r="133" spans="1:10" x14ac:dyDescent="0.3">
      <c r="A133" s="13" t="s">
        <v>3582</v>
      </c>
      <c r="B133" s="147">
        <v>1503050</v>
      </c>
      <c r="C133" s="156"/>
      <c r="D133" s="197" t="s">
        <v>2687</v>
      </c>
      <c r="E133" s="59">
        <v>6</v>
      </c>
      <c r="F133" s="56"/>
      <c r="G133" s="63"/>
      <c r="H133" s="63"/>
      <c r="J133" s="57"/>
    </row>
    <row r="134" spans="1:10" x14ac:dyDescent="0.3">
      <c r="A134" s="8" t="s">
        <v>3583</v>
      </c>
      <c r="B134" s="8">
        <v>1503050</v>
      </c>
      <c r="C134" s="149">
        <v>3.1</v>
      </c>
      <c r="D134" s="150" t="s">
        <v>2689</v>
      </c>
      <c r="E134" s="59">
        <v>6</v>
      </c>
      <c r="F134" s="56" t="s">
        <v>34</v>
      </c>
      <c r="G134" s="63">
        <f t="shared" ref="G134" si="21">SUM(G126:G133)</f>
        <v>0</v>
      </c>
      <c r="H134" s="63">
        <f>SUM(H125:H133)</f>
        <v>0</v>
      </c>
      <c r="J134" s="57"/>
    </row>
    <row r="135" spans="1:10" x14ac:dyDescent="0.3">
      <c r="A135" s="8" t="s">
        <v>3584</v>
      </c>
      <c r="B135" s="8">
        <v>1503050</v>
      </c>
      <c r="C135" s="8">
        <v>3.1</v>
      </c>
      <c r="D135" s="151" t="s">
        <v>2691</v>
      </c>
      <c r="E135" s="59">
        <v>6</v>
      </c>
      <c r="F135" s="59" t="s">
        <v>34</v>
      </c>
      <c r="G135" s="63">
        <v>0</v>
      </c>
      <c r="H135" s="63">
        <v>0</v>
      </c>
      <c r="J135" s="57"/>
    </row>
    <row r="136" spans="1:10" x14ac:dyDescent="0.3">
      <c r="A136" s="8" t="s">
        <v>3585</v>
      </c>
      <c r="B136" s="8">
        <v>1503050</v>
      </c>
      <c r="C136" s="8">
        <v>3.1</v>
      </c>
      <c r="D136" s="151" t="s">
        <v>2693</v>
      </c>
      <c r="E136" s="59">
        <v>6</v>
      </c>
      <c r="F136" s="56" t="s">
        <v>34</v>
      </c>
      <c r="G136" s="63">
        <f t="shared" ref="G136:G143" si="22">H136/E136</f>
        <v>0</v>
      </c>
      <c r="H136" s="63">
        <v>0</v>
      </c>
      <c r="J136" s="57"/>
    </row>
    <row r="137" spans="1:10" x14ac:dyDescent="0.3">
      <c r="A137" s="8" t="s">
        <v>3586</v>
      </c>
      <c r="B137" s="8">
        <v>1503050</v>
      </c>
      <c r="C137" s="8">
        <v>3.2</v>
      </c>
      <c r="D137" s="60" t="s">
        <v>2695</v>
      </c>
      <c r="E137" s="59">
        <v>6</v>
      </c>
      <c r="F137" s="56" t="s">
        <v>34</v>
      </c>
      <c r="G137" s="63">
        <f t="shared" si="22"/>
        <v>0</v>
      </c>
      <c r="H137" s="63">
        <v>0</v>
      </c>
      <c r="J137" s="57"/>
    </row>
    <row r="138" spans="1:10" x14ac:dyDescent="0.3">
      <c r="A138" s="8" t="s">
        <v>3587</v>
      </c>
      <c r="B138" s="8">
        <v>1503050</v>
      </c>
      <c r="C138" s="8">
        <v>3.3</v>
      </c>
      <c r="D138" s="9" t="s">
        <v>2697</v>
      </c>
      <c r="E138" s="59">
        <v>6</v>
      </c>
      <c r="F138" s="56" t="s">
        <v>34</v>
      </c>
      <c r="G138" s="63">
        <f t="shared" si="22"/>
        <v>0</v>
      </c>
      <c r="H138" s="63">
        <v>0</v>
      </c>
      <c r="J138" s="57"/>
    </row>
    <row r="139" spans="1:10" x14ac:dyDescent="0.3">
      <c r="A139" s="8" t="s">
        <v>3588</v>
      </c>
      <c r="B139" s="8">
        <v>1503050</v>
      </c>
      <c r="C139" s="8">
        <v>3.5</v>
      </c>
      <c r="D139" s="9" t="s">
        <v>2699</v>
      </c>
      <c r="E139" s="59">
        <v>6</v>
      </c>
      <c r="F139" s="56" t="s">
        <v>34</v>
      </c>
      <c r="G139" s="63">
        <f t="shared" si="22"/>
        <v>0</v>
      </c>
      <c r="H139" s="63">
        <v>0</v>
      </c>
      <c r="J139" s="57"/>
    </row>
    <row r="140" spans="1:10" x14ac:dyDescent="0.3">
      <c r="A140" s="8" t="s">
        <v>3589</v>
      </c>
      <c r="B140" s="8">
        <v>1503050</v>
      </c>
      <c r="C140" s="8">
        <v>3.6</v>
      </c>
      <c r="D140" s="9" t="s">
        <v>2701</v>
      </c>
      <c r="E140" s="59">
        <v>6</v>
      </c>
      <c r="F140" s="56" t="s">
        <v>34</v>
      </c>
      <c r="G140" s="63">
        <f t="shared" si="22"/>
        <v>0</v>
      </c>
      <c r="H140" s="63">
        <v>0</v>
      </c>
      <c r="J140" s="57"/>
    </row>
    <row r="141" spans="1:10" x14ac:dyDescent="0.3">
      <c r="A141" s="157" t="s">
        <v>3590</v>
      </c>
      <c r="B141" s="157">
        <v>1503050</v>
      </c>
      <c r="C141" s="157">
        <v>3.7</v>
      </c>
      <c r="D141" s="158" t="s">
        <v>2703</v>
      </c>
      <c r="E141" s="59">
        <v>6</v>
      </c>
      <c r="F141" s="56" t="s">
        <v>34</v>
      </c>
      <c r="G141" s="63">
        <f t="shared" si="22"/>
        <v>0</v>
      </c>
      <c r="H141" s="63">
        <v>0</v>
      </c>
      <c r="J141" s="57"/>
    </row>
    <row r="142" spans="1:10" x14ac:dyDescent="0.3">
      <c r="A142" s="156"/>
      <c r="B142" s="156"/>
      <c r="C142" s="156"/>
      <c r="D142" s="159" t="s">
        <v>3591</v>
      </c>
      <c r="E142" s="59">
        <v>6</v>
      </c>
      <c r="F142" s="56" t="s">
        <v>34</v>
      </c>
      <c r="G142" s="63">
        <f t="shared" si="22"/>
        <v>0</v>
      </c>
      <c r="H142" s="63">
        <v>0</v>
      </c>
      <c r="J142" s="57"/>
    </row>
    <row r="143" spans="1:10" x14ac:dyDescent="0.3">
      <c r="A143" s="156" t="s">
        <v>2069</v>
      </c>
      <c r="B143" s="156">
        <v>1503050</v>
      </c>
      <c r="C143" s="156" t="s">
        <v>14</v>
      </c>
      <c r="D143" s="159" t="s">
        <v>2705</v>
      </c>
      <c r="E143" s="193">
        <v>6</v>
      </c>
      <c r="F143" s="189" t="s">
        <v>34</v>
      </c>
      <c r="G143" s="190">
        <f t="shared" si="22"/>
        <v>0</v>
      </c>
      <c r="H143" s="63">
        <v>0</v>
      </c>
      <c r="J143" s="57"/>
    </row>
    <row r="144" spans="1:10" x14ac:dyDescent="0.3">
      <c r="A144" s="156" t="s">
        <v>2070</v>
      </c>
      <c r="B144" s="156">
        <v>1503050</v>
      </c>
      <c r="C144" s="156"/>
      <c r="D144" s="197" t="s">
        <v>2708</v>
      </c>
      <c r="E144" s="59"/>
      <c r="F144" s="56"/>
      <c r="G144" s="63"/>
      <c r="H144" s="63"/>
      <c r="J144" s="57"/>
    </row>
    <row r="145" spans="1:10" ht="12.75" customHeight="1" x14ac:dyDescent="0.3">
      <c r="A145" s="160" t="s">
        <v>3592</v>
      </c>
      <c r="B145" s="160">
        <v>1503050</v>
      </c>
      <c r="C145" s="161"/>
      <c r="D145" s="198" t="s">
        <v>2710</v>
      </c>
      <c r="E145" s="56"/>
      <c r="F145" s="56"/>
      <c r="G145" s="63"/>
      <c r="H145" s="63"/>
      <c r="J145" s="57"/>
    </row>
    <row r="146" spans="1:10" x14ac:dyDescent="0.3">
      <c r="A146" s="8" t="s">
        <v>3593</v>
      </c>
      <c r="B146" s="8">
        <v>1503050</v>
      </c>
      <c r="C146" s="8">
        <v>3.1</v>
      </c>
      <c r="D146" s="150" t="s">
        <v>2712</v>
      </c>
      <c r="E146" s="194">
        <v>6</v>
      </c>
      <c r="F146" s="195" t="s">
        <v>34</v>
      </c>
      <c r="G146" s="196">
        <f t="shared" ref="G146:G153" si="23">H146/E146</f>
        <v>0</v>
      </c>
      <c r="H146" s="63">
        <v>0</v>
      </c>
      <c r="J146" s="57"/>
    </row>
    <row r="147" spans="1:10" x14ac:dyDescent="0.3">
      <c r="A147" s="8" t="s">
        <v>3594</v>
      </c>
      <c r="B147" s="8">
        <v>1503050</v>
      </c>
      <c r="C147" s="8">
        <v>3.1</v>
      </c>
      <c r="D147" s="151" t="s">
        <v>2714</v>
      </c>
      <c r="E147" s="59">
        <v>6</v>
      </c>
      <c r="F147" s="56" t="s">
        <v>34</v>
      </c>
      <c r="G147" s="63">
        <f t="shared" si="23"/>
        <v>0</v>
      </c>
      <c r="H147" s="63">
        <v>0</v>
      </c>
      <c r="J147" s="57"/>
    </row>
    <row r="148" spans="1:10" x14ac:dyDescent="0.3">
      <c r="A148" s="8" t="s">
        <v>3595</v>
      </c>
      <c r="B148" s="8">
        <v>1503050</v>
      </c>
      <c r="C148" s="8">
        <v>3.1</v>
      </c>
      <c r="D148" s="162" t="s">
        <v>2716</v>
      </c>
      <c r="E148" s="59">
        <v>6</v>
      </c>
      <c r="F148" s="56" t="s">
        <v>34</v>
      </c>
      <c r="G148" s="63">
        <f t="shared" si="23"/>
        <v>0</v>
      </c>
      <c r="H148" s="63">
        <v>0</v>
      </c>
      <c r="J148" s="57"/>
    </row>
    <row r="149" spans="1:10" ht="12.75" customHeight="1" x14ac:dyDescent="0.3">
      <c r="A149" s="8" t="s">
        <v>3596</v>
      </c>
      <c r="B149" s="8">
        <v>1503050</v>
      </c>
      <c r="C149" s="8">
        <v>3.2</v>
      </c>
      <c r="D149" s="60" t="s">
        <v>2718</v>
      </c>
      <c r="E149" s="59">
        <v>6</v>
      </c>
      <c r="F149" s="56" t="s">
        <v>34</v>
      </c>
      <c r="G149" s="63">
        <f t="shared" si="23"/>
        <v>0</v>
      </c>
      <c r="H149" s="63">
        <v>0</v>
      </c>
      <c r="J149" s="57"/>
    </row>
    <row r="150" spans="1:10" x14ac:dyDescent="0.3">
      <c r="A150" s="8" t="s">
        <v>3597</v>
      </c>
      <c r="B150" s="8">
        <v>1503050</v>
      </c>
      <c r="C150" s="8">
        <v>3.3</v>
      </c>
      <c r="D150" s="9" t="s">
        <v>2720</v>
      </c>
      <c r="E150" s="59">
        <v>6</v>
      </c>
      <c r="F150" s="56" t="s">
        <v>34</v>
      </c>
      <c r="G150" s="63">
        <f t="shared" si="23"/>
        <v>0</v>
      </c>
      <c r="H150" s="63">
        <v>0</v>
      </c>
      <c r="J150" s="57"/>
    </row>
    <row r="151" spans="1:10" x14ac:dyDescent="0.3">
      <c r="A151" s="8" t="s">
        <v>3598</v>
      </c>
      <c r="B151" s="8">
        <v>1503050</v>
      </c>
      <c r="C151" s="8">
        <v>3.5</v>
      </c>
      <c r="D151" s="9" t="s">
        <v>2722</v>
      </c>
      <c r="E151" s="59">
        <v>6</v>
      </c>
      <c r="F151" s="56" t="s">
        <v>34</v>
      </c>
      <c r="G151" s="63">
        <f t="shared" si="23"/>
        <v>0</v>
      </c>
      <c r="H151" s="63">
        <v>0</v>
      </c>
      <c r="J151" s="57"/>
    </row>
    <row r="152" spans="1:10" x14ac:dyDescent="0.3">
      <c r="A152" s="8" t="s">
        <v>3599</v>
      </c>
      <c r="B152" s="8">
        <v>1503050</v>
      </c>
      <c r="C152" s="8">
        <v>3.6</v>
      </c>
      <c r="D152" s="9" t="s">
        <v>2724</v>
      </c>
      <c r="E152" s="59">
        <v>6</v>
      </c>
      <c r="F152" s="56" t="s">
        <v>34</v>
      </c>
      <c r="G152" s="63">
        <f t="shared" si="23"/>
        <v>0</v>
      </c>
      <c r="H152" s="63">
        <v>0</v>
      </c>
      <c r="J152" s="57"/>
    </row>
    <row r="153" spans="1:10" x14ac:dyDescent="0.3">
      <c r="A153" s="8" t="s">
        <v>3600</v>
      </c>
      <c r="B153" s="8">
        <v>1503050</v>
      </c>
      <c r="C153" s="8">
        <v>3.7</v>
      </c>
      <c r="D153" s="152" t="s">
        <v>2726</v>
      </c>
      <c r="E153" s="59">
        <v>6</v>
      </c>
      <c r="F153" s="56" t="s">
        <v>34</v>
      </c>
      <c r="G153" s="63">
        <f t="shared" si="23"/>
        <v>0</v>
      </c>
      <c r="H153" s="63">
        <v>0</v>
      </c>
      <c r="J153" s="57"/>
    </row>
    <row r="154" spans="1:10" x14ac:dyDescent="0.3">
      <c r="A154" s="13"/>
      <c r="B154" s="13"/>
      <c r="C154" s="13"/>
      <c r="D154" s="153" t="s">
        <v>3601</v>
      </c>
      <c r="E154" s="193">
        <v>6</v>
      </c>
      <c r="F154" s="189" t="s">
        <v>34</v>
      </c>
      <c r="G154" s="190">
        <f t="shared" ref="G154:H154" si="24">SUM(G146:G153)</f>
        <v>0</v>
      </c>
      <c r="H154" s="190">
        <f t="shared" si="24"/>
        <v>0</v>
      </c>
      <c r="J154" s="57"/>
    </row>
    <row r="155" spans="1:10" x14ac:dyDescent="0.3">
      <c r="A155" s="160" t="s">
        <v>3602</v>
      </c>
      <c r="B155" s="160">
        <v>1503050</v>
      </c>
      <c r="C155" s="161"/>
      <c r="D155" s="198" t="s">
        <v>2728</v>
      </c>
      <c r="E155" s="56"/>
      <c r="F155" s="56"/>
      <c r="G155" s="63"/>
      <c r="H155" s="63"/>
      <c r="J155" s="57"/>
    </row>
    <row r="156" spans="1:10" x14ac:dyDescent="0.3">
      <c r="A156" s="8" t="s">
        <v>3602</v>
      </c>
      <c r="B156" s="8">
        <v>1503050</v>
      </c>
      <c r="C156" s="8">
        <v>3.1</v>
      </c>
      <c r="D156" s="150" t="s">
        <v>2730</v>
      </c>
      <c r="E156" s="194">
        <v>6</v>
      </c>
      <c r="F156" s="195" t="s">
        <v>34</v>
      </c>
      <c r="G156" s="196">
        <f t="shared" ref="G156:G163" si="25">H156/E156</f>
        <v>0</v>
      </c>
      <c r="H156" s="196">
        <v>0</v>
      </c>
      <c r="J156" s="57"/>
    </row>
    <row r="157" spans="1:10" x14ac:dyDescent="0.3">
      <c r="A157" s="8" t="s">
        <v>3603</v>
      </c>
      <c r="B157" s="8">
        <v>1503050</v>
      </c>
      <c r="C157" s="8">
        <v>3.1</v>
      </c>
      <c r="D157" s="151" t="s">
        <v>2732</v>
      </c>
      <c r="E157" s="59">
        <v>6</v>
      </c>
      <c r="F157" s="56" t="s">
        <v>34</v>
      </c>
      <c r="G157" s="63">
        <f t="shared" si="25"/>
        <v>0</v>
      </c>
      <c r="H157" s="63">
        <v>0</v>
      </c>
      <c r="J157" s="57"/>
    </row>
    <row r="158" spans="1:10" x14ac:dyDescent="0.3">
      <c r="A158" s="8" t="s">
        <v>3604</v>
      </c>
      <c r="B158" s="8">
        <v>1503050</v>
      </c>
      <c r="C158" s="8">
        <v>3.1</v>
      </c>
      <c r="D158" s="162" t="s">
        <v>2734</v>
      </c>
      <c r="E158" s="59">
        <v>6</v>
      </c>
      <c r="F158" s="56" t="s">
        <v>34</v>
      </c>
      <c r="G158" s="63">
        <f t="shared" si="25"/>
        <v>0</v>
      </c>
      <c r="H158" s="63">
        <v>0</v>
      </c>
      <c r="J158" s="57"/>
    </row>
    <row r="159" spans="1:10" x14ac:dyDescent="0.3">
      <c r="A159" s="8" t="s">
        <v>3605</v>
      </c>
      <c r="B159" s="8">
        <v>1503050</v>
      </c>
      <c r="C159" s="8">
        <v>3.2</v>
      </c>
      <c r="D159" s="60" t="s">
        <v>2736</v>
      </c>
      <c r="E159" s="59">
        <v>6</v>
      </c>
      <c r="F159" s="56" t="s">
        <v>34</v>
      </c>
      <c r="G159" s="63">
        <f t="shared" si="25"/>
        <v>0</v>
      </c>
      <c r="H159" s="63">
        <v>0</v>
      </c>
      <c r="J159" s="57"/>
    </row>
    <row r="160" spans="1:10" x14ac:dyDescent="0.3">
      <c r="A160" s="8" t="s">
        <v>3606</v>
      </c>
      <c r="B160" s="8">
        <v>1503050</v>
      </c>
      <c r="C160" s="8">
        <v>3.3</v>
      </c>
      <c r="D160" s="9" t="s">
        <v>2738</v>
      </c>
      <c r="E160" s="59">
        <v>6</v>
      </c>
      <c r="F160" s="56" t="s">
        <v>34</v>
      </c>
      <c r="G160" s="63">
        <f t="shared" si="25"/>
        <v>0</v>
      </c>
      <c r="H160" s="63">
        <v>0</v>
      </c>
      <c r="J160" s="57"/>
    </row>
    <row r="161" spans="1:10" x14ac:dyDescent="0.3">
      <c r="A161" s="8" t="s">
        <v>3607</v>
      </c>
      <c r="B161" s="8">
        <v>1503050</v>
      </c>
      <c r="C161" s="8">
        <v>3.5</v>
      </c>
      <c r="D161" s="9" t="s">
        <v>2740</v>
      </c>
      <c r="E161" s="59">
        <v>6</v>
      </c>
      <c r="F161" s="56" t="s">
        <v>34</v>
      </c>
      <c r="G161" s="63">
        <f t="shared" si="25"/>
        <v>0</v>
      </c>
      <c r="H161" s="63">
        <v>0</v>
      </c>
      <c r="J161" s="57"/>
    </row>
    <row r="162" spans="1:10" x14ac:dyDescent="0.3">
      <c r="A162" s="8" t="s">
        <v>3608</v>
      </c>
      <c r="B162" s="8">
        <v>1503050</v>
      </c>
      <c r="C162" s="8">
        <v>3.6</v>
      </c>
      <c r="D162" s="9" t="s">
        <v>2742</v>
      </c>
      <c r="E162" s="59">
        <v>6</v>
      </c>
      <c r="F162" s="56" t="s">
        <v>34</v>
      </c>
      <c r="G162" s="63">
        <f t="shared" si="25"/>
        <v>0</v>
      </c>
      <c r="H162" s="63">
        <v>0</v>
      </c>
      <c r="J162" s="57"/>
    </row>
    <row r="163" spans="1:10" x14ac:dyDescent="0.3">
      <c r="A163" s="8" t="s">
        <v>3609</v>
      </c>
      <c r="B163" s="8">
        <v>1503050</v>
      </c>
      <c r="C163" s="8">
        <v>3.7</v>
      </c>
      <c r="D163" s="152" t="s">
        <v>2744</v>
      </c>
      <c r="E163" s="59">
        <v>6</v>
      </c>
      <c r="F163" s="56" t="s">
        <v>34</v>
      </c>
      <c r="G163" s="63">
        <f t="shared" si="25"/>
        <v>0</v>
      </c>
      <c r="H163" s="63">
        <v>0</v>
      </c>
      <c r="J163" s="57"/>
    </row>
    <row r="164" spans="1:10" x14ac:dyDescent="0.3">
      <c r="A164" s="13"/>
      <c r="B164" s="13"/>
      <c r="C164" s="13"/>
      <c r="D164" s="153" t="s">
        <v>3610</v>
      </c>
      <c r="E164" s="193">
        <v>6</v>
      </c>
      <c r="F164" s="189" t="s">
        <v>34</v>
      </c>
      <c r="G164" s="190">
        <f t="shared" ref="G164:H164" si="26">SUM(G156:G163)</f>
        <v>0</v>
      </c>
      <c r="H164" s="63">
        <f t="shared" si="26"/>
        <v>0</v>
      </c>
      <c r="J164" s="57"/>
    </row>
    <row r="165" spans="1:10" ht="12.75" customHeight="1" x14ac:dyDescent="0.3">
      <c r="A165" s="160" t="s">
        <v>3611</v>
      </c>
      <c r="B165" s="160">
        <v>1503050</v>
      </c>
      <c r="C165" s="161"/>
      <c r="D165" s="198" t="s">
        <v>2868</v>
      </c>
      <c r="E165" s="56"/>
      <c r="F165" s="56"/>
      <c r="G165" s="63"/>
      <c r="H165" s="63"/>
      <c r="J165" s="57"/>
    </row>
    <row r="166" spans="1:10" x14ac:dyDescent="0.3">
      <c r="A166" s="8" t="s">
        <v>3612</v>
      </c>
      <c r="B166" s="8">
        <v>1503050</v>
      </c>
      <c r="C166" s="8">
        <v>3.1</v>
      </c>
      <c r="D166" s="150" t="s">
        <v>2748</v>
      </c>
      <c r="E166" s="194">
        <v>6</v>
      </c>
      <c r="F166" s="195" t="s">
        <v>34</v>
      </c>
      <c r="G166" s="196">
        <f t="shared" ref="G166:G173" si="27">H166/E166</f>
        <v>0</v>
      </c>
      <c r="H166" s="63">
        <v>0</v>
      </c>
      <c r="J166" s="57"/>
    </row>
    <row r="167" spans="1:10" x14ac:dyDescent="0.3">
      <c r="A167" s="8" t="s">
        <v>3613</v>
      </c>
      <c r="B167" s="8">
        <v>1503050</v>
      </c>
      <c r="C167" s="8">
        <v>3.1</v>
      </c>
      <c r="D167" s="151" t="s">
        <v>2750</v>
      </c>
      <c r="E167" s="59">
        <v>6</v>
      </c>
      <c r="F167" s="56" t="s">
        <v>34</v>
      </c>
      <c r="G167" s="63">
        <f t="shared" si="27"/>
        <v>0</v>
      </c>
      <c r="H167" s="63">
        <v>0</v>
      </c>
      <c r="J167" s="57"/>
    </row>
    <row r="168" spans="1:10" x14ac:dyDescent="0.3">
      <c r="A168" s="8" t="s">
        <v>3614</v>
      </c>
      <c r="B168" s="8">
        <v>1503050</v>
      </c>
      <c r="C168" s="8">
        <v>3.1</v>
      </c>
      <c r="D168" s="162" t="s">
        <v>2752</v>
      </c>
      <c r="E168" s="59">
        <v>6</v>
      </c>
      <c r="F168" s="56" t="s">
        <v>34</v>
      </c>
      <c r="G168" s="63">
        <f t="shared" si="27"/>
        <v>0</v>
      </c>
      <c r="H168" s="63">
        <v>0</v>
      </c>
      <c r="J168" s="57"/>
    </row>
    <row r="169" spans="1:10" ht="12.75" customHeight="1" x14ac:dyDescent="0.3">
      <c r="A169" s="8" t="s">
        <v>3615</v>
      </c>
      <c r="B169" s="8">
        <v>1503050</v>
      </c>
      <c r="C169" s="8">
        <v>3.2</v>
      </c>
      <c r="D169" s="60" t="s">
        <v>2754</v>
      </c>
      <c r="E169" s="59">
        <v>6</v>
      </c>
      <c r="F169" s="56" t="s">
        <v>34</v>
      </c>
      <c r="G169" s="63">
        <f t="shared" si="27"/>
        <v>0</v>
      </c>
      <c r="H169" s="63">
        <v>0</v>
      </c>
      <c r="J169" s="57"/>
    </row>
    <row r="170" spans="1:10" x14ac:dyDescent="0.3">
      <c r="A170" s="8" t="s">
        <v>3616</v>
      </c>
      <c r="B170" s="8">
        <v>1503050</v>
      </c>
      <c r="C170" s="8">
        <v>3.3</v>
      </c>
      <c r="D170" s="9" t="s">
        <v>2756</v>
      </c>
      <c r="E170" s="59">
        <v>6</v>
      </c>
      <c r="F170" s="56" t="s">
        <v>34</v>
      </c>
      <c r="G170" s="63">
        <f t="shared" si="27"/>
        <v>0</v>
      </c>
      <c r="H170" s="63">
        <v>0</v>
      </c>
      <c r="J170" s="57"/>
    </row>
    <row r="171" spans="1:10" x14ac:dyDescent="0.3">
      <c r="A171" s="8" t="s">
        <v>3617</v>
      </c>
      <c r="B171" s="8">
        <v>1503050</v>
      </c>
      <c r="C171" s="8">
        <v>3.5</v>
      </c>
      <c r="D171" s="9" t="s">
        <v>2758</v>
      </c>
      <c r="E171" s="59">
        <v>6</v>
      </c>
      <c r="F171" s="56" t="s">
        <v>34</v>
      </c>
      <c r="G171" s="63">
        <f t="shared" si="27"/>
        <v>0</v>
      </c>
      <c r="H171" s="63">
        <v>0</v>
      </c>
      <c r="J171" s="57"/>
    </row>
    <row r="172" spans="1:10" x14ac:dyDescent="0.3">
      <c r="A172" s="8" t="s">
        <v>3618</v>
      </c>
      <c r="B172" s="8">
        <v>1503050</v>
      </c>
      <c r="C172" s="8">
        <v>3.6</v>
      </c>
      <c r="D172" s="9" t="s">
        <v>2760</v>
      </c>
      <c r="E172" s="59">
        <v>6</v>
      </c>
      <c r="F172" s="56" t="s">
        <v>34</v>
      </c>
      <c r="G172" s="63">
        <f t="shared" si="27"/>
        <v>0</v>
      </c>
      <c r="H172" s="63">
        <v>0</v>
      </c>
      <c r="J172" s="57"/>
    </row>
    <row r="173" spans="1:10" x14ac:dyDescent="0.3">
      <c r="A173" s="8" t="s">
        <v>3619</v>
      </c>
      <c r="B173" s="8">
        <v>1503050</v>
      </c>
      <c r="C173" s="8">
        <v>3.7</v>
      </c>
      <c r="D173" s="152" t="s">
        <v>2762</v>
      </c>
      <c r="E173" s="59">
        <v>6</v>
      </c>
      <c r="F173" s="56" t="s">
        <v>34</v>
      </c>
      <c r="G173" s="63">
        <f t="shared" si="27"/>
        <v>0</v>
      </c>
      <c r="H173" s="63">
        <v>0</v>
      </c>
      <c r="J173" s="57"/>
    </row>
    <row r="174" spans="1:10" x14ac:dyDescent="0.3">
      <c r="A174" s="13"/>
      <c r="B174" s="13"/>
      <c r="C174" s="13"/>
      <c r="D174" s="153" t="s">
        <v>3620</v>
      </c>
      <c r="E174" s="193">
        <v>6</v>
      </c>
      <c r="F174" s="189" t="s">
        <v>34</v>
      </c>
      <c r="G174" s="190">
        <f t="shared" ref="G174:H174" si="28">SUM(G166:G173)</f>
        <v>0</v>
      </c>
      <c r="H174" s="63">
        <f t="shared" si="28"/>
        <v>0</v>
      </c>
      <c r="J174" s="57"/>
    </row>
    <row r="175" spans="1:10" x14ac:dyDescent="0.3">
      <c r="A175" s="160" t="s">
        <v>3621</v>
      </c>
      <c r="B175" s="160">
        <v>1503050</v>
      </c>
      <c r="C175" s="161"/>
      <c r="D175" s="198" t="s">
        <v>2765</v>
      </c>
      <c r="E175" s="59"/>
      <c r="F175" s="56"/>
      <c r="G175" s="63"/>
      <c r="H175" s="63"/>
      <c r="J175" s="57"/>
    </row>
    <row r="176" spans="1:10" x14ac:dyDescent="0.3">
      <c r="A176" s="8" t="s">
        <v>3622</v>
      </c>
      <c r="B176" s="8">
        <v>1503050</v>
      </c>
      <c r="C176" s="8">
        <v>3.1</v>
      </c>
      <c r="D176" s="150" t="s">
        <v>2767</v>
      </c>
      <c r="E176" s="194">
        <v>6</v>
      </c>
      <c r="F176" s="195" t="s">
        <v>34</v>
      </c>
      <c r="G176" s="196">
        <f t="shared" ref="G176:G183" si="29">H176/E176</f>
        <v>0</v>
      </c>
      <c r="H176" s="63">
        <v>0</v>
      </c>
      <c r="J176" s="57"/>
    </row>
    <row r="177" spans="1:10" x14ac:dyDescent="0.3">
      <c r="A177" s="8" t="s">
        <v>3623</v>
      </c>
      <c r="B177" s="8">
        <v>1503050</v>
      </c>
      <c r="C177" s="8">
        <v>3.1</v>
      </c>
      <c r="D177" s="151" t="s">
        <v>2769</v>
      </c>
      <c r="E177" s="59">
        <v>6</v>
      </c>
      <c r="F177" s="56" t="s">
        <v>34</v>
      </c>
      <c r="G177" s="63">
        <f t="shared" si="29"/>
        <v>0</v>
      </c>
      <c r="H177" s="63">
        <v>0</v>
      </c>
      <c r="J177" s="57"/>
    </row>
    <row r="178" spans="1:10" x14ac:dyDescent="0.3">
      <c r="A178" s="8" t="s">
        <v>3625</v>
      </c>
      <c r="B178" s="8">
        <v>1503050</v>
      </c>
      <c r="C178" s="8">
        <v>3.1</v>
      </c>
      <c r="D178" s="162" t="s">
        <v>2771</v>
      </c>
      <c r="E178" s="59">
        <v>6</v>
      </c>
      <c r="F178" s="56" t="s">
        <v>34</v>
      </c>
      <c r="G178" s="63">
        <f t="shared" si="29"/>
        <v>0</v>
      </c>
      <c r="H178" s="63">
        <v>0</v>
      </c>
      <c r="J178" s="57"/>
    </row>
    <row r="179" spans="1:10" x14ac:dyDescent="0.3">
      <c r="A179" s="8" t="s">
        <v>3624</v>
      </c>
      <c r="B179" s="8">
        <v>1503050</v>
      </c>
      <c r="C179" s="8">
        <v>3.2</v>
      </c>
      <c r="D179" s="60" t="s">
        <v>2773</v>
      </c>
      <c r="E179" s="59">
        <v>6</v>
      </c>
      <c r="F179" s="56" t="s">
        <v>34</v>
      </c>
      <c r="G179" s="63">
        <f t="shared" si="29"/>
        <v>0</v>
      </c>
      <c r="H179" s="63">
        <v>0</v>
      </c>
      <c r="J179" s="57"/>
    </row>
    <row r="180" spans="1:10" x14ac:dyDescent="0.3">
      <c r="A180" s="8" t="s">
        <v>3626</v>
      </c>
      <c r="B180" s="8">
        <v>1503050</v>
      </c>
      <c r="C180" s="8">
        <v>3.3</v>
      </c>
      <c r="D180" s="9" t="s">
        <v>2775</v>
      </c>
      <c r="E180" s="59">
        <v>6</v>
      </c>
      <c r="F180" s="56" t="s">
        <v>34</v>
      </c>
      <c r="G180" s="63">
        <f t="shared" si="29"/>
        <v>0</v>
      </c>
      <c r="H180" s="63">
        <v>0</v>
      </c>
      <c r="J180" s="57"/>
    </row>
    <row r="181" spans="1:10" x14ac:dyDescent="0.3">
      <c r="A181" s="8" t="s">
        <v>3627</v>
      </c>
      <c r="B181" s="8">
        <v>1503050</v>
      </c>
      <c r="C181" s="8">
        <v>3.5</v>
      </c>
      <c r="D181" s="9" t="s">
        <v>2777</v>
      </c>
      <c r="E181" s="59">
        <v>6</v>
      </c>
      <c r="F181" s="56" t="s">
        <v>34</v>
      </c>
      <c r="G181" s="63">
        <f t="shared" si="29"/>
        <v>0</v>
      </c>
      <c r="H181" s="63">
        <v>0</v>
      </c>
      <c r="J181" s="57"/>
    </row>
    <row r="182" spans="1:10" x14ac:dyDescent="0.3">
      <c r="A182" s="8" t="s">
        <v>3628</v>
      </c>
      <c r="B182" s="8">
        <v>1503050</v>
      </c>
      <c r="C182" s="8">
        <v>3.6</v>
      </c>
      <c r="D182" s="9" t="s">
        <v>2779</v>
      </c>
      <c r="E182" s="59">
        <v>6</v>
      </c>
      <c r="F182" s="56" t="s">
        <v>34</v>
      </c>
      <c r="G182" s="63">
        <f t="shared" si="29"/>
        <v>0</v>
      </c>
      <c r="H182" s="63">
        <v>0</v>
      </c>
      <c r="J182" s="57"/>
    </row>
    <row r="183" spans="1:10" x14ac:dyDescent="0.3">
      <c r="A183" s="8" t="s">
        <v>3629</v>
      </c>
      <c r="B183" s="8">
        <v>1503050</v>
      </c>
      <c r="C183" s="8">
        <v>3.7</v>
      </c>
      <c r="D183" s="152" t="s">
        <v>2781</v>
      </c>
      <c r="E183" s="59">
        <v>6</v>
      </c>
      <c r="F183" s="56" t="s">
        <v>34</v>
      </c>
      <c r="G183" s="63">
        <f t="shared" si="29"/>
        <v>0</v>
      </c>
      <c r="H183" s="63">
        <v>0</v>
      </c>
      <c r="J183" s="57"/>
    </row>
    <row r="184" spans="1:10" x14ac:dyDescent="0.3">
      <c r="A184" s="13"/>
      <c r="B184" s="13"/>
      <c r="C184" s="13"/>
      <c r="D184" s="153" t="s">
        <v>3630</v>
      </c>
      <c r="E184" s="59">
        <v>6</v>
      </c>
      <c r="F184" s="56" t="s">
        <v>34</v>
      </c>
      <c r="G184" s="63">
        <f t="shared" ref="G184:H184" si="30">SUM(G176:G183)</f>
        <v>0</v>
      </c>
      <c r="H184" s="63">
        <f t="shared" si="30"/>
        <v>0</v>
      </c>
      <c r="J184" s="57"/>
    </row>
    <row r="185" spans="1:10" x14ac:dyDescent="0.3">
      <c r="A185" s="13" t="s">
        <v>2070</v>
      </c>
      <c r="B185" s="13">
        <v>1503050</v>
      </c>
      <c r="C185" s="13" t="s">
        <v>14</v>
      </c>
      <c r="D185" s="153" t="s">
        <v>2783</v>
      </c>
      <c r="E185" s="193">
        <v>6</v>
      </c>
      <c r="F185" s="189" t="s">
        <v>34</v>
      </c>
      <c r="G185" s="190">
        <f>G184+G174+G164+G154+G144+G134+G124+G114</f>
        <v>0</v>
      </c>
      <c r="H185" s="63">
        <f>H184+H174+H164+H154+H144+H134+H124+H114</f>
        <v>0</v>
      </c>
      <c r="J185" s="57" t="s">
        <v>14</v>
      </c>
    </row>
    <row r="186" spans="1:10" x14ac:dyDescent="0.3">
      <c r="A186" s="13" t="s">
        <v>2071</v>
      </c>
      <c r="B186" s="13">
        <v>1503050</v>
      </c>
      <c r="C186" s="13" t="s">
        <v>14</v>
      </c>
      <c r="D186" s="199" t="s">
        <v>2784</v>
      </c>
      <c r="E186" s="56"/>
      <c r="F186" s="56"/>
      <c r="G186" s="63"/>
      <c r="H186" s="63"/>
      <c r="J186" s="57" t="s">
        <v>14</v>
      </c>
    </row>
    <row r="187" spans="1:10" ht="12.75" customHeight="1" x14ac:dyDescent="0.3">
      <c r="A187" s="13" t="s">
        <v>2072</v>
      </c>
      <c r="B187" s="13">
        <v>1503050</v>
      </c>
      <c r="C187" s="13"/>
      <c r="D187" s="200" t="s">
        <v>2785</v>
      </c>
      <c r="E187" s="56"/>
      <c r="F187" s="56"/>
      <c r="G187" s="63"/>
      <c r="H187" s="63"/>
      <c r="J187" s="57"/>
    </row>
    <row r="188" spans="1:10" x14ac:dyDescent="0.3">
      <c r="A188" s="13" t="s">
        <v>2073</v>
      </c>
      <c r="B188" s="13"/>
      <c r="C188" s="147" t="s">
        <v>14</v>
      </c>
      <c r="D188" s="185" t="s">
        <v>152</v>
      </c>
      <c r="E188" s="59"/>
      <c r="F188" s="56"/>
      <c r="G188" s="63"/>
      <c r="H188" s="63"/>
      <c r="J188" s="57"/>
    </row>
    <row r="189" spans="1:10" x14ac:dyDescent="0.3">
      <c r="A189" s="13" t="s">
        <v>2074</v>
      </c>
      <c r="B189" s="13">
        <v>1503050</v>
      </c>
      <c r="C189" s="147"/>
      <c r="D189" s="179" t="s">
        <v>2786</v>
      </c>
      <c r="E189" s="59"/>
      <c r="F189" s="56"/>
      <c r="G189" s="63"/>
      <c r="H189" s="63"/>
      <c r="J189" s="57"/>
    </row>
    <row r="190" spans="1:10" x14ac:dyDescent="0.3">
      <c r="A190" s="8" t="s">
        <v>2075</v>
      </c>
      <c r="B190" s="8">
        <v>1503050</v>
      </c>
      <c r="C190" s="146">
        <v>3.1</v>
      </c>
      <c r="D190" s="164" t="s">
        <v>155</v>
      </c>
      <c r="E190" s="194">
        <v>6</v>
      </c>
      <c r="F190" s="195" t="s">
        <v>34</v>
      </c>
      <c r="G190" s="196">
        <f t="shared" ref="G190:G195" si="31">H190/E190</f>
        <v>0</v>
      </c>
      <c r="H190" s="63">
        <v>0</v>
      </c>
      <c r="J190" s="57"/>
    </row>
    <row r="191" spans="1:10" ht="12.75" customHeight="1" x14ac:dyDescent="0.3">
      <c r="A191" s="8" t="s">
        <v>2076</v>
      </c>
      <c r="B191" s="8">
        <v>1503050</v>
      </c>
      <c r="C191" s="146">
        <v>3.1</v>
      </c>
      <c r="D191" s="165" t="s">
        <v>2787</v>
      </c>
      <c r="E191" s="59">
        <v>6</v>
      </c>
      <c r="F191" s="56" t="s">
        <v>34</v>
      </c>
      <c r="G191" s="63">
        <f t="shared" si="31"/>
        <v>0</v>
      </c>
      <c r="H191" s="63">
        <v>0</v>
      </c>
      <c r="J191" s="57"/>
    </row>
    <row r="192" spans="1:10" x14ac:dyDescent="0.3">
      <c r="A192" s="8" t="s">
        <v>2077</v>
      </c>
      <c r="B192" s="8">
        <v>1503050</v>
      </c>
      <c r="C192" s="8">
        <v>3.1</v>
      </c>
      <c r="D192" s="166" t="s">
        <v>158</v>
      </c>
      <c r="E192" s="59">
        <v>6</v>
      </c>
      <c r="F192" s="56" t="s">
        <v>34</v>
      </c>
      <c r="G192" s="63">
        <f t="shared" si="31"/>
        <v>0</v>
      </c>
      <c r="H192" s="63">
        <v>0</v>
      </c>
      <c r="J192" s="57"/>
    </row>
    <row r="193" spans="1:10" x14ac:dyDescent="0.3">
      <c r="A193" s="8" t="s">
        <v>2078</v>
      </c>
      <c r="B193" s="8">
        <v>1503050</v>
      </c>
      <c r="C193" s="8">
        <v>3.2</v>
      </c>
      <c r="D193" s="60" t="s">
        <v>160</v>
      </c>
      <c r="E193" s="59">
        <v>6</v>
      </c>
      <c r="F193" s="56" t="s">
        <v>34</v>
      </c>
      <c r="G193" s="63">
        <f t="shared" si="31"/>
        <v>0</v>
      </c>
      <c r="H193" s="63">
        <v>0</v>
      </c>
      <c r="J193" s="57"/>
    </row>
    <row r="194" spans="1:10" x14ac:dyDescent="0.3">
      <c r="A194" s="8" t="s">
        <v>2079</v>
      </c>
      <c r="B194" s="8">
        <v>1503050</v>
      </c>
      <c r="C194" s="8">
        <v>3.3</v>
      </c>
      <c r="D194" s="9" t="s">
        <v>162</v>
      </c>
      <c r="E194" s="59">
        <v>6</v>
      </c>
      <c r="F194" s="56" t="s">
        <v>34</v>
      </c>
      <c r="G194" s="63">
        <f t="shared" si="31"/>
        <v>0</v>
      </c>
      <c r="H194" s="63">
        <v>0</v>
      </c>
      <c r="J194" s="57"/>
    </row>
    <row r="195" spans="1:10" x14ac:dyDescent="0.3">
      <c r="A195" s="8" t="s">
        <v>2080</v>
      </c>
      <c r="B195" s="8">
        <v>1503050</v>
      </c>
      <c r="C195" s="8">
        <v>3.5</v>
      </c>
      <c r="D195" s="9" t="s">
        <v>2788</v>
      </c>
      <c r="E195" s="59">
        <v>6</v>
      </c>
      <c r="F195" s="56" t="s">
        <v>34</v>
      </c>
      <c r="G195" s="63">
        <f t="shared" si="31"/>
        <v>0</v>
      </c>
      <c r="H195" s="63">
        <v>0</v>
      </c>
      <c r="J195" s="57"/>
    </row>
    <row r="196" spans="1:10" x14ac:dyDescent="0.3">
      <c r="A196" s="8" t="s">
        <v>2081</v>
      </c>
      <c r="B196" s="8">
        <v>1503050</v>
      </c>
      <c r="C196" s="8">
        <v>3.6</v>
      </c>
      <c r="D196" s="9" t="s">
        <v>165</v>
      </c>
      <c r="E196" s="59">
        <v>6</v>
      </c>
      <c r="F196" s="56" t="s">
        <v>34</v>
      </c>
      <c r="G196" s="63">
        <f t="shared" ref="G196:H196" si="32">SUM(G188:G195)</f>
        <v>0</v>
      </c>
      <c r="H196" s="63">
        <f t="shared" si="32"/>
        <v>0</v>
      </c>
      <c r="J196" s="57"/>
    </row>
    <row r="197" spans="1:10" x14ac:dyDescent="0.3">
      <c r="A197" s="8" t="s">
        <v>2082</v>
      </c>
      <c r="B197" s="8">
        <v>1503050</v>
      </c>
      <c r="C197" s="8">
        <v>3.7</v>
      </c>
      <c r="D197" s="152" t="s">
        <v>167</v>
      </c>
      <c r="E197" s="59">
        <v>6</v>
      </c>
      <c r="F197" s="59" t="s">
        <v>34</v>
      </c>
      <c r="G197" s="63">
        <v>0</v>
      </c>
      <c r="H197" s="63">
        <v>0</v>
      </c>
      <c r="J197" s="57"/>
    </row>
    <row r="198" spans="1:10" x14ac:dyDescent="0.3">
      <c r="A198" s="13"/>
      <c r="B198" s="13"/>
      <c r="C198" s="13"/>
      <c r="D198" s="155" t="s">
        <v>2083</v>
      </c>
      <c r="E198" s="193">
        <v>6</v>
      </c>
      <c r="F198" s="189" t="s">
        <v>34</v>
      </c>
      <c r="G198" s="190">
        <f t="shared" ref="G198:G205" si="33">H198/E198</f>
        <v>0</v>
      </c>
      <c r="H198" s="63">
        <v>0</v>
      </c>
      <c r="J198" s="57"/>
    </row>
    <row r="199" spans="1:10" x14ac:dyDescent="0.3">
      <c r="A199" s="13" t="s">
        <v>2084</v>
      </c>
      <c r="B199" s="13">
        <v>1503050</v>
      </c>
      <c r="C199" s="146"/>
      <c r="D199" s="179" t="s">
        <v>2789</v>
      </c>
      <c r="E199" s="59"/>
      <c r="F199" s="56"/>
      <c r="G199" s="63"/>
      <c r="H199" s="63"/>
      <c r="J199" s="57"/>
    </row>
    <row r="200" spans="1:10" x14ac:dyDescent="0.3">
      <c r="A200" s="8" t="s">
        <v>2085</v>
      </c>
      <c r="B200" s="8">
        <v>1503050</v>
      </c>
      <c r="C200" s="146">
        <v>3.1</v>
      </c>
      <c r="D200" s="167" t="s">
        <v>171</v>
      </c>
      <c r="E200" s="194">
        <v>6</v>
      </c>
      <c r="F200" s="195" t="s">
        <v>34</v>
      </c>
      <c r="G200" s="196">
        <f t="shared" si="33"/>
        <v>0</v>
      </c>
      <c r="H200" s="63">
        <v>0</v>
      </c>
      <c r="J200" s="57"/>
    </row>
    <row r="201" spans="1:10" x14ac:dyDescent="0.3">
      <c r="A201" s="8" t="s">
        <v>2086</v>
      </c>
      <c r="B201" s="8">
        <v>1503050</v>
      </c>
      <c r="C201" s="146">
        <v>3.1</v>
      </c>
      <c r="D201" s="168" t="s">
        <v>2790</v>
      </c>
      <c r="E201" s="59">
        <v>6</v>
      </c>
      <c r="F201" s="56" t="s">
        <v>34</v>
      </c>
      <c r="G201" s="63">
        <f t="shared" si="33"/>
        <v>0</v>
      </c>
      <c r="H201" s="63">
        <v>0</v>
      </c>
      <c r="J201" s="57"/>
    </row>
    <row r="202" spans="1:10" x14ac:dyDescent="0.3">
      <c r="A202" s="8" t="s">
        <v>2087</v>
      </c>
      <c r="B202" s="8">
        <v>1503050</v>
      </c>
      <c r="C202" s="8">
        <v>3.1</v>
      </c>
      <c r="D202" s="169" t="s">
        <v>174</v>
      </c>
      <c r="E202" s="59">
        <v>6</v>
      </c>
      <c r="F202" s="56" t="s">
        <v>34</v>
      </c>
      <c r="G202" s="63">
        <f t="shared" si="33"/>
        <v>0</v>
      </c>
      <c r="H202" s="63">
        <v>0</v>
      </c>
      <c r="J202" s="57"/>
    </row>
    <row r="203" spans="1:10" x14ac:dyDescent="0.3">
      <c r="A203" s="8" t="s">
        <v>2088</v>
      </c>
      <c r="B203" s="8">
        <v>1503050</v>
      </c>
      <c r="C203" s="8">
        <v>3.2</v>
      </c>
      <c r="D203" s="9" t="s">
        <v>176</v>
      </c>
      <c r="E203" s="59">
        <v>6</v>
      </c>
      <c r="F203" s="56" t="s">
        <v>34</v>
      </c>
      <c r="G203" s="63">
        <f t="shared" si="33"/>
        <v>0</v>
      </c>
      <c r="H203" s="63">
        <v>0</v>
      </c>
      <c r="J203" s="57"/>
    </row>
    <row r="204" spans="1:10" x14ac:dyDescent="0.3">
      <c r="A204" s="8" t="s">
        <v>2089</v>
      </c>
      <c r="B204" s="8">
        <v>1503050</v>
      </c>
      <c r="C204" s="8">
        <v>3.3</v>
      </c>
      <c r="D204" s="9" t="s">
        <v>178</v>
      </c>
      <c r="E204" s="59">
        <v>6</v>
      </c>
      <c r="F204" s="56" t="s">
        <v>34</v>
      </c>
      <c r="G204" s="63">
        <f t="shared" si="33"/>
        <v>0</v>
      </c>
      <c r="H204" s="63">
        <v>0</v>
      </c>
      <c r="J204" s="57"/>
    </row>
    <row r="205" spans="1:10" x14ac:dyDescent="0.3">
      <c r="A205" s="8" t="s">
        <v>2090</v>
      </c>
      <c r="B205" s="8">
        <v>1503050</v>
      </c>
      <c r="C205" s="8">
        <v>3.5</v>
      </c>
      <c r="D205" s="9" t="s">
        <v>2791</v>
      </c>
      <c r="E205" s="59">
        <v>6</v>
      </c>
      <c r="F205" s="56" t="s">
        <v>34</v>
      </c>
      <c r="G205" s="63">
        <f t="shared" si="33"/>
        <v>0</v>
      </c>
      <c r="H205" s="63">
        <v>0</v>
      </c>
      <c r="J205" s="57"/>
    </row>
    <row r="206" spans="1:10" x14ac:dyDescent="0.3">
      <c r="A206" s="8" t="s">
        <v>2091</v>
      </c>
      <c r="B206" s="8">
        <v>1503050</v>
      </c>
      <c r="C206" s="8">
        <v>3.6</v>
      </c>
      <c r="D206" s="9" t="s">
        <v>181</v>
      </c>
      <c r="E206" s="59">
        <v>6</v>
      </c>
      <c r="F206" s="56" t="s">
        <v>34</v>
      </c>
      <c r="G206" s="63">
        <f t="shared" ref="G206" si="34">SUM(G198:G205)</f>
        <v>0</v>
      </c>
      <c r="H206" s="63">
        <f>SUM(H197:H205)</f>
        <v>0</v>
      </c>
      <c r="J206" s="57"/>
    </row>
    <row r="207" spans="1:10" ht="12.75" customHeight="1" x14ac:dyDescent="0.3">
      <c r="A207" s="8" t="s">
        <v>2092</v>
      </c>
      <c r="B207" s="8">
        <v>1503050</v>
      </c>
      <c r="C207" s="8">
        <v>3.7</v>
      </c>
      <c r="D207" s="152" t="s">
        <v>183</v>
      </c>
      <c r="E207" s="59">
        <v>6</v>
      </c>
      <c r="F207" s="59" t="s">
        <v>34</v>
      </c>
      <c r="G207" s="63">
        <v>0</v>
      </c>
      <c r="H207" s="63">
        <v>0</v>
      </c>
      <c r="J207" s="57"/>
    </row>
    <row r="208" spans="1:10" x14ac:dyDescent="0.3">
      <c r="A208" s="13"/>
      <c r="B208" s="13"/>
      <c r="C208" s="13"/>
      <c r="D208" s="155" t="s">
        <v>2093</v>
      </c>
      <c r="E208" s="193">
        <v>6</v>
      </c>
      <c r="F208" s="189" t="s">
        <v>34</v>
      </c>
      <c r="G208" s="190">
        <f t="shared" ref="G208:G215" si="35">H208/E208</f>
        <v>0</v>
      </c>
      <c r="H208" s="63">
        <v>0</v>
      </c>
      <c r="J208" s="57"/>
    </row>
    <row r="209" spans="1:10" x14ac:dyDescent="0.3">
      <c r="A209" s="13" t="s">
        <v>2094</v>
      </c>
      <c r="B209" s="13">
        <v>1503050</v>
      </c>
      <c r="C209" s="147"/>
      <c r="D209" s="179" t="s">
        <v>2792</v>
      </c>
      <c r="E209" s="59"/>
      <c r="F209" s="56"/>
      <c r="G209" s="63"/>
      <c r="H209" s="63"/>
      <c r="J209" s="57"/>
    </row>
    <row r="210" spans="1:10" x14ac:dyDescent="0.3">
      <c r="A210" s="8" t="s">
        <v>2095</v>
      </c>
      <c r="B210" s="8">
        <v>1503050</v>
      </c>
      <c r="C210" s="146">
        <v>3.1</v>
      </c>
      <c r="D210" s="170" t="s">
        <v>2793</v>
      </c>
      <c r="E210" s="194">
        <v>6</v>
      </c>
      <c r="F210" s="195" t="s">
        <v>34</v>
      </c>
      <c r="G210" s="196">
        <f t="shared" si="35"/>
        <v>0</v>
      </c>
      <c r="H210" s="63">
        <v>0</v>
      </c>
      <c r="J210" s="57"/>
    </row>
    <row r="211" spans="1:10" ht="12.75" customHeight="1" x14ac:dyDescent="0.3">
      <c r="A211" s="8" t="s">
        <v>2096</v>
      </c>
      <c r="B211" s="8">
        <v>1503050</v>
      </c>
      <c r="C211" s="146">
        <v>3.1</v>
      </c>
      <c r="D211" s="171" t="s">
        <v>188</v>
      </c>
      <c r="E211" s="59">
        <v>6</v>
      </c>
      <c r="F211" s="56" t="s">
        <v>34</v>
      </c>
      <c r="G211" s="63">
        <f t="shared" si="35"/>
        <v>0</v>
      </c>
      <c r="H211" s="63">
        <v>0</v>
      </c>
      <c r="J211" s="57"/>
    </row>
    <row r="212" spans="1:10" x14ac:dyDescent="0.3">
      <c r="A212" s="8" t="s">
        <v>2097</v>
      </c>
      <c r="B212" s="8">
        <v>1503050</v>
      </c>
      <c r="C212" s="8">
        <v>3.1</v>
      </c>
      <c r="D212" s="166" t="s">
        <v>190</v>
      </c>
      <c r="E212" s="59">
        <v>6</v>
      </c>
      <c r="F212" s="56" t="s">
        <v>34</v>
      </c>
      <c r="G212" s="63">
        <f t="shared" si="35"/>
        <v>0</v>
      </c>
      <c r="H212" s="63">
        <v>0</v>
      </c>
      <c r="J212" s="57"/>
    </row>
    <row r="213" spans="1:10" x14ac:dyDescent="0.3">
      <c r="A213" s="8" t="s">
        <v>2098</v>
      </c>
      <c r="B213" s="8">
        <v>1503050</v>
      </c>
      <c r="C213" s="8">
        <v>3.2</v>
      </c>
      <c r="D213" s="60" t="s">
        <v>192</v>
      </c>
      <c r="E213" s="59">
        <v>6</v>
      </c>
      <c r="F213" s="56" t="s">
        <v>34</v>
      </c>
      <c r="G213" s="63">
        <f t="shared" si="35"/>
        <v>0</v>
      </c>
      <c r="H213" s="63">
        <v>0</v>
      </c>
      <c r="J213" s="57"/>
    </row>
    <row r="214" spans="1:10" x14ac:dyDescent="0.3">
      <c r="A214" s="8" t="s">
        <v>2099</v>
      </c>
      <c r="B214" s="8">
        <v>1503050</v>
      </c>
      <c r="C214" s="8">
        <v>3.3</v>
      </c>
      <c r="D214" s="9" t="s">
        <v>194</v>
      </c>
      <c r="E214" s="59">
        <v>6</v>
      </c>
      <c r="F214" s="56" t="s">
        <v>34</v>
      </c>
      <c r="G214" s="63">
        <f t="shared" si="35"/>
        <v>0</v>
      </c>
      <c r="H214" s="63">
        <v>0</v>
      </c>
      <c r="J214" s="57"/>
    </row>
    <row r="215" spans="1:10" x14ac:dyDescent="0.3">
      <c r="A215" s="8" t="s">
        <v>2100</v>
      </c>
      <c r="B215" s="8">
        <v>1503050</v>
      </c>
      <c r="C215" s="8">
        <v>3.5</v>
      </c>
      <c r="D215" s="9" t="s">
        <v>2794</v>
      </c>
      <c r="E215" s="59">
        <v>6</v>
      </c>
      <c r="F215" s="56" t="s">
        <v>34</v>
      </c>
      <c r="G215" s="63">
        <f t="shared" si="35"/>
        <v>0</v>
      </c>
      <c r="H215" s="63">
        <v>0</v>
      </c>
      <c r="J215" s="57"/>
    </row>
    <row r="216" spans="1:10" x14ac:dyDescent="0.3">
      <c r="A216" s="8" t="s">
        <v>2101</v>
      </c>
      <c r="B216" s="8">
        <v>1503050</v>
      </c>
      <c r="C216" s="8">
        <v>3.6</v>
      </c>
      <c r="D216" s="9" t="s">
        <v>197</v>
      </c>
      <c r="E216" s="59">
        <v>6</v>
      </c>
      <c r="F216" s="56" t="s">
        <v>34</v>
      </c>
      <c r="G216" s="63">
        <f t="shared" ref="G216" si="36">SUM(G208:G215)</f>
        <v>0</v>
      </c>
      <c r="H216" s="63">
        <f>SUM(H207:H215)</f>
        <v>0</v>
      </c>
      <c r="J216" s="57"/>
    </row>
    <row r="217" spans="1:10" x14ac:dyDescent="0.3">
      <c r="A217" s="8" t="s">
        <v>2102</v>
      </c>
      <c r="B217" s="8">
        <v>1503050</v>
      </c>
      <c r="C217" s="8">
        <v>3.7</v>
      </c>
      <c r="D217" s="152" t="s">
        <v>199</v>
      </c>
      <c r="E217" s="59">
        <v>6</v>
      </c>
      <c r="F217" s="59" t="s">
        <v>34</v>
      </c>
      <c r="G217" s="63">
        <v>0</v>
      </c>
      <c r="H217" s="63">
        <v>0</v>
      </c>
      <c r="J217" s="57"/>
    </row>
    <row r="218" spans="1:10" x14ac:dyDescent="0.3">
      <c r="A218" s="13"/>
      <c r="B218" s="13"/>
      <c r="C218" s="13"/>
      <c r="D218" s="155" t="s">
        <v>2103</v>
      </c>
      <c r="E218" s="193">
        <v>6</v>
      </c>
      <c r="F218" s="189" t="s">
        <v>34</v>
      </c>
      <c r="G218" s="190">
        <f t="shared" ref="G218:G225" si="37">H218/E218</f>
        <v>0</v>
      </c>
      <c r="H218" s="63">
        <v>0</v>
      </c>
      <c r="J218" s="57"/>
    </row>
    <row r="219" spans="1:10" x14ac:dyDescent="0.3">
      <c r="A219" s="13" t="s">
        <v>2104</v>
      </c>
      <c r="B219" s="13">
        <v>1503050</v>
      </c>
      <c r="C219" s="146"/>
      <c r="D219" s="179" t="s">
        <v>2795</v>
      </c>
      <c r="E219" s="59"/>
      <c r="F219" s="56"/>
      <c r="G219" s="63"/>
      <c r="H219" s="63"/>
      <c r="J219" s="57"/>
    </row>
    <row r="220" spans="1:10" x14ac:dyDescent="0.3">
      <c r="A220" s="8" t="s">
        <v>2105</v>
      </c>
      <c r="B220" s="8">
        <v>1503050</v>
      </c>
      <c r="C220" s="146">
        <v>3.1</v>
      </c>
      <c r="D220" s="167" t="s">
        <v>2796</v>
      </c>
      <c r="E220" s="194">
        <v>6</v>
      </c>
      <c r="F220" s="195" t="s">
        <v>34</v>
      </c>
      <c r="G220" s="196">
        <f t="shared" si="37"/>
        <v>0</v>
      </c>
      <c r="H220" s="63">
        <v>0</v>
      </c>
      <c r="J220" s="57"/>
    </row>
    <row r="221" spans="1:10" x14ac:dyDescent="0.3">
      <c r="A221" s="8" t="s">
        <v>2106</v>
      </c>
      <c r="B221" s="8">
        <v>1503050</v>
      </c>
      <c r="C221" s="146">
        <v>3.1</v>
      </c>
      <c r="D221" s="168" t="s">
        <v>204</v>
      </c>
      <c r="E221" s="59">
        <v>6</v>
      </c>
      <c r="F221" s="56" t="s">
        <v>34</v>
      </c>
      <c r="G221" s="63">
        <f t="shared" si="37"/>
        <v>0</v>
      </c>
      <c r="H221" s="63">
        <v>0</v>
      </c>
      <c r="J221" s="57"/>
    </row>
    <row r="222" spans="1:10" x14ac:dyDescent="0.3">
      <c r="A222" s="8" t="s">
        <v>2107</v>
      </c>
      <c r="B222" s="8">
        <v>1503050</v>
      </c>
      <c r="C222" s="8">
        <v>3.1</v>
      </c>
      <c r="D222" s="169" t="s">
        <v>206</v>
      </c>
      <c r="E222" s="59">
        <v>6</v>
      </c>
      <c r="F222" s="56" t="s">
        <v>34</v>
      </c>
      <c r="G222" s="63">
        <f t="shared" si="37"/>
        <v>0</v>
      </c>
      <c r="H222" s="63">
        <v>0</v>
      </c>
      <c r="J222" s="57"/>
    </row>
    <row r="223" spans="1:10" x14ac:dyDescent="0.3">
      <c r="A223" s="8" t="s">
        <v>2108</v>
      </c>
      <c r="B223" s="8">
        <v>1503050</v>
      </c>
      <c r="C223" s="8">
        <v>3.2</v>
      </c>
      <c r="D223" s="9" t="s">
        <v>208</v>
      </c>
      <c r="E223" s="59">
        <v>6</v>
      </c>
      <c r="F223" s="56" t="s">
        <v>34</v>
      </c>
      <c r="G223" s="63">
        <f t="shared" si="37"/>
        <v>0</v>
      </c>
      <c r="H223" s="63">
        <v>0</v>
      </c>
      <c r="J223" s="57"/>
    </row>
    <row r="224" spans="1:10" x14ac:dyDescent="0.3">
      <c r="A224" s="8" t="s">
        <v>2109</v>
      </c>
      <c r="B224" s="8">
        <v>1503050</v>
      </c>
      <c r="C224" s="8">
        <v>3.3</v>
      </c>
      <c r="D224" s="9" t="s">
        <v>210</v>
      </c>
      <c r="E224" s="59">
        <v>6</v>
      </c>
      <c r="F224" s="56" t="s">
        <v>34</v>
      </c>
      <c r="G224" s="63">
        <f>H224/E224</f>
        <v>0</v>
      </c>
      <c r="H224" s="63">
        <v>0</v>
      </c>
      <c r="J224" s="57"/>
    </row>
    <row r="225" spans="1:10" x14ac:dyDescent="0.3">
      <c r="A225" s="8" t="s">
        <v>2110</v>
      </c>
      <c r="B225" s="8">
        <v>1503050</v>
      </c>
      <c r="C225" s="8">
        <v>3.5</v>
      </c>
      <c r="D225" s="9" t="s">
        <v>2797</v>
      </c>
      <c r="E225" s="59">
        <v>6</v>
      </c>
      <c r="F225" s="56" t="s">
        <v>34</v>
      </c>
      <c r="G225" s="63">
        <f t="shared" si="37"/>
        <v>0</v>
      </c>
      <c r="H225" s="63">
        <v>0</v>
      </c>
      <c r="J225" s="57"/>
    </row>
    <row r="226" spans="1:10" x14ac:dyDescent="0.3">
      <c r="A226" s="8" t="s">
        <v>2111</v>
      </c>
      <c r="B226" s="8">
        <v>1503050</v>
      </c>
      <c r="C226" s="8">
        <v>3.6</v>
      </c>
      <c r="D226" s="9" t="s">
        <v>213</v>
      </c>
      <c r="E226" s="59">
        <v>6</v>
      </c>
      <c r="F226" s="56" t="s">
        <v>34</v>
      </c>
      <c r="G226" s="63">
        <f t="shared" ref="G226" si="38">SUM(G218:G225)</f>
        <v>0</v>
      </c>
      <c r="H226" s="63">
        <f>SUM(H217:H225)</f>
        <v>0</v>
      </c>
      <c r="J226" s="57"/>
    </row>
    <row r="227" spans="1:10" x14ac:dyDescent="0.3">
      <c r="A227" s="8" t="s">
        <v>2112</v>
      </c>
      <c r="B227" s="8">
        <v>1503050</v>
      </c>
      <c r="C227" s="8">
        <v>3.7</v>
      </c>
      <c r="D227" s="152" t="s">
        <v>215</v>
      </c>
      <c r="E227" s="59">
        <v>6</v>
      </c>
      <c r="F227" s="56" t="s">
        <v>34</v>
      </c>
      <c r="G227" s="63">
        <f>G226+G216+G206+G196</f>
        <v>0</v>
      </c>
      <c r="H227" s="63">
        <f>H226+H216+H206+H196</f>
        <v>0</v>
      </c>
      <c r="J227" s="57" t="s">
        <v>14</v>
      </c>
    </row>
    <row r="228" spans="1:10" ht="15" customHeight="1" x14ac:dyDescent="0.3">
      <c r="A228" s="13"/>
      <c r="B228" s="13"/>
      <c r="C228" s="13"/>
      <c r="D228" s="155" t="s">
        <v>2113</v>
      </c>
      <c r="E228" s="157">
        <v>6</v>
      </c>
      <c r="F228" s="157" t="s">
        <v>34</v>
      </c>
      <c r="G228" s="201">
        <f>G227+G185+G101+G91+G81</f>
        <v>0</v>
      </c>
      <c r="H228" s="20">
        <f>H227+H185+H101+H91+H81</f>
        <v>0</v>
      </c>
    </row>
    <row r="229" spans="1:10" x14ac:dyDescent="0.3">
      <c r="A229" s="13" t="s">
        <v>2114</v>
      </c>
      <c r="B229" s="13">
        <v>1503050</v>
      </c>
      <c r="C229" s="147"/>
      <c r="D229" s="179" t="s">
        <v>2798</v>
      </c>
      <c r="E229" s="8"/>
      <c r="F229" s="8"/>
      <c r="G229" s="8"/>
      <c r="H229" s="8"/>
    </row>
    <row r="230" spans="1:10" ht="12.75" customHeight="1" x14ac:dyDescent="0.3">
      <c r="A230" s="8" t="s">
        <v>2115</v>
      </c>
      <c r="B230" s="8">
        <v>1503050</v>
      </c>
      <c r="C230" s="146">
        <v>3.1</v>
      </c>
      <c r="D230" s="170" t="s">
        <v>219</v>
      </c>
      <c r="E230" s="202">
        <v>6</v>
      </c>
      <c r="F230" s="202" t="s">
        <v>34</v>
      </c>
      <c r="G230" s="203">
        <v>0</v>
      </c>
      <c r="H230" s="204">
        <v>0</v>
      </c>
    </row>
    <row r="231" spans="1:10" x14ac:dyDescent="0.3">
      <c r="A231" s="8" t="s">
        <v>2116</v>
      </c>
      <c r="B231" s="8">
        <v>1503050</v>
      </c>
      <c r="C231" s="146">
        <v>3.1</v>
      </c>
      <c r="D231" s="171" t="s">
        <v>2799</v>
      </c>
      <c r="E231" s="59">
        <v>6</v>
      </c>
      <c r="F231" s="59" t="s">
        <v>34</v>
      </c>
      <c r="G231" s="63">
        <v>0</v>
      </c>
      <c r="H231" s="63">
        <v>0</v>
      </c>
      <c r="J231" s="57" t="s">
        <v>14</v>
      </c>
    </row>
    <row r="232" spans="1:10" x14ac:dyDescent="0.3">
      <c r="A232" s="8" t="s">
        <v>2117</v>
      </c>
      <c r="B232" s="8">
        <v>1503050</v>
      </c>
      <c r="C232" s="8">
        <v>3.1</v>
      </c>
      <c r="D232" s="166" t="s">
        <v>222</v>
      </c>
      <c r="E232" s="59">
        <v>6</v>
      </c>
      <c r="F232" s="59" t="s">
        <v>34</v>
      </c>
      <c r="G232" s="63">
        <v>0</v>
      </c>
      <c r="H232" s="63">
        <v>0</v>
      </c>
      <c r="J232" s="57" t="s">
        <v>14</v>
      </c>
    </row>
    <row r="233" spans="1:10" x14ac:dyDescent="0.3">
      <c r="A233" s="8" t="s">
        <v>2118</v>
      </c>
      <c r="B233" s="8">
        <v>1503050</v>
      </c>
      <c r="C233" s="8">
        <v>3.2</v>
      </c>
      <c r="D233" s="60" t="s">
        <v>224</v>
      </c>
      <c r="E233" s="59">
        <v>6</v>
      </c>
      <c r="F233" s="56" t="s">
        <v>34</v>
      </c>
      <c r="G233" s="63">
        <f t="shared" ref="G233:G234" si="39">H233/E233</f>
        <v>0</v>
      </c>
      <c r="H233" s="63">
        <v>0</v>
      </c>
      <c r="J233" s="57" t="s">
        <v>14</v>
      </c>
    </row>
    <row r="234" spans="1:10" x14ac:dyDescent="0.3">
      <c r="A234" s="8" t="s">
        <v>2119</v>
      </c>
      <c r="B234" s="8">
        <v>1503050</v>
      </c>
      <c r="C234" s="8">
        <v>3.3</v>
      </c>
      <c r="D234" s="9" t="s">
        <v>226</v>
      </c>
      <c r="E234" s="59">
        <v>6</v>
      </c>
      <c r="F234" s="56" t="s">
        <v>34</v>
      </c>
      <c r="G234" s="63">
        <f t="shared" si="39"/>
        <v>0</v>
      </c>
      <c r="H234" s="63">
        <v>0</v>
      </c>
      <c r="J234" s="57" t="s">
        <v>14</v>
      </c>
    </row>
    <row r="235" spans="1:10" x14ac:dyDescent="0.3">
      <c r="A235" s="8" t="s">
        <v>2120</v>
      </c>
      <c r="B235" s="8">
        <v>1503050</v>
      </c>
      <c r="C235" s="8">
        <v>3.5</v>
      </c>
      <c r="D235" s="9" t="s">
        <v>2800</v>
      </c>
      <c r="E235" s="59">
        <v>6</v>
      </c>
      <c r="F235" s="56" t="s">
        <v>34</v>
      </c>
      <c r="G235" s="63">
        <f t="shared" ref="G235" si="40">SUM(G233:G234)</f>
        <v>0</v>
      </c>
      <c r="H235" s="63">
        <f>SUM(H230:H234)</f>
        <v>0</v>
      </c>
      <c r="J235" s="57"/>
    </row>
    <row r="236" spans="1:10" x14ac:dyDescent="0.3">
      <c r="A236" s="8" t="s">
        <v>2121</v>
      </c>
      <c r="B236" s="8">
        <v>1503050</v>
      </c>
      <c r="C236" s="8">
        <v>3.6</v>
      </c>
      <c r="D236" s="9" t="s">
        <v>229</v>
      </c>
      <c r="E236" s="59">
        <v>6</v>
      </c>
      <c r="F236" s="59" t="s">
        <v>34</v>
      </c>
      <c r="G236" s="63">
        <v>0</v>
      </c>
      <c r="H236" s="63">
        <v>0</v>
      </c>
      <c r="J236" s="57"/>
    </row>
    <row r="237" spans="1:10" x14ac:dyDescent="0.3">
      <c r="A237" s="8" t="s">
        <v>2122</v>
      </c>
      <c r="B237" s="8">
        <v>1503050</v>
      </c>
      <c r="C237" s="8">
        <v>3.7</v>
      </c>
      <c r="D237" s="152" t="s">
        <v>231</v>
      </c>
      <c r="E237" s="59">
        <v>6</v>
      </c>
      <c r="F237" s="56" t="s">
        <v>34</v>
      </c>
      <c r="G237" s="63">
        <f t="shared" ref="G237:G238" si="41">H237/E237</f>
        <v>0</v>
      </c>
      <c r="H237" s="63">
        <v>0</v>
      </c>
      <c r="J237" s="57"/>
    </row>
    <row r="238" spans="1:10" x14ac:dyDescent="0.3">
      <c r="A238" s="13"/>
      <c r="B238" s="13"/>
      <c r="C238" s="13"/>
      <c r="D238" s="155" t="s">
        <v>2123</v>
      </c>
      <c r="E238" s="193">
        <v>6</v>
      </c>
      <c r="F238" s="189" t="s">
        <v>34</v>
      </c>
      <c r="G238" s="190">
        <f t="shared" si="41"/>
        <v>0</v>
      </c>
      <c r="H238" s="63">
        <v>0</v>
      </c>
      <c r="J238" s="57"/>
    </row>
    <row r="239" spans="1:10" x14ac:dyDescent="0.3">
      <c r="A239" s="13" t="s">
        <v>2124</v>
      </c>
      <c r="B239" s="13">
        <v>1503050</v>
      </c>
      <c r="C239" s="146"/>
      <c r="D239" s="179" t="s">
        <v>2801</v>
      </c>
      <c r="E239" s="59"/>
      <c r="F239" s="56"/>
      <c r="G239" s="63"/>
      <c r="H239" s="188"/>
      <c r="J239" s="57"/>
    </row>
    <row r="240" spans="1:10" x14ac:dyDescent="0.3">
      <c r="A240" s="8" t="s">
        <v>2125</v>
      </c>
      <c r="B240" s="8">
        <v>1503050</v>
      </c>
      <c r="C240" s="146">
        <v>3.1</v>
      </c>
      <c r="D240" s="167" t="s">
        <v>2802</v>
      </c>
      <c r="E240" s="194">
        <v>6</v>
      </c>
      <c r="F240" s="194" t="s">
        <v>34</v>
      </c>
      <c r="G240" s="196">
        <v>0</v>
      </c>
      <c r="H240" s="63">
        <v>0</v>
      </c>
      <c r="J240" s="57"/>
    </row>
    <row r="241" spans="1:10" x14ac:dyDescent="0.3">
      <c r="A241" s="8" t="s">
        <v>2126</v>
      </c>
      <c r="B241" s="8">
        <v>1503050</v>
      </c>
      <c r="C241" s="146">
        <v>3.1</v>
      </c>
      <c r="D241" s="168" t="s">
        <v>236</v>
      </c>
      <c r="E241" s="59">
        <v>6</v>
      </c>
      <c r="F241" s="56" t="s">
        <v>34</v>
      </c>
      <c r="G241" s="63">
        <f t="shared" ref="G241:G242" si="42">H241/E241</f>
        <v>0</v>
      </c>
      <c r="H241" s="63">
        <v>0</v>
      </c>
      <c r="J241" s="57"/>
    </row>
    <row r="242" spans="1:10" ht="12.75" customHeight="1" x14ac:dyDescent="0.3">
      <c r="A242" s="8" t="s">
        <v>2127</v>
      </c>
      <c r="B242" s="8">
        <v>1503050</v>
      </c>
      <c r="C242" s="8">
        <v>3.1</v>
      </c>
      <c r="D242" s="169" t="s">
        <v>238</v>
      </c>
      <c r="E242" s="59">
        <v>6</v>
      </c>
      <c r="F242" s="56" t="s">
        <v>34</v>
      </c>
      <c r="G242" s="63">
        <f t="shared" si="42"/>
        <v>0</v>
      </c>
      <c r="H242" s="63">
        <v>0</v>
      </c>
      <c r="J242" s="57"/>
    </row>
    <row r="243" spans="1:10" ht="12.75" customHeight="1" x14ac:dyDescent="0.3">
      <c r="A243" s="8" t="s">
        <v>2128</v>
      </c>
      <c r="B243" s="8">
        <v>1503050</v>
      </c>
      <c r="C243" s="8">
        <v>3.2</v>
      </c>
      <c r="D243" s="9" t="s">
        <v>240</v>
      </c>
      <c r="E243" s="59">
        <v>6</v>
      </c>
      <c r="F243" s="56" t="s">
        <v>34</v>
      </c>
      <c r="G243" s="63">
        <f t="shared" ref="G243" si="43">SUM(G241:G242)</f>
        <v>0</v>
      </c>
      <c r="H243" s="63">
        <f>SUM(H240:H242)</f>
        <v>0</v>
      </c>
      <c r="J243" s="57"/>
    </row>
    <row r="244" spans="1:10" x14ac:dyDescent="0.3">
      <c r="A244" s="8" t="s">
        <v>2129</v>
      </c>
      <c r="B244" s="8">
        <v>1503050</v>
      </c>
      <c r="C244" s="8">
        <v>3.3</v>
      </c>
      <c r="D244" s="9" t="s">
        <v>242</v>
      </c>
      <c r="E244" s="59">
        <v>6</v>
      </c>
      <c r="F244" s="59" t="s">
        <v>34</v>
      </c>
      <c r="G244" s="63">
        <v>0</v>
      </c>
      <c r="H244" s="63">
        <v>0</v>
      </c>
      <c r="J244" s="57"/>
    </row>
    <row r="245" spans="1:10" x14ac:dyDescent="0.3">
      <c r="A245" s="8" t="s">
        <v>2130</v>
      </c>
      <c r="B245" s="8">
        <v>1503050</v>
      </c>
      <c r="C245" s="8">
        <v>3.5</v>
      </c>
      <c r="D245" s="9" t="s">
        <v>2803</v>
      </c>
      <c r="E245" s="59">
        <v>6</v>
      </c>
      <c r="F245" s="56" t="s">
        <v>34</v>
      </c>
      <c r="G245" s="63">
        <f t="shared" ref="G245:G246" si="44">H245/E245</f>
        <v>0</v>
      </c>
      <c r="H245" s="63">
        <v>0</v>
      </c>
      <c r="J245" s="57"/>
    </row>
    <row r="246" spans="1:10" x14ac:dyDescent="0.3">
      <c r="A246" s="8" t="s">
        <v>2131</v>
      </c>
      <c r="B246" s="8">
        <v>1503050</v>
      </c>
      <c r="C246" s="8">
        <v>3.6</v>
      </c>
      <c r="D246" s="172" t="s">
        <v>245</v>
      </c>
      <c r="E246" s="59">
        <v>6</v>
      </c>
      <c r="F246" s="56" t="s">
        <v>34</v>
      </c>
      <c r="G246" s="63">
        <f t="shared" si="44"/>
        <v>0</v>
      </c>
      <c r="H246" s="63">
        <v>0</v>
      </c>
      <c r="J246" s="57"/>
    </row>
    <row r="247" spans="1:10" x14ac:dyDescent="0.3">
      <c r="A247" s="8" t="s">
        <v>2132</v>
      </c>
      <c r="B247" s="8">
        <v>1503050</v>
      </c>
      <c r="C247" s="146">
        <v>3.7</v>
      </c>
      <c r="D247" s="168" t="s">
        <v>247</v>
      </c>
      <c r="E247" s="59">
        <v>6</v>
      </c>
      <c r="F247" s="56" t="s">
        <v>34</v>
      </c>
      <c r="G247" s="63">
        <f t="shared" ref="G247" si="45">SUM(G245:G246)</f>
        <v>0</v>
      </c>
      <c r="H247" s="63">
        <f>SUM(H244:H246)</f>
        <v>0</v>
      </c>
      <c r="J247" s="57"/>
    </row>
    <row r="248" spans="1:10" ht="12.75" customHeight="1" x14ac:dyDescent="0.3">
      <c r="A248" s="13"/>
      <c r="B248" s="13"/>
      <c r="C248" s="147"/>
      <c r="D248" s="173" t="s">
        <v>2133</v>
      </c>
      <c r="E248" s="193">
        <v>6</v>
      </c>
      <c r="F248" s="193" t="s">
        <v>34</v>
      </c>
      <c r="G248" s="190">
        <v>0</v>
      </c>
      <c r="H248" s="63">
        <v>0</v>
      </c>
      <c r="J248" s="57"/>
    </row>
    <row r="249" spans="1:10" x14ac:dyDescent="0.3">
      <c r="A249" s="13" t="s">
        <v>2134</v>
      </c>
      <c r="B249" s="13">
        <v>1503050</v>
      </c>
      <c r="C249" s="147"/>
      <c r="D249" s="179" t="s">
        <v>2804</v>
      </c>
      <c r="E249" s="56"/>
      <c r="F249" s="56"/>
      <c r="G249" s="63"/>
      <c r="H249" s="63"/>
      <c r="J249" s="57"/>
    </row>
    <row r="250" spans="1:10" x14ac:dyDescent="0.3">
      <c r="A250" s="8" t="s">
        <v>2135</v>
      </c>
      <c r="B250" s="8">
        <v>1503050</v>
      </c>
      <c r="C250" s="146">
        <v>3.1</v>
      </c>
      <c r="D250" s="170" t="s">
        <v>2805</v>
      </c>
      <c r="E250" s="194">
        <v>6</v>
      </c>
      <c r="F250" s="195" t="s">
        <v>34</v>
      </c>
      <c r="G250" s="196">
        <f t="shared" ref="G250:G251" si="46">H250/E250</f>
        <v>0</v>
      </c>
      <c r="H250" s="63">
        <v>0</v>
      </c>
      <c r="J250" s="57"/>
    </row>
    <row r="251" spans="1:10" x14ac:dyDescent="0.3">
      <c r="A251" s="8" t="s">
        <v>2136</v>
      </c>
      <c r="B251" s="8">
        <v>1503050</v>
      </c>
      <c r="C251" s="146">
        <v>3.1</v>
      </c>
      <c r="D251" s="171" t="s">
        <v>252</v>
      </c>
      <c r="E251" s="59">
        <v>6</v>
      </c>
      <c r="F251" s="56" t="s">
        <v>34</v>
      </c>
      <c r="G251" s="63">
        <f t="shared" si="46"/>
        <v>0</v>
      </c>
      <c r="H251" s="63">
        <v>0</v>
      </c>
      <c r="J251" s="57"/>
    </row>
    <row r="252" spans="1:10" x14ac:dyDescent="0.3">
      <c r="A252" s="8" t="s">
        <v>2137</v>
      </c>
      <c r="B252" s="8">
        <v>1503050</v>
      </c>
      <c r="C252" s="8">
        <v>3.1</v>
      </c>
      <c r="D252" s="166" t="s">
        <v>254</v>
      </c>
      <c r="E252" s="59">
        <v>6</v>
      </c>
      <c r="F252" s="56" t="s">
        <v>34</v>
      </c>
      <c r="G252" s="63">
        <f t="shared" ref="G252:H252" si="47">SUM(G250:G251)</f>
        <v>0</v>
      </c>
      <c r="H252" s="63">
        <f t="shared" si="47"/>
        <v>0</v>
      </c>
      <c r="J252" s="57"/>
    </row>
    <row r="253" spans="1:10" x14ac:dyDescent="0.3">
      <c r="A253" s="8" t="s">
        <v>2138</v>
      </c>
      <c r="B253" s="8">
        <v>1503050</v>
      </c>
      <c r="C253" s="8">
        <v>3.2</v>
      </c>
      <c r="D253" s="60" t="s">
        <v>256</v>
      </c>
      <c r="E253" s="59">
        <v>6</v>
      </c>
      <c r="F253" s="59" t="s">
        <v>34</v>
      </c>
      <c r="G253" s="63">
        <v>0</v>
      </c>
      <c r="H253" s="63">
        <v>0</v>
      </c>
      <c r="J253" s="57"/>
    </row>
    <row r="254" spans="1:10" x14ac:dyDescent="0.3">
      <c r="A254" s="8" t="s">
        <v>2139</v>
      </c>
      <c r="B254" s="8">
        <v>1503050</v>
      </c>
      <c r="C254" s="8">
        <v>3.3</v>
      </c>
      <c r="D254" s="9" t="s">
        <v>258</v>
      </c>
      <c r="E254" s="59">
        <v>6</v>
      </c>
      <c r="F254" s="56" t="s">
        <v>34</v>
      </c>
      <c r="G254" s="63">
        <f t="shared" ref="G254:G255" si="48">H254/E254</f>
        <v>0</v>
      </c>
      <c r="H254" s="63">
        <v>0</v>
      </c>
      <c r="J254" s="57"/>
    </row>
    <row r="255" spans="1:10" x14ac:dyDescent="0.3">
      <c r="A255" s="8" t="s">
        <v>2140</v>
      </c>
      <c r="B255" s="8">
        <v>1503050</v>
      </c>
      <c r="C255" s="8">
        <v>3.5</v>
      </c>
      <c r="D255" s="9" t="s">
        <v>2806</v>
      </c>
      <c r="E255" s="59">
        <v>6</v>
      </c>
      <c r="F255" s="56" t="s">
        <v>34</v>
      </c>
      <c r="G255" s="63">
        <f t="shared" si="48"/>
        <v>0</v>
      </c>
      <c r="H255" s="63">
        <v>0</v>
      </c>
      <c r="J255" s="57"/>
    </row>
    <row r="256" spans="1:10" x14ac:dyDescent="0.3">
      <c r="A256" s="8" t="s">
        <v>2141</v>
      </c>
      <c r="B256" s="8">
        <v>1503050</v>
      </c>
      <c r="C256" s="8">
        <v>3.6</v>
      </c>
      <c r="D256" s="172" t="s">
        <v>261</v>
      </c>
      <c r="E256" s="59">
        <v>6</v>
      </c>
      <c r="F256" s="56" t="s">
        <v>34</v>
      </c>
      <c r="G256" s="63">
        <f t="shared" ref="G256" si="49">SUM(G254:G255)</f>
        <v>0</v>
      </c>
      <c r="H256" s="63">
        <f>SUM(H253:H255)</f>
        <v>0</v>
      </c>
      <c r="J256" s="57"/>
    </row>
    <row r="257" spans="1:10" ht="12.75" customHeight="1" x14ac:dyDescent="0.3">
      <c r="A257" s="8" t="s">
        <v>2142</v>
      </c>
      <c r="B257" s="8">
        <v>1503050</v>
      </c>
      <c r="C257" s="146">
        <v>3.7</v>
      </c>
      <c r="D257" s="168" t="s">
        <v>263</v>
      </c>
      <c r="E257" s="59">
        <v>6</v>
      </c>
      <c r="F257" s="56" t="s">
        <v>34</v>
      </c>
      <c r="G257" s="63">
        <v>0</v>
      </c>
      <c r="H257" s="63">
        <v>0</v>
      </c>
      <c r="J257" s="57"/>
    </row>
    <row r="258" spans="1:10" x14ac:dyDescent="0.3">
      <c r="A258" s="13"/>
      <c r="B258" s="13"/>
      <c r="C258" s="147"/>
      <c r="D258" s="173" t="s">
        <v>2143</v>
      </c>
      <c r="E258" s="193">
        <v>6</v>
      </c>
      <c r="F258" s="189" t="s">
        <v>34</v>
      </c>
      <c r="G258" s="190">
        <f>G256+G247+G243+G239+G235</f>
        <v>0</v>
      </c>
      <c r="H258" s="63">
        <f>H256+H247+H243+H239+H235</f>
        <v>0</v>
      </c>
      <c r="J258" s="57" t="s">
        <v>14</v>
      </c>
    </row>
    <row r="259" spans="1:10" x14ac:dyDescent="0.3">
      <c r="A259" s="13" t="s">
        <v>2144</v>
      </c>
      <c r="B259" s="13">
        <v>1503050</v>
      </c>
      <c r="C259" s="147"/>
      <c r="D259" s="179" t="s">
        <v>266</v>
      </c>
      <c r="E259" s="56"/>
      <c r="F259" s="56"/>
      <c r="G259" s="63"/>
      <c r="H259" s="63"/>
      <c r="J259" s="57" t="s">
        <v>14</v>
      </c>
    </row>
    <row r="260" spans="1:10" x14ac:dyDescent="0.3">
      <c r="A260" s="8" t="s">
        <v>2145</v>
      </c>
      <c r="B260" s="8">
        <v>1503050</v>
      </c>
      <c r="C260" s="146">
        <v>3.1</v>
      </c>
      <c r="D260" s="170" t="s">
        <v>2807</v>
      </c>
      <c r="E260" s="194">
        <v>6</v>
      </c>
      <c r="F260" s="194" t="s">
        <v>34</v>
      </c>
      <c r="G260" s="196">
        <v>0</v>
      </c>
      <c r="H260" s="63">
        <v>0</v>
      </c>
      <c r="J260" s="57" t="s">
        <v>14</v>
      </c>
    </row>
    <row r="261" spans="1:10" x14ac:dyDescent="0.3">
      <c r="A261" s="8" t="s">
        <v>2146</v>
      </c>
      <c r="B261" s="8">
        <v>1503050</v>
      </c>
      <c r="C261" s="146">
        <v>3.1</v>
      </c>
      <c r="D261" s="171" t="s">
        <v>269</v>
      </c>
      <c r="E261" s="59">
        <v>6</v>
      </c>
      <c r="F261" s="59" t="s">
        <v>34</v>
      </c>
      <c r="G261" s="63">
        <v>0</v>
      </c>
      <c r="H261" s="63">
        <v>0</v>
      </c>
      <c r="J261" s="57" t="s">
        <v>14</v>
      </c>
    </row>
    <row r="262" spans="1:10" x14ac:dyDescent="0.3">
      <c r="A262" s="8" t="s">
        <v>2147</v>
      </c>
      <c r="B262" s="8">
        <v>1503050</v>
      </c>
      <c r="C262" s="146">
        <v>3.1</v>
      </c>
      <c r="D262" s="171" t="s">
        <v>271</v>
      </c>
      <c r="E262" s="59">
        <v>6</v>
      </c>
      <c r="F262" s="59" t="s">
        <v>34</v>
      </c>
      <c r="G262" s="63">
        <v>0</v>
      </c>
      <c r="H262" s="63">
        <v>0</v>
      </c>
      <c r="J262" s="57"/>
    </row>
    <row r="263" spans="1:10" x14ac:dyDescent="0.3">
      <c r="A263" s="8" t="s">
        <v>2148</v>
      </c>
      <c r="B263" s="8">
        <v>1503050</v>
      </c>
      <c r="C263" s="8">
        <v>3.2</v>
      </c>
      <c r="D263" s="174" t="s">
        <v>273</v>
      </c>
      <c r="E263" s="59">
        <v>6</v>
      </c>
      <c r="F263" s="59" t="s">
        <v>34</v>
      </c>
      <c r="G263" s="63">
        <v>0</v>
      </c>
      <c r="H263" s="63">
        <v>0</v>
      </c>
      <c r="J263" s="57" t="s">
        <v>14</v>
      </c>
    </row>
    <row r="264" spans="1:10" x14ac:dyDescent="0.3">
      <c r="A264" s="8" t="s">
        <v>2149</v>
      </c>
      <c r="B264" s="8">
        <v>1503050</v>
      </c>
      <c r="C264" s="8">
        <v>3.3</v>
      </c>
      <c r="D264" s="9" t="s">
        <v>275</v>
      </c>
      <c r="E264" s="59">
        <v>6</v>
      </c>
      <c r="F264" s="59" t="s">
        <v>34</v>
      </c>
      <c r="G264" s="63">
        <v>0</v>
      </c>
      <c r="H264" s="63">
        <v>0</v>
      </c>
      <c r="J264" s="57" t="s">
        <v>14</v>
      </c>
    </row>
    <row r="265" spans="1:10" ht="12.75" customHeight="1" x14ac:dyDescent="0.3">
      <c r="A265" s="8" t="s">
        <v>2150</v>
      </c>
      <c r="B265" s="8">
        <v>1503050</v>
      </c>
      <c r="C265" s="8">
        <v>3.5</v>
      </c>
      <c r="D265" s="9" t="s">
        <v>2808</v>
      </c>
      <c r="E265" s="59">
        <v>6</v>
      </c>
      <c r="F265" s="59" t="s">
        <v>34</v>
      </c>
      <c r="G265" s="63">
        <v>0</v>
      </c>
      <c r="H265" s="63">
        <v>0</v>
      </c>
      <c r="J265" s="57"/>
    </row>
    <row r="266" spans="1:10" x14ac:dyDescent="0.3">
      <c r="A266" s="8" t="s">
        <v>2151</v>
      </c>
      <c r="B266" s="8">
        <v>1503050</v>
      </c>
      <c r="C266" s="8">
        <v>3.6</v>
      </c>
      <c r="D266" s="172" t="s">
        <v>278</v>
      </c>
      <c r="E266" s="59">
        <v>6</v>
      </c>
      <c r="F266" s="56" t="s">
        <v>34</v>
      </c>
      <c r="G266" s="63">
        <f t="shared" ref="G266:G267" si="50">H266/E266</f>
        <v>0</v>
      </c>
      <c r="H266" s="63">
        <v>0</v>
      </c>
      <c r="J266" s="57"/>
    </row>
    <row r="267" spans="1:10" ht="12.75" customHeight="1" x14ac:dyDescent="0.3">
      <c r="A267" s="8" t="s">
        <v>2152</v>
      </c>
      <c r="B267" s="8">
        <v>1503050</v>
      </c>
      <c r="C267" s="146">
        <v>3.7</v>
      </c>
      <c r="D267" s="168" t="s">
        <v>280</v>
      </c>
      <c r="E267" s="59">
        <v>6</v>
      </c>
      <c r="F267" s="56" t="s">
        <v>34</v>
      </c>
      <c r="G267" s="63">
        <f t="shared" si="50"/>
        <v>0</v>
      </c>
      <c r="H267" s="63">
        <v>0</v>
      </c>
      <c r="J267" s="57"/>
    </row>
    <row r="268" spans="1:10" x14ac:dyDescent="0.3">
      <c r="A268" s="13"/>
      <c r="B268" s="13"/>
      <c r="C268" s="147"/>
      <c r="D268" s="175" t="s">
        <v>2153</v>
      </c>
      <c r="E268" s="59">
        <v>6</v>
      </c>
      <c r="F268" s="56" t="s">
        <v>34</v>
      </c>
      <c r="G268" s="63">
        <f t="shared" ref="G268" si="51">SUM(G266:G267)</f>
        <v>0</v>
      </c>
      <c r="H268" s="63">
        <f>SUM(H260:H267)</f>
        <v>0</v>
      </c>
      <c r="J268" s="57"/>
    </row>
    <row r="269" spans="1:10" x14ac:dyDescent="0.3">
      <c r="A269" s="13" t="s">
        <v>2073</v>
      </c>
      <c r="B269" s="13">
        <v>1503050</v>
      </c>
      <c r="C269" s="147" t="s">
        <v>14</v>
      </c>
      <c r="D269" s="173" t="s">
        <v>282</v>
      </c>
      <c r="E269" s="193">
        <v>6</v>
      </c>
      <c r="F269" s="193" t="s">
        <v>34</v>
      </c>
      <c r="G269" s="190">
        <v>0</v>
      </c>
      <c r="H269" s="63">
        <v>0</v>
      </c>
      <c r="J269" s="57"/>
    </row>
    <row r="270" spans="1:10" x14ac:dyDescent="0.3">
      <c r="A270" s="13" t="s">
        <v>2154</v>
      </c>
      <c r="B270" s="13"/>
      <c r="C270" s="147" t="s">
        <v>14</v>
      </c>
      <c r="D270" s="185" t="s">
        <v>284</v>
      </c>
      <c r="E270" s="56"/>
      <c r="F270" s="56"/>
      <c r="G270" s="63"/>
      <c r="H270" s="63"/>
      <c r="J270" s="57"/>
    </row>
    <row r="271" spans="1:10" x14ac:dyDescent="0.3">
      <c r="A271" s="13" t="s">
        <v>2155</v>
      </c>
      <c r="B271" s="13">
        <v>1503050</v>
      </c>
      <c r="C271" s="147"/>
      <c r="D271" s="163" t="s">
        <v>2809</v>
      </c>
      <c r="E271" s="194">
        <v>6</v>
      </c>
      <c r="F271" s="195" t="s">
        <v>34</v>
      </c>
      <c r="G271" s="196">
        <f t="shared" ref="G271:G272" si="52">H271/E271</f>
        <v>0</v>
      </c>
      <c r="H271" s="63">
        <v>0</v>
      </c>
      <c r="J271" s="57"/>
    </row>
    <row r="272" spans="1:10" x14ac:dyDescent="0.3">
      <c r="A272" s="8" t="s">
        <v>2156</v>
      </c>
      <c r="B272" s="8">
        <v>1503050</v>
      </c>
      <c r="C272" s="146">
        <v>3.1</v>
      </c>
      <c r="D272" s="170" t="s">
        <v>2810</v>
      </c>
      <c r="E272" s="59">
        <v>6</v>
      </c>
      <c r="F272" s="56" t="s">
        <v>34</v>
      </c>
      <c r="G272" s="63">
        <f t="shared" si="52"/>
        <v>0</v>
      </c>
      <c r="H272" s="63">
        <v>0</v>
      </c>
      <c r="J272" s="57"/>
    </row>
    <row r="273" spans="1:10" x14ac:dyDescent="0.3">
      <c r="A273" s="8" t="s">
        <v>2157</v>
      </c>
      <c r="B273" s="8">
        <v>1503050</v>
      </c>
      <c r="C273" s="146">
        <v>3.1</v>
      </c>
      <c r="D273" s="171" t="s">
        <v>2811</v>
      </c>
      <c r="E273" s="59">
        <v>6</v>
      </c>
      <c r="F273" s="56" t="s">
        <v>34</v>
      </c>
      <c r="G273" s="63">
        <f t="shared" ref="G273:H273" si="53">SUM(G271:G272)</f>
        <v>0</v>
      </c>
      <c r="H273" s="63">
        <f t="shared" si="53"/>
        <v>0</v>
      </c>
      <c r="J273" s="57"/>
    </row>
    <row r="274" spans="1:10" ht="12.75" customHeight="1" x14ac:dyDescent="0.3">
      <c r="A274" s="8" t="s">
        <v>2158</v>
      </c>
      <c r="B274" s="8">
        <v>1503050</v>
      </c>
      <c r="C274" s="8">
        <v>3.1</v>
      </c>
      <c r="D274" s="166" t="s">
        <v>289</v>
      </c>
      <c r="E274" s="59">
        <v>6</v>
      </c>
      <c r="F274" s="59" t="s">
        <v>34</v>
      </c>
      <c r="G274" s="63">
        <v>0</v>
      </c>
      <c r="H274" s="63">
        <v>0</v>
      </c>
      <c r="J274" s="57"/>
    </row>
    <row r="275" spans="1:10" x14ac:dyDescent="0.3">
      <c r="A275" s="8" t="s">
        <v>2159</v>
      </c>
      <c r="B275" s="8">
        <v>1503050</v>
      </c>
      <c r="C275" s="8">
        <v>3.2</v>
      </c>
      <c r="D275" s="60" t="s">
        <v>291</v>
      </c>
      <c r="E275" s="59">
        <v>6</v>
      </c>
      <c r="F275" s="56" t="s">
        <v>34</v>
      </c>
      <c r="G275" s="63">
        <f t="shared" ref="G275:G276" si="54">H275/E275</f>
        <v>0</v>
      </c>
      <c r="H275" s="63">
        <v>0</v>
      </c>
      <c r="J275" s="57"/>
    </row>
    <row r="276" spans="1:10" ht="12.75" customHeight="1" x14ac:dyDescent="0.3">
      <c r="A276" s="8" t="s">
        <v>2160</v>
      </c>
      <c r="B276" s="8">
        <v>1503050</v>
      </c>
      <c r="C276" s="8">
        <v>3.3</v>
      </c>
      <c r="D276" s="9" t="s">
        <v>2812</v>
      </c>
      <c r="E276" s="59">
        <v>6</v>
      </c>
      <c r="F276" s="56" t="s">
        <v>34</v>
      </c>
      <c r="G276" s="63">
        <f t="shared" si="54"/>
        <v>0</v>
      </c>
      <c r="H276" s="63">
        <v>0</v>
      </c>
      <c r="J276" s="57"/>
    </row>
    <row r="277" spans="1:10" x14ac:dyDescent="0.3">
      <c r="A277" s="8" t="s">
        <v>2161</v>
      </c>
      <c r="B277" s="8">
        <v>1503050</v>
      </c>
      <c r="C277" s="8">
        <v>3.5</v>
      </c>
      <c r="D277" s="172" t="s">
        <v>2813</v>
      </c>
      <c r="E277" s="59">
        <v>6</v>
      </c>
      <c r="F277" s="56" t="s">
        <v>34</v>
      </c>
      <c r="G277" s="63">
        <f t="shared" ref="G277" si="55">SUM(G275:G276)</f>
        <v>0</v>
      </c>
      <c r="H277" s="63">
        <f>SUM(H274:H276)</f>
        <v>0</v>
      </c>
      <c r="J277" s="57"/>
    </row>
    <row r="278" spans="1:10" x14ac:dyDescent="0.3">
      <c r="A278" s="8" t="s">
        <v>2162</v>
      </c>
      <c r="B278" s="8">
        <v>1503050</v>
      </c>
      <c r="C278" s="146">
        <v>3.6</v>
      </c>
      <c r="D278" s="168" t="s">
        <v>295</v>
      </c>
      <c r="E278" s="59">
        <v>6</v>
      </c>
      <c r="F278" s="59" t="s">
        <v>34</v>
      </c>
      <c r="G278" s="63">
        <v>0</v>
      </c>
      <c r="H278" s="63">
        <v>0</v>
      </c>
      <c r="J278" s="57"/>
    </row>
    <row r="279" spans="1:10" x14ac:dyDescent="0.3">
      <c r="A279" s="8" t="s">
        <v>2163</v>
      </c>
      <c r="B279" s="8">
        <v>1503050</v>
      </c>
      <c r="C279" s="146">
        <v>3.7</v>
      </c>
      <c r="D279" s="168" t="s">
        <v>297</v>
      </c>
      <c r="E279" s="59">
        <v>6</v>
      </c>
      <c r="F279" s="56" t="s">
        <v>34</v>
      </c>
      <c r="G279" s="63">
        <f t="shared" ref="G279:G280" si="56">H279/E279</f>
        <v>0</v>
      </c>
      <c r="H279" s="63">
        <v>0</v>
      </c>
      <c r="J279" s="57"/>
    </row>
    <row r="280" spans="1:10" x14ac:dyDescent="0.3">
      <c r="A280" s="13"/>
      <c r="B280" s="13"/>
      <c r="C280" s="147"/>
      <c r="D280" s="173" t="s">
        <v>3631</v>
      </c>
      <c r="E280" s="193">
        <v>6</v>
      </c>
      <c r="F280" s="189" t="s">
        <v>34</v>
      </c>
      <c r="G280" s="190">
        <f t="shared" si="56"/>
        <v>0</v>
      </c>
      <c r="H280" s="63">
        <v>0</v>
      </c>
      <c r="J280" s="57"/>
    </row>
    <row r="281" spans="1:10" x14ac:dyDescent="0.3">
      <c r="A281" s="13" t="s">
        <v>2164</v>
      </c>
      <c r="B281" s="13">
        <v>1503050</v>
      </c>
      <c r="C281" s="146"/>
      <c r="D281" s="179" t="s">
        <v>2815</v>
      </c>
      <c r="E281" s="59"/>
      <c r="F281" s="56"/>
      <c r="G281" s="63"/>
      <c r="H281" s="63"/>
      <c r="J281" s="57"/>
    </row>
    <row r="282" spans="1:10" ht="12.75" customHeight="1" x14ac:dyDescent="0.3">
      <c r="A282" s="8" t="s">
        <v>2165</v>
      </c>
      <c r="B282" s="8">
        <v>1503050</v>
      </c>
      <c r="C282" s="8">
        <v>3.1</v>
      </c>
      <c r="D282" s="53" t="s">
        <v>2816</v>
      </c>
      <c r="E282" s="194">
        <v>6</v>
      </c>
      <c r="F282" s="195" t="s">
        <v>34</v>
      </c>
      <c r="G282" s="196">
        <f>G281+G277+G273+G268</f>
        <v>0</v>
      </c>
      <c r="H282" s="63">
        <f>H281+H277+H273+H268</f>
        <v>0</v>
      </c>
      <c r="J282" s="57" t="s">
        <v>14</v>
      </c>
    </row>
    <row r="283" spans="1:10" ht="12.75" customHeight="1" x14ac:dyDescent="0.3">
      <c r="A283" s="8" t="s">
        <v>2166</v>
      </c>
      <c r="B283" s="8">
        <v>1503050</v>
      </c>
      <c r="C283" s="8">
        <v>3.1</v>
      </c>
      <c r="D283" s="152" t="s">
        <v>301</v>
      </c>
      <c r="E283" s="8">
        <v>6</v>
      </c>
      <c r="F283" s="8" t="s">
        <v>34</v>
      </c>
      <c r="G283" s="20">
        <f>G282+G258</f>
        <v>0</v>
      </c>
      <c r="H283" s="20">
        <f>H282+H258</f>
        <v>0</v>
      </c>
    </row>
    <row r="284" spans="1:10" ht="12.75" customHeight="1" x14ac:dyDescent="0.3">
      <c r="A284" s="8" t="s">
        <v>2167</v>
      </c>
      <c r="B284" s="8">
        <v>1503050</v>
      </c>
      <c r="C284" s="8">
        <v>3.1</v>
      </c>
      <c r="D284" s="9" t="s">
        <v>303</v>
      </c>
      <c r="E284" s="8">
        <v>6</v>
      </c>
      <c r="F284" s="8" t="s">
        <v>34</v>
      </c>
      <c r="G284" s="20">
        <f>G283+G228</f>
        <v>0</v>
      </c>
      <c r="H284" s="20">
        <f>H283+H228</f>
        <v>0</v>
      </c>
    </row>
    <row r="285" spans="1:10" x14ac:dyDescent="0.3">
      <c r="A285" s="8" t="s">
        <v>2168</v>
      </c>
      <c r="B285" s="8">
        <v>1503050</v>
      </c>
      <c r="C285" s="8">
        <v>3.2</v>
      </c>
      <c r="D285" s="152" t="s">
        <v>305</v>
      </c>
      <c r="E285" s="8">
        <v>6</v>
      </c>
      <c r="F285" s="8" t="s">
        <v>34</v>
      </c>
      <c r="G285" s="20">
        <v>0</v>
      </c>
      <c r="H285" s="20">
        <v>0</v>
      </c>
    </row>
    <row r="286" spans="1:10" x14ac:dyDescent="0.3">
      <c r="A286" s="8" t="s">
        <v>2169</v>
      </c>
      <c r="B286" s="8">
        <v>1503050</v>
      </c>
      <c r="C286" s="8">
        <v>3.3</v>
      </c>
      <c r="D286" s="152" t="s">
        <v>2817</v>
      </c>
      <c r="E286" s="8">
        <v>6</v>
      </c>
      <c r="F286" s="8" t="s">
        <v>34</v>
      </c>
      <c r="G286" s="20">
        <v>0</v>
      </c>
      <c r="H286" s="20">
        <v>0</v>
      </c>
    </row>
    <row r="287" spans="1:10" x14ac:dyDescent="0.3">
      <c r="A287" s="8" t="s">
        <v>2170</v>
      </c>
      <c r="B287" s="8">
        <v>1503050</v>
      </c>
      <c r="C287" s="8">
        <v>3.5</v>
      </c>
      <c r="D287" s="152" t="s">
        <v>2818</v>
      </c>
      <c r="E287" s="8">
        <v>6</v>
      </c>
      <c r="F287" s="8" t="s">
        <v>34</v>
      </c>
      <c r="G287" s="20">
        <v>0</v>
      </c>
      <c r="H287" s="20">
        <v>0</v>
      </c>
    </row>
    <row r="288" spans="1:10" x14ac:dyDescent="0.3">
      <c r="A288" s="8" t="s">
        <v>2171</v>
      </c>
      <c r="B288" s="8">
        <v>1503050</v>
      </c>
      <c r="C288" s="8">
        <v>3.6</v>
      </c>
      <c r="D288" s="152" t="s">
        <v>309</v>
      </c>
      <c r="E288" s="8">
        <v>6</v>
      </c>
      <c r="F288" s="8" t="s">
        <v>34</v>
      </c>
      <c r="G288" s="20">
        <v>0</v>
      </c>
      <c r="H288" s="20">
        <v>0</v>
      </c>
    </row>
    <row r="289" spans="1:8" x14ac:dyDescent="0.3">
      <c r="A289" s="8" t="s">
        <v>2172</v>
      </c>
      <c r="B289" s="8">
        <v>1503050</v>
      </c>
      <c r="C289" s="8">
        <v>3.7</v>
      </c>
      <c r="D289" s="152" t="s">
        <v>2819</v>
      </c>
      <c r="E289" s="8">
        <v>6</v>
      </c>
      <c r="F289" s="8" t="s">
        <v>34</v>
      </c>
      <c r="G289" s="20">
        <v>0</v>
      </c>
      <c r="H289" s="20">
        <v>0</v>
      </c>
    </row>
    <row r="290" spans="1:8" x14ac:dyDescent="0.3">
      <c r="A290" s="13"/>
      <c r="B290" s="13"/>
      <c r="C290" s="13"/>
      <c r="D290" s="155" t="s">
        <v>2173</v>
      </c>
      <c r="E290" s="157">
        <v>6</v>
      </c>
      <c r="F290" s="157" t="s">
        <v>34</v>
      </c>
      <c r="G290" s="201">
        <v>0</v>
      </c>
      <c r="H290" s="20">
        <v>0</v>
      </c>
    </row>
    <row r="291" spans="1:8" x14ac:dyDescent="0.3">
      <c r="A291" s="13" t="s">
        <v>2174</v>
      </c>
      <c r="B291" s="13">
        <v>1503050</v>
      </c>
      <c r="C291" s="147"/>
      <c r="D291" s="177" t="s">
        <v>2820</v>
      </c>
      <c r="E291" s="8"/>
      <c r="F291" s="8"/>
      <c r="G291" s="20"/>
      <c r="H291" s="20"/>
    </row>
    <row r="292" spans="1:8" x14ac:dyDescent="0.3">
      <c r="A292" s="8" t="s">
        <v>2175</v>
      </c>
      <c r="B292" s="8">
        <v>1503050</v>
      </c>
      <c r="C292" s="146">
        <v>3.1</v>
      </c>
      <c r="D292" s="165" t="s">
        <v>2821</v>
      </c>
      <c r="E292" s="149">
        <v>6</v>
      </c>
      <c r="F292" s="149" t="s">
        <v>34</v>
      </c>
      <c r="G292" s="191">
        <v>0</v>
      </c>
      <c r="H292" s="20">
        <v>0</v>
      </c>
    </row>
    <row r="293" spans="1:8" x14ac:dyDescent="0.3">
      <c r="A293" s="8" t="s">
        <v>2176</v>
      </c>
      <c r="B293" s="8">
        <v>1503050</v>
      </c>
      <c r="C293" s="146">
        <v>3.1</v>
      </c>
      <c r="D293" s="165" t="s">
        <v>315</v>
      </c>
      <c r="E293" s="8">
        <v>6</v>
      </c>
      <c r="F293" s="8" t="s">
        <v>34</v>
      </c>
      <c r="G293" s="20">
        <v>0</v>
      </c>
      <c r="H293" s="20">
        <v>0</v>
      </c>
    </row>
    <row r="294" spans="1:8" x14ac:dyDescent="0.3">
      <c r="A294" s="8" t="s">
        <v>2177</v>
      </c>
      <c r="B294" s="8">
        <v>1503050</v>
      </c>
      <c r="C294" s="8">
        <v>3.1</v>
      </c>
      <c r="D294" s="150" t="s">
        <v>317</v>
      </c>
      <c r="E294" s="8">
        <v>6</v>
      </c>
      <c r="F294" s="8" t="s">
        <v>34</v>
      </c>
      <c r="G294" s="20">
        <v>0</v>
      </c>
      <c r="H294" s="20">
        <v>0</v>
      </c>
    </row>
    <row r="295" spans="1:8" x14ac:dyDescent="0.3">
      <c r="A295" s="8" t="s">
        <v>2178</v>
      </c>
      <c r="B295" s="8">
        <v>1503050</v>
      </c>
      <c r="C295" s="8">
        <v>3.2</v>
      </c>
      <c r="D295" s="178" t="s">
        <v>319</v>
      </c>
      <c r="E295" s="8">
        <v>6</v>
      </c>
      <c r="F295" s="8" t="s">
        <v>34</v>
      </c>
      <c r="G295" s="20">
        <v>0</v>
      </c>
      <c r="H295" s="20">
        <v>0</v>
      </c>
    </row>
    <row r="296" spans="1:8" x14ac:dyDescent="0.3">
      <c r="A296" s="8" t="s">
        <v>2179</v>
      </c>
      <c r="B296" s="8">
        <v>1503050</v>
      </c>
      <c r="C296" s="8">
        <v>3.3</v>
      </c>
      <c r="D296" s="152" t="s">
        <v>321</v>
      </c>
      <c r="E296" s="8">
        <v>6</v>
      </c>
      <c r="F296" s="8" t="s">
        <v>34</v>
      </c>
      <c r="G296" s="20">
        <v>0</v>
      </c>
      <c r="H296" s="20">
        <v>0</v>
      </c>
    </row>
    <row r="297" spans="1:8" x14ac:dyDescent="0.3">
      <c r="A297" s="8" t="s">
        <v>2180</v>
      </c>
      <c r="B297" s="8">
        <v>1503050</v>
      </c>
      <c r="C297" s="8">
        <v>3.5</v>
      </c>
      <c r="D297" s="152" t="s">
        <v>2822</v>
      </c>
      <c r="E297" s="8">
        <v>6</v>
      </c>
      <c r="F297" s="8" t="s">
        <v>34</v>
      </c>
      <c r="G297" s="20">
        <v>0</v>
      </c>
      <c r="H297" s="20">
        <v>0</v>
      </c>
    </row>
    <row r="298" spans="1:8" x14ac:dyDescent="0.3">
      <c r="A298" s="8" t="s">
        <v>2181</v>
      </c>
      <c r="B298" s="8">
        <v>1503050</v>
      </c>
      <c r="C298" s="8">
        <v>3.6</v>
      </c>
      <c r="D298" s="152" t="s">
        <v>324</v>
      </c>
      <c r="E298" s="8">
        <v>6</v>
      </c>
      <c r="F298" s="8" t="s">
        <v>34</v>
      </c>
      <c r="G298" s="20">
        <v>0</v>
      </c>
      <c r="H298" s="20">
        <v>0</v>
      </c>
    </row>
    <row r="299" spans="1:8" x14ac:dyDescent="0.3">
      <c r="A299" s="8" t="s">
        <v>2182</v>
      </c>
      <c r="B299" s="8">
        <v>1503050</v>
      </c>
      <c r="C299" s="8">
        <v>3.7</v>
      </c>
      <c r="D299" s="152" t="s">
        <v>2823</v>
      </c>
      <c r="E299" s="8">
        <v>6</v>
      </c>
      <c r="F299" s="8" t="s">
        <v>34</v>
      </c>
      <c r="G299" s="20">
        <v>0</v>
      </c>
      <c r="H299" s="20">
        <v>0</v>
      </c>
    </row>
    <row r="300" spans="1:8" x14ac:dyDescent="0.3">
      <c r="A300" s="13"/>
      <c r="B300" s="13"/>
      <c r="C300" s="13"/>
      <c r="D300" s="155" t="s">
        <v>2183</v>
      </c>
      <c r="E300" s="157">
        <v>6</v>
      </c>
      <c r="F300" s="157" t="s">
        <v>34</v>
      </c>
      <c r="G300" s="201">
        <v>0</v>
      </c>
      <c r="H300" s="20">
        <v>0</v>
      </c>
    </row>
    <row r="301" spans="1:8" x14ac:dyDescent="0.3">
      <c r="A301" s="13" t="s">
        <v>2184</v>
      </c>
      <c r="B301" s="13">
        <v>1503050</v>
      </c>
      <c r="C301" s="146"/>
      <c r="D301" s="179" t="s">
        <v>2824</v>
      </c>
      <c r="E301" s="8"/>
      <c r="F301" s="8"/>
      <c r="G301" s="20"/>
      <c r="H301" s="20"/>
    </row>
    <row r="302" spans="1:8" x14ac:dyDescent="0.3">
      <c r="A302" s="8" t="s">
        <v>2185</v>
      </c>
      <c r="B302" s="8">
        <v>1503050</v>
      </c>
      <c r="C302" s="146">
        <v>3.1</v>
      </c>
      <c r="D302" s="180" t="s">
        <v>2825</v>
      </c>
      <c r="E302" s="149">
        <v>6</v>
      </c>
      <c r="F302" s="149" t="s">
        <v>34</v>
      </c>
      <c r="G302" s="191">
        <v>0</v>
      </c>
      <c r="H302" s="20">
        <v>0</v>
      </c>
    </row>
    <row r="303" spans="1:8" x14ac:dyDescent="0.3">
      <c r="A303" s="8" t="s">
        <v>2186</v>
      </c>
      <c r="B303" s="8">
        <v>1503050</v>
      </c>
      <c r="C303" s="146">
        <v>3.1</v>
      </c>
      <c r="D303" s="181" t="s">
        <v>330</v>
      </c>
      <c r="E303" s="8">
        <v>6</v>
      </c>
      <c r="F303" s="8" t="s">
        <v>34</v>
      </c>
      <c r="G303" s="20">
        <v>0</v>
      </c>
      <c r="H303" s="20">
        <v>0</v>
      </c>
    </row>
    <row r="304" spans="1:8" x14ac:dyDescent="0.3">
      <c r="A304" s="8" t="s">
        <v>2187</v>
      </c>
      <c r="B304" s="8">
        <v>1503050</v>
      </c>
      <c r="C304" s="8">
        <v>3.1</v>
      </c>
      <c r="D304" s="53" t="s">
        <v>332</v>
      </c>
      <c r="E304" s="8">
        <v>6</v>
      </c>
      <c r="F304" s="8" t="s">
        <v>34</v>
      </c>
      <c r="G304" s="20">
        <v>0</v>
      </c>
      <c r="H304" s="20">
        <v>0</v>
      </c>
    </row>
    <row r="305" spans="1:8" x14ac:dyDescent="0.3">
      <c r="A305" s="8" t="s">
        <v>2188</v>
      </c>
      <c r="B305" s="8">
        <v>1503050</v>
      </c>
      <c r="C305" s="8">
        <v>3.2</v>
      </c>
      <c r="D305" s="152" t="s">
        <v>334</v>
      </c>
      <c r="E305" s="8">
        <v>6</v>
      </c>
      <c r="F305" s="8" t="s">
        <v>34</v>
      </c>
      <c r="G305" s="20">
        <v>0</v>
      </c>
      <c r="H305" s="20">
        <v>0</v>
      </c>
    </row>
    <row r="306" spans="1:8" x14ac:dyDescent="0.3">
      <c r="A306" s="8" t="s">
        <v>2189</v>
      </c>
      <c r="B306" s="8">
        <v>1503050</v>
      </c>
      <c r="C306" s="8">
        <v>3.3</v>
      </c>
      <c r="D306" s="152" t="s">
        <v>336</v>
      </c>
      <c r="E306" s="8">
        <v>6</v>
      </c>
      <c r="F306" s="8" t="s">
        <v>34</v>
      </c>
      <c r="G306" s="20">
        <v>0</v>
      </c>
      <c r="H306" s="20">
        <v>0</v>
      </c>
    </row>
    <row r="307" spans="1:8" x14ac:dyDescent="0.3">
      <c r="A307" s="8" t="s">
        <v>2190</v>
      </c>
      <c r="B307" s="8">
        <v>1503050</v>
      </c>
      <c r="C307" s="8">
        <v>3.5</v>
      </c>
      <c r="D307" s="152" t="s">
        <v>2826</v>
      </c>
      <c r="E307" s="8">
        <v>6</v>
      </c>
      <c r="F307" s="8" t="s">
        <v>34</v>
      </c>
      <c r="G307" s="20">
        <v>0</v>
      </c>
      <c r="H307" s="20">
        <v>0</v>
      </c>
    </row>
    <row r="308" spans="1:8" x14ac:dyDescent="0.3">
      <c r="A308" s="8" t="s">
        <v>2191</v>
      </c>
      <c r="B308" s="8">
        <v>1503050</v>
      </c>
      <c r="C308" s="8">
        <v>3.6</v>
      </c>
      <c r="D308" s="152" t="s">
        <v>339</v>
      </c>
      <c r="E308" s="8">
        <v>6</v>
      </c>
      <c r="F308" s="8" t="s">
        <v>34</v>
      </c>
      <c r="G308" s="20">
        <v>0</v>
      </c>
      <c r="H308" s="20">
        <v>0</v>
      </c>
    </row>
    <row r="309" spans="1:8" x14ac:dyDescent="0.3">
      <c r="A309" s="8" t="s">
        <v>2192</v>
      </c>
      <c r="B309" s="8">
        <v>1503050</v>
      </c>
      <c r="C309" s="8">
        <v>3.7</v>
      </c>
      <c r="D309" s="152" t="s">
        <v>341</v>
      </c>
      <c r="E309" s="8">
        <v>6</v>
      </c>
      <c r="F309" s="8" t="s">
        <v>34</v>
      </c>
      <c r="G309" s="20">
        <v>0</v>
      </c>
      <c r="H309" s="20">
        <v>0</v>
      </c>
    </row>
    <row r="310" spans="1:8" x14ac:dyDescent="0.3">
      <c r="A310" s="13"/>
      <c r="B310" s="13"/>
      <c r="C310" s="13"/>
      <c r="D310" s="153" t="s">
        <v>2193</v>
      </c>
      <c r="E310" s="8">
        <v>6</v>
      </c>
      <c r="F310" s="8" t="s">
        <v>34</v>
      </c>
      <c r="G310" s="20">
        <v>0</v>
      </c>
      <c r="H310" s="20">
        <v>0</v>
      </c>
    </row>
    <row r="311" spans="1:8" x14ac:dyDescent="0.3">
      <c r="A311" s="13" t="s">
        <v>2154</v>
      </c>
      <c r="B311" s="13">
        <v>1503050</v>
      </c>
      <c r="C311" s="13" t="s">
        <v>14</v>
      </c>
      <c r="D311" s="153" t="s">
        <v>343</v>
      </c>
      <c r="E311" s="8">
        <v>6</v>
      </c>
      <c r="F311" s="8" t="s">
        <v>34</v>
      </c>
      <c r="G311" s="20">
        <v>0</v>
      </c>
      <c r="H311" s="20">
        <v>0</v>
      </c>
    </row>
    <row r="312" spans="1:8" x14ac:dyDescent="0.3">
      <c r="A312" s="214" t="s">
        <v>2827</v>
      </c>
      <c r="B312" s="214"/>
      <c r="C312" s="214"/>
      <c r="D312" s="215"/>
      <c r="E312" s="157">
        <v>6</v>
      </c>
      <c r="F312" s="157" t="s">
        <v>34</v>
      </c>
      <c r="G312" s="201">
        <v>0</v>
      </c>
      <c r="H312" s="20">
        <v>0</v>
      </c>
    </row>
    <row r="313" spans="1:8" x14ac:dyDescent="0.3">
      <c r="A313" s="212" t="s">
        <v>2828</v>
      </c>
      <c r="B313" s="212"/>
      <c r="C313" s="212"/>
      <c r="D313" s="213"/>
      <c r="E313" s="8"/>
      <c r="F313" s="8"/>
      <c r="G313" s="20"/>
      <c r="H313" s="205"/>
    </row>
    <row r="314" spans="1:8" x14ac:dyDescent="0.3">
      <c r="A314" s="160" t="s">
        <v>1998</v>
      </c>
      <c r="B314" s="160"/>
      <c r="C314" s="161" t="s">
        <v>14</v>
      </c>
      <c r="D314" s="182" t="s">
        <v>2829</v>
      </c>
      <c r="E314" s="8"/>
      <c r="F314" s="8"/>
      <c r="G314" s="20"/>
      <c r="H314" s="20"/>
    </row>
    <row r="315" spans="1:8" x14ac:dyDescent="0.3">
      <c r="A315" s="13" t="s">
        <v>3632</v>
      </c>
      <c r="B315" s="13">
        <v>1503060</v>
      </c>
      <c r="C315" s="147"/>
      <c r="D315" s="177" t="s">
        <v>2830</v>
      </c>
      <c r="E315" s="8"/>
      <c r="F315" s="8"/>
      <c r="G315" s="20"/>
      <c r="H315" s="20"/>
    </row>
    <row r="316" spans="1:8" x14ac:dyDescent="0.3">
      <c r="A316" s="8" t="s">
        <v>3633</v>
      </c>
      <c r="B316" s="8">
        <v>1503060</v>
      </c>
      <c r="C316" s="146">
        <v>3.1</v>
      </c>
      <c r="D316" s="181" t="s">
        <v>346</v>
      </c>
      <c r="E316" s="149">
        <v>6</v>
      </c>
      <c r="F316" s="149" t="s">
        <v>34</v>
      </c>
      <c r="G316" s="191">
        <v>0</v>
      </c>
      <c r="H316" s="20">
        <v>0</v>
      </c>
    </row>
    <row r="317" spans="1:8" x14ac:dyDescent="0.3">
      <c r="A317" s="8" t="s">
        <v>3634</v>
      </c>
      <c r="B317" s="8">
        <v>1503060</v>
      </c>
      <c r="C317" s="146">
        <v>3.2</v>
      </c>
      <c r="D317" s="181" t="s">
        <v>348</v>
      </c>
      <c r="E317" s="8">
        <v>6</v>
      </c>
      <c r="F317" s="8" t="s">
        <v>34</v>
      </c>
      <c r="G317" s="20">
        <v>0</v>
      </c>
      <c r="H317" s="20">
        <v>0</v>
      </c>
    </row>
    <row r="318" spans="1:8" x14ac:dyDescent="0.3">
      <c r="A318" s="13"/>
      <c r="B318" s="13"/>
      <c r="C318" s="147"/>
      <c r="D318" s="183" t="s">
        <v>3638</v>
      </c>
      <c r="E318" s="8"/>
      <c r="F318" s="8"/>
      <c r="G318" s="20"/>
      <c r="H318" s="20"/>
    </row>
    <row r="319" spans="1:8" x14ac:dyDescent="0.3">
      <c r="A319" s="13" t="s">
        <v>3635</v>
      </c>
      <c r="B319" s="13">
        <v>1503060</v>
      </c>
      <c r="C319" s="146"/>
      <c r="D319" s="177" t="s">
        <v>2831</v>
      </c>
      <c r="E319" s="8"/>
      <c r="F319" s="8"/>
      <c r="G319" s="20"/>
      <c r="H319" s="20"/>
    </row>
    <row r="320" spans="1:8" x14ac:dyDescent="0.3">
      <c r="A320" s="8" t="s">
        <v>3636</v>
      </c>
      <c r="B320" s="8">
        <v>1503060</v>
      </c>
      <c r="C320" s="146">
        <v>3.1</v>
      </c>
      <c r="D320" s="181" t="s">
        <v>352</v>
      </c>
      <c r="E320" s="8">
        <v>6</v>
      </c>
      <c r="F320" s="8" t="s">
        <v>34</v>
      </c>
      <c r="G320" s="20">
        <v>0</v>
      </c>
      <c r="H320" s="20">
        <v>0</v>
      </c>
    </row>
    <row r="321" spans="1:8" x14ac:dyDescent="0.3">
      <c r="A321" s="8" t="s">
        <v>3637</v>
      </c>
      <c r="B321" s="8">
        <v>1503060</v>
      </c>
      <c r="C321" s="146">
        <v>3.2</v>
      </c>
      <c r="D321" s="181" t="s">
        <v>354</v>
      </c>
      <c r="E321" s="8">
        <v>6</v>
      </c>
      <c r="F321" s="8" t="s">
        <v>34</v>
      </c>
      <c r="G321" s="20">
        <v>0</v>
      </c>
      <c r="H321" s="20">
        <v>0</v>
      </c>
    </row>
    <row r="322" spans="1:8" x14ac:dyDescent="0.3">
      <c r="A322" s="13"/>
      <c r="B322" s="13"/>
      <c r="C322" s="147"/>
      <c r="D322" s="183" t="s">
        <v>3639</v>
      </c>
      <c r="E322" s="8"/>
      <c r="F322" s="8"/>
      <c r="G322" s="20"/>
      <c r="H322" s="20"/>
    </row>
    <row r="323" spans="1:8" x14ac:dyDescent="0.3">
      <c r="A323" s="13" t="s">
        <v>3640</v>
      </c>
      <c r="B323" s="13">
        <v>1503060</v>
      </c>
      <c r="C323" s="147"/>
      <c r="D323" s="177" t="s">
        <v>2832</v>
      </c>
      <c r="E323" s="8"/>
      <c r="F323" s="8"/>
      <c r="G323" s="20"/>
      <c r="H323" s="20"/>
    </row>
    <row r="324" spans="1:8" x14ac:dyDescent="0.3">
      <c r="A324" s="8" t="s">
        <v>3641</v>
      </c>
      <c r="B324" s="8">
        <v>1503060</v>
      </c>
      <c r="C324" s="146">
        <v>3.1</v>
      </c>
      <c r="D324" s="184" t="s">
        <v>2833</v>
      </c>
      <c r="E324" s="8">
        <v>6</v>
      </c>
      <c r="F324" s="8" t="s">
        <v>34</v>
      </c>
      <c r="G324" s="20">
        <v>0</v>
      </c>
      <c r="H324" s="20">
        <v>0</v>
      </c>
    </row>
    <row r="325" spans="1:8" x14ac:dyDescent="0.3">
      <c r="A325" s="8" t="s">
        <v>3642</v>
      </c>
      <c r="B325" s="8">
        <v>1503060</v>
      </c>
      <c r="C325" s="146">
        <v>3.2</v>
      </c>
      <c r="D325" s="184" t="s">
        <v>2834</v>
      </c>
      <c r="E325" s="8">
        <v>6</v>
      </c>
      <c r="F325" s="8" t="s">
        <v>34</v>
      </c>
      <c r="G325" s="20">
        <v>0</v>
      </c>
      <c r="H325" s="20">
        <v>0</v>
      </c>
    </row>
    <row r="326" spans="1:8" x14ac:dyDescent="0.3">
      <c r="A326" s="13"/>
      <c r="B326" s="13"/>
      <c r="C326" s="147"/>
      <c r="D326" s="183" t="s">
        <v>3646</v>
      </c>
      <c r="E326" s="8"/>
      <c r="F326" s="8"/>
      <c r="G326" s="20"/>
      <c r="H326" s="20"/>
    </row>
    <row r="327" spans="1:8" x14ac:dyDescent="0.3">
      <c r="A327" s="13" t="s">
        <v>3643</v>
      </c>
      <c r="B327" s="13">
        <v>1503060</v>
      </c>
      <c r="C327" s="146"/>
      <c r="D327" s="177" t="s">
        <v>2835</v>
      </c>
      <c r="E327" s="8"/>
      <c r="F327" s="8"/>
      <c r="G327" s="20"/>
      <c r="H327" s="20"/>
    </row>
    <row r="328" spans="1:8" x14ac:dyDescent="0.3">
      <c r="A328" s="8" t="s">
        <v>3644</v>
      </c>
      <c r="B328" s="8">
        <v>1503060</v>
      </c>
      <c r="C328" s="146">
        <v>3.1</v>
      </c>
      <c r="D328" s="181" t="s">
        <v>2836</v>
      </c>
      <c r="E328" s="8">
        <v>6</v>
      </c>
      <c r="F328" s="8" t="s">
        <v>34</v>
      </c>
      <c r="G328" s="20">
        <v>0</v>
      </c>
      <c r="H328" s="20">
        <v>0</v>
      </c>
    </row>
    <row r="329" spans="1:8" x14ac:dyDescent="0.3">
      <c r="A329" s="8" t="s">
        <v>3645</v>
      </c>
      <c r="B329" s="8">
        <v>1503060</v>
      </c>
      <c r="C329" s="146">
        <v>3.2</v>
      </c>
      <c r="D329" s="181" t="s">
        <v>363</v>
      </c>
      <c r="E329" s="8">
        <v>6</v>
      </c>
      <c r="F329" s="8" t="s">
        <v>34</v>
      </c>
      <c r="G329" s="20">
        <v>0</v>
      </c>
      <c r="H329" s="20">
        <v>0</v>
      </c>
    </row>
    <row r="330" spans="1:8" x14ac:dyDescent="0.3">
      <c r="A330" s="13"/>
      <c r="B330" s="13"/>
      <c r="C330" s="147"/>
      <c r="D330" s="176" t="s">
        <v>3647</v>
      </c>
      <c r="E330" s="8"/>
      <c r="F330" s="8"/>
      <c r="G330" s="20"/>
      <c r="H330" s="20"/>
    </row>
    <row r="331" spans="1:8" x14ac:dyDescent="0.3">
      <c r="A331" s="13" t="s">
        <v>3648</v>
      </c>
      <c r="B331" s="13">
        <v>1503060</v>
      </c>
      <c r="C331" s="147"/>
      <c r="D331" s="177" t="s">
        <v>2837</v>
      </c>
      <c r="E331" s="8"/>
      <c r="F331" s="8"/>
      <c r="G331" s="20"/>
      <c r="H331" s="20"/>
    </row>
    <row r="332" spans="1:8" x14ac:dyDescent="0.3">
      <c r="A332" s="13" t="s">
        <v>3649</v>
      </c>
      <c r="B332" s="13">
        <v>1503060</v>
      </c>
      <c r="C332" s="146"/>
      <c r="D332" s="177" t="s">
        <v>2838</v>
      </c>
      <c r="E332" s="8"/>
      <c r="F332" s="8"/>
      <c r="G332" s="20"/>
      <c r="H332" s="20"/>
    </row>
    <row r="333" spans="1:8" x14ac:dyDescent="0.3">
      <c r="A333" s="8" t="s">
        <v>3650</v>
      </c>
      <c r="B333" s="8">
        <v>1503060</v>
      </c>
      <c r="C333" s="146">
        <v>3.1</v>
      </c>
      <c r="D333" s="181" t="s">
        <v>368</v>
      </c>
      <c r="E333" s="8">
        <v>6</v>
      </c>
      <c r="F333" s="8" t="s">
        <v>34</v>
      </c>
      <c r="G333" s="20">
        <v>0</v>
      </c>
      <c r="H333" s="20">
        <v>0</v>
      </c>
    </row>
    <row r="334" spans="1:8" x14ac:dyDescent="0.3">
      <c r="A334" s="8" t="s">
        <v>3651</v>
      </c>
      <c r="B334" s="8">
        <v>1503060</v>
      </c>
      <c r="C334" s="146">
        <v>3.2</v>
      </c>
      <c r="D334" s="181" t="s">
        <v>370</v>
      </c>
      <c r="E334" s="8">
        <v>6</v>
      </c>
      <c r="F334" s="8" t="s">
        <v>34</v>
      </c>
      <c r="G334" s="20">
        <v>0</v>
      </c>
      <c r="H334" s="20">
        <v>0</v>
      </c>
    </row>
    <row r="335" spans="1:8" x14ac:dyDescent="0.3">
      <c r="A335" s="13"/>
      <c r="B335" s="13"/>
      <c r="C335" s="147"/>
      <c r="D335" s="183" t="s">
        <v>3652</v>
      </c>
      <c r="E335" s="8"/>
      <c r="F335" s="8"/>
      <c r="G335" s="20"/>
      <c r="H335" s="20"/>
    </row>
    <row r="336" spans="1:8" x14ac:dyDescent="0.3">
      <c r="A336" s="13" t="s">
        <v>3653</v>
      </c>
      <c r="B336" s="13">
        <v>1503060</v>
      </c>
      <c r="C336" s="146"/>
      <c r="D336" s="177" t="s">
        <v>2839</v>
      </c>
      <c r="E336" s="8"/>
      <c r="F336" s="8"/>
      <c r="G336" s="20"/>
      <c r="H336" s="20"/>
    </row>
    <row r="337" spans="1:8" x14ac:dyDescent="0.3">
      <c r="A337" s="8" t="s">
        <v>3654</v>
      </c>
      <c r="B337" s="8">
        <v>1503060</v>
      </c>
      <c r="C337" s="146">
        <v>3.1</v>
      </c>
      <c r="D337" s="181" t="s">
        <v>374</v>
      </c>
      <c r="E337" s="8">
        <v>6</v>
      </c>
      <c r="F337" s="8" t="s">
        <v>34</v>
      </c>
      <c r="G337" s="20">
        <v>0</v>
      </c>
      <c r="H337" s="20">
        <v>0</v>
      </c>
    </row>
    <row r="338" spans="1:8" x14ac:dyDescent="0.3">
      <c r="A338" s="8" t="s">
        <v>3655</v>
      </c>
      <c r="B338" s="8">
        <v>1503060</v>
      </c>
      <c r="C338" s="146">
        <v>3.2</v>
      </c>
      <c r="D338" s="181" t="s">
        <v>2840</v>
      </c>
      <c r="E338" s="8">
        <v>6</v>
      </c>
      <c r="F338" s="8" t="s">
        <v>34</v>
      </c>
      <c r="G338" s="20">
        <v>0</v>
      </c>
      <c r="H338" s="20">
        <v>0</v>
      </c>
    </row>
    <row r="339" spans="1:8" x14ac:dyDescent="0.3">
      <c r="A339" s="13"/>
      <c r="B339" s="13"/>
      <c r="C339" s="147"/>
      <c r="D339" s="176" t="s">
        <v>3656</v>
      </c>
      <c r="E339" s="8">
        <v>6</v>
      </c>
      <c r="F339" s="8" t="s">
        <v>34</v>
      </c>
      <c r="G339" s="20">
        <v>0</v>
      </c>
      <c r="H339" s="20">
        <v>0</v>
      </c>
    </row>
    <row r="340" spans="1:8" x14ac:dyDescent="0.3">
      <c r="A340" s="13" t="s">
        <v>2194</v>
      </c>
      <c r="B340" s="13">
        <v>1503060</v>
      </c>
      <c r="C340" s="13"/>
      <c r="D340" s="154" t="s">
        <v>2841</v>
      </c>
      <c r="E340" s="8"/>
      <c r="F340" s="8"/>
      <c r="G340" s="20"/>
      <c r="H340" s="20"/>
    </row>
    <row r="341" spans="1:8" x14ac:dyDescent="0.3">
      <c r="A341" s="13" t="s">
        <v>1998</v>
      </c>
      <c r="B341" s="13">
        <v>1503060</v>
      </c>
      <c r="C341" s="13" t="s">
        <v>14</v>
      </c>
      <c r="D341" s="155" t="s">
        <v>2842</v>
      </c>
      <c r="E341" s="8">
        <v>6</v>
      </c>
      <c r="F341" s="8" t="s">
        <v>34</v>
      </c>
      <c r="G341" s="20">
        <v>0</v>
      </c>
      <c r="H341" s="20">
        <v>0</v>
      </c>
    </row>
    <row r="342" spans="1:8" x14ac:dyDescent="0.3">
      <c r="A342" s="13" t="s">
        <v>2069</v>
      </c>
      <c r="B342" s="13">
        <v>1503060</v>
      </c>
      <c r="C342" s="147" t="s">
        <v>14</v>
      </c>
      <c r="D342" s="185" t="s">
        <v>2843</v>
      </c>
      <c r="E342" s="8"/>
      <c r="F342" s="8"/>
      <c r="G342" s="20"/>
      <c r="H342" s="20"/>
    </row>
    <row r="343" spans="1:8" x14ac:dyDescent="0.3">
      <c r="A343" s="13" t="s">
        <v>2070</v>
      </c>
      <c r="B343" s="13">
        <v>1503060</v>
      </c>
      <c r="C343" s="147" t="s">
        <v>14</v>
      </c>
      <c r="D343" s="185" t="s">
        <v>2844</v>
      </c>
      <c r="E343" s="8"/>
      <c r="F343" s="8"/>
      <c r="G343" s="20"/>
      <c r="H343" s="20"/>
    </row>
    <row r="344" spans="1:8" x14ac:dyDescent="0.3">
      <c r="A344" s="13" t="s">
        <v>2071</v>
      </c>
      <c r="B344" s="13">
        <v>1503060</v>
      </c>
      <c r="C344" s="147" t="s">
        <v>14</v>
      </c>
      <c r="D344" s="185" t="s">
        <v>2784</v>
      </c>
      <c r="E344" s="8"/>
      <c r="F344" s="8"/>
      <c r="G344" s="20"/>
      <c r="H344" s="20"/>
    </row>
    <row r="345" spans="1:8" x14ac:dyDescent="0.3">
      <c r="A345" s="13" t="s">
        <v>2072</v>
      </c>
      <c r="B345" s="13">
        <v>1503060</v>
      </c>
      <c r="C345" s="147"/>
      <c r="D345" s="185" t="s">
        <v>2785</v>
      </c>
      <c r="E345" s="8"/>
      <c r="F345" s="8"/>
      <c r="G345" s="20"/>
      <c r="H345" s="20"/>
    </row>
    <row r="346" spans="1:8" x14ac:dyDescent="0.3">
      <c r="A346" s="13" t="s">
        <v>2073</v>
      </c>
      <c r="B346" s="13">
        <v>1503060</v>
      </c>
      <c r="C346" s="147" t="s">
        <v>14</v>
      </c>
      <c r="D346" s="186" t="s">
        <v>2845</v>
      </c>
      <c r="E346" s="8"/>
      <c r="F346" s="8"/>
      <c r="G346" s="20"/>
      <c r="H346" s="20"/>
    </row>
    <row r="347" spans="1:8" x14ac:dyDescent="0.3">
      <c r="A347" s="13" t="s">
        <v>2154</v>
      </c>
      <c r="B347" s="13">
        <v>1503060</v>
      </c>
      <c r="C347" s="147" t="s">
        <v>14</v>
      </c>
      <c r="D347" s="182" t="s">
        <v>284</v>
      </c>
      <c r="E347" s="8"/>
      <c r="F347" s="8"/>
      <c r="G347" s="20"/>
      <c r="H347" s="20"/>
    </row>
    <row r="348" spans="1:8" x14ac:dyDescent="0.3">
      <c r="A348" s="13" t="s">
        <v>2195</v>
      </c>
      <c r="B348" s="13">
        <v>1503060</v>
      </c>
      <c r="C348" s="147"/>
      <c r="D348" s="177" t="s">
        <v>2846</v>
      </c>
      <c r="E348" s="8"/>
      <c r="F348" s="8"/>
      <c r="G348" s="20"/>
      <c r="H348" s="20"/>
    </row>
    <row r="349" spans="1:8" x14ac:dyDescent="0.3">
      <c r="A349" s="8" t="s">
        <v>2196</v>
      </c>
      <c r="B349" s="8">
        <v>1503060</v>
      </c>
      <c r="C349" s="146">
        <v>3.1</v>
      </c>
      <c r="D349" s="165" t="s">
        <v>2847</v>
      </c>
      <c r="E349" s="8">
        <v>6</v>
      </c>
      <c r="F349" s="8" t="s">
        <v>34</v>
      </c>
      <c r="G349" s="20">
        <v>0</v>
      </c>
      <c r="H349" s="20">
        <v>0</v>
      </c>
    </row>
    <row r="350" spans="1:8" x14ac:dyDescent="0.3">
      <c r="A350" s="8" t="s">
        <v>2197</v>
      </c>
      <c r="B350" s="8">
        <v>1503060</v>
      </c>
      <c r="C350" s="146">
        <v>3.2</v>
      </c>
      <c r="D350" s="184" t="s">
        <v>382</v>
      </c>
      <c r="E350" s="8">
        <v>6</v>
      </c>
      <c r="F350" s="8" t="s">
        <v>34</v>
      </c>
      <c r="G350" s="20">
        <v>0</v>
      </c>
      <c r="H350" s="20">
        <v>0</v>
      </c>
    </row>
    <row r="351" spans="1:8" x14ac:dyDescent="0.3">
      <c r="A351" s="13"/>
      <c r="B351" s="13"/>
      <c r="C351" s="147"/>
      <c r="D351" s="183" t="s">
        <v>3657</v>
      </c>
      <c r="E351" s="8"/>
      <c r="F351" s="8"/>
      <c r="G351" s="20"/>
      <c r="H351" s="20"/>
    </row>
    <row r="352" spans="1:8" x14ac:dyDescent="0.3">
      <c r="A352" s="13" t="s">
        <v>2198</v>
      </c>
      <c r="B352" s="13">
        <v>1503060</v>
      </c>
      <c r="C352" s="146"/>
      <c r="D352" s="177" t="s">
        <v>2849</v>
      </c>
      <c r="E352" s="8"/>
      <c r="F352" s="8"/>
      <c r="G352" s="20"/>
      <c r="H352" s="20"/>
    </row>
    <row r="353" spans="1:8" x14ac:dyDescent="0.3">
      <c r="A353" s="8" t="s">
        <v>2199</v>
      </c>
      <c r="B353" s="8">
        <v>1503060</v>
      </c>
      <c r="C353" s="146">
        <v>3.1</v>
      </c>
      <c r="D353" s="181" t="s">
        <v>385</v>
      </c>
      <c r="E353" s="8">
        <v>6</v>
      </c>
      <c r="F353" s="8" t="s">
        <v>34</v>
      </c>
      <c r="G353" s="20">
        <v>0</v>
      </c>
      <c r="H353" s="20">
        <v>0</v>
      </c>
    </row>
    <row r="354" spans="1:8" x14ac:dyDescent="0.3">
      <c r="A354" s="8" t="s">
        <v>2200</v>
      </c>
      <c r="B354" s="8">
        <v>1503060</v>
      </c>
      <c r="C354" s="146">
        <v>3.2</v>
      </c>
      <c r="D354" s="181" t="s">
        <v>2850</v>
      </c>
      <c r="E354" s="8">
        <v>6</v>
      </c>
      <c r="F354" s="8" t="s">
        <v>34</v>
      </c>
      <c r="G354" s="20">
        <v>0</v>
      </c>
      <c r="H354" s="20">
        <v>0</v>
      </c>
    </row>
    <row r="355" spans="1:8" x14ac:dyDescent="0.3">
      <c r="A355" s="13"/>
      <c r="B355" s="13"/>
      <c r="C355" s="147"/>
      <c r="D355" s="183" t="s">
        <v>2201</v>
      </c>
      <c r="E355" s="8"/>
      <c r="F355" s="8"/>
      <c r="G355" s="20"/>
      <c r="H355" s="20"/>
    </row>
    <row r="356" spans="1:8" x14ac:dyDescent="0.3">
      <c r="A356" s="13" t="s">
        <v>2202</v>
      </c>
      <c r="B356" s="13">
        <v>1503060</v>
      </c>
      <c r="C356" s="147"/>
      <c r="D356" s="177" t="s">
        <v>2851</v>
      </c>
      <c r="E356" s="8"/>
      <c r="F356" s="8"/>
      <c r="G356" s="20"/>
      <c r="H356" s="20"/>
    </row>
    <row r="357" spans="1:8" x14ac:dyDescent="0.3">
      <c r="A357" s="8" t="s">
        <v>2203</v>
      </c>
      <c r="B357" s="8">
        <v>1503060</v>
      </c>
      <c r="C357" s="146">
        <v>3.1</v>
      </c>
      <c r="D357" s="165" t="s">
        <v>390</v>
      </c>
      <c r="E357" s="8">
        <v>6</v>
      </c>
      <c r="F357" s="8" t="s">
        <v>34</v>
      </c>
      <c r="G357" s="20">
        <v>0</v>
      </c>
      <c r="H357" s="20">
        <v>0</v>
      </c>
    </row>
    <row r="358" spans="1:8" x14ac:dyDescent="0.3">
      <c r="A358" s="8" t="s">
        <v>2204</v>
      </c>
      <c r="B358" s="8">
        <v>1503060</v>
      </c>
      <c r="C358" s="146">
        <v>3.2</v>
      </c>
      <c r="D358" s="184" t="s">
        <v>2852</v>
      </c>
      <c r="E358" s="8">
        <v>6</v>
      </c>
      <c r="F358" s="8" t="s">
        <v>34</v>
      </c>
      <c r="G358" s="20">
        <v>0</v>
      </c>
      <c r="H358" s="20">
        <v>0</v>
      </c>
    </row>
    <row r="359" spans="1:8" x14ac:dyDescent="0.3">
      <c r="A359" s="13"/>
      <c r="B359" s="13"/>
      <c r="C359" s="147"/>
      <c r="D359" s="183" t="s">
        <v>2205</v>
      </c>
      <c r="E359" s="8">
        <v>6</v>
      </c>
      <c r="F359" s="8" t="s">
        <v>34</v>
      </c>
      <c r="G359" s="20">
        <v>0</v>
      </c>
      <c r="H359" s="20">
        <v>0</v>
      </c>
    </row>
    <row r="360" spans="1:8" x14ac:dyDescent="0.3">
      <c r="A360" s="13" t="s">
        <v>2206</v>
      </c>
      <c r="B360" s="13">
        <v>1503060</v>
      </c>
      <c r="C360" s="146"/>
      <c r="D360" s="177" t="s">
        <v>2853</v>
      </c>
      <c r="E360" s="8"/>
      <c r="F360" s="8"/>
      <c r="G360" s="20"/>
      <c r="H360" s="20"/>
    </row>
    <row r="361" spans="1:8" x14ac:dyDescent="0.3">
      <c r="A361" s="8" t="s">
        <v>2207</v>
      </c>
      <c r="B361" s="8">
        <v>1503060</v>
      </c>
      <c r="C361" s="146">
        <v>3.1</v>
      </c>
      <c r="D361" s="181" t="s">
        <v>395</v>
      </c>
      <c r="E361" s="8">
        <v>6</v>
      </c>
      <c r="F361" s="8" t="s">
        <v>34</v>
      </c>
      <c r="G361" s="20">
        <v>0</v>
      </c>
      <c r="H361" s="20">
        <v>0</v>
      </c>
    </row>
    <row r="362" spans="1:8" x14ac:dyDescent="0.3">
      <c r="A362" s="8" t="s">
        <v>2208</v>
      </c>
      <c r="B362" s="8">
        <v>1503060</v>
      </c>
      <c r="C362" s="146">
        <v>3.2</v>
      </c>
      <c r="D362" s="181" t="s">
        <v>2854</v>
      </c>
      <c r="E362" s="8">
        <v>6</v>
      </c>
      <c r="F362" s="8" t="s">
        <v>34</v>
      </c>
      <c r="G362" s="20">
        <v>0</v>
      </c>
      <c r="H362" s="20">
        <v>0</v>
      </c>
    </row>
    <row r="363" spans="1:8" x14ac:dyDescent="0.3">
      <c r="A363" s="13"/>
      <c r="B363" s="13"/>
      <c r="C363" s="13"/>
      <c r="D363" s="187" t="s">
        <v>2209</v>
      </c>
      <c r="E363" s="8">
        <v>6</v>
      </c>
      <c r="F363" s="8" t="s">
        <v>34</v>
      </c>
      <c r="G363" s="20">
        <v>0</v>
      </c>
      <c r="H363" s="20">
        <v>0</v>
      </c>
    </row>
    <row r="364" spans="1:8" x14ac:dyDescent="0.3">
      <c r="A364" s="13" t="s">
        <v>2154</v>
      </c>
      <c r="B364" s="13">
        <v>1503060</v>
      </c>
      <c r="C364" s="13" t="s">
        <v>14</v>
      </c>
      <c r="D364" s="153" t="s">
        <v>2855</v>
      </c>
      <c r="E364" s="8">
        <v>6</v>
      </c>
      <c r="F364" s="8" t="s">
        <v>34</v>
      </c>
      <c r="G364" s="20">
        <v>0</v>
      </c>
      <c r="H364" s="20">
        <v>0</v>
      </c>
    </row>
    <row r="365" spans="1:8" x14ac:dyDescent="0.3">
      <c r="A365" s="214" t="s">
        <v>2856</v>
      </c>
      <c r="B365" s="214"/>
      <c r="C365" s="214"/>
      <c r="D365" s="215"/>
      <c r="E365" s="8">
        <v>6</v>
      </c>
      <c r="F365" s="8" t="s">
        <v>34</v>
      </c>
      <c r="G365" s="20">
        <v>0</v>
      </c>
      <c r="H365" s="20">
        <v>0</v>
      </c>
    </row>
    <row r="366" spans="1:8" x14ac:dyDescent="0.3">
      <c r="A366" s="214" t="s">
        <v>2857</v>
      </c>
      <c r="B366" s="214"/>
      <c r="C366" s="214"/>
      <c r="D366" s="215"/>
      <c r="E366" s="8">
        <v>6</v>
      </c>
      <c r="F366" s="8" t="s">
        <v>34</v>
      </c>
      <c r="G366" s="20">
        <v>0</v>
      </c>
      <c r="H366" s="20">
        <v>0</v>
      </c>
    </row>
  </sheetData>
  <mergeCells count="5">
    <mergeCell ref="A313:D313"/>
    <mergeCell ref="A365:D365"/>
    <mergeCell ref="A366:D366"/>
    <mergeCell ref="A9:D9"/>
    <mergeCell ref="A312:D31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59999389629810485"/>
  </sheetPr>
  <dimension ref="A1:G160"/>
  <sheetViews>
    <sheetView topLeftCell="A136" workbookViewId="0">
      <selection activeCell="B138" sqref="B138"/>
    </sheetView>
  </sheetViews>
  <sheetFormatPr defaultColWidth="9.1796875" defaultRowHeight="13" x14ac:dyDescent="0.3"/>
  <cols>
    <col min="1" max="1" width="6.26953125" style="49" customWidth="1"/>
    <col min="2" max="2" width="15.7265625" style="49" customWidth="1"/>
    <col min="3" max="3" width="50.7265625" style="18" customWidth="1"/>
    <col min="4" max="4" width="11.7265625" style="50" customWidth="1"/>
    <col min="5" max="5" width="6.7265625" style="49" customWidth="1"/>
    <col min="6" max="6" width="11.7265625" style="18" customWidth="1"/>
    <col min="7" max="7" width="13.7265625" style="18" customWidth="1"/>
    <col min="8" max="16384" width="9.1796875" style="18"/>
  </cols>
  <sheetData>
    <row r="1" spans="1:7" x14ac:dyDescent="0.3">
      <c r="A1" s="21"/>
      <c r="B1" s="22"/>
      <c r="C1" s="79" t="s">
        <v>0</v>
      </c>
      <c r="D1" s="23"/>
      <c r="E1" s="22"/>
      <c r="F1" s="24"/>
      <c r="G1" s="25"/>
    </row>
    <row r="2" spans="1:7" x14ac:dyDescent="0.3">
      <c r="A2" s="26"/>
      <c r="B2" s="17"/>
      <c r="C2" s="81" t="s">
        <v>1</v>
      </c>
      <c r="D2" s="27"/>
      <c r="E2" s="17"/>
      <c r="F2" s="16"/>
      <c r="G2" s="28"/>
    </row>
    <row r="3" spans="1:7" x14ac:dyDescent="0.3">
      <c r="A3" s="26"/>
      <c r="B3" s="17"/>
      <c r="C3" s="81" t="s">
        <v>398</v>
      </c>
      <c r="D3" s="27"/>
      <c r="E3" s="17"/>
      <c r="F3" s="16"/>
      <c r="G3" s="28"/>
    </row>
    <row r="4" spans="1:7" x14ac:dyDescent="0.3">
      <c r="A4" s="26"/>
      <c r="B4" s="17"/>
      <c r="C4" s="81" t="s">
        <v>3</v>
      </c>
      <c r="D4" s="27"/>
      <c r="E4" s="17"/>
      <c r="F4" s="16"/>
      <c r="G4" s="28"/>
    </row>
    <row r="5" spans="1:7" x14ac:dyDescent="0.3">
      <c r="A5" s="219" t="s">
        <v>2210</v>
      </c>
      <c r="B5" s="220"/>
      <c r="C5" s="220"/>
      <c r="D5" s="27"/>
      <c r="E5" s="17"/>
      <c r="F5" s="16"/>
      <c r="G5" s="28"/>
    </row>
    <row r="6" spans="1:7" x14ac:dyDescent="0.3">
      <c r="A6" s="219" t="s">
        <v>400</v>
      </c>
      <c r="B6" s="220"/>
      <c r="C6" s="220"/>
      <c r="D6" s="27"/>
      <c r="E6" s="17"/>
      <c r="F6" s="16"/>
      <c r="G6" s="28"/>
    </row>
    <row r="7" spans="1:7" x14ac:dyDescent="0.3">
      <c r="A7" s="221" t="s">
        <v>2211</v>
      </c>
      <c r="B7" s="222"/>
      <c r="C7" s="222"/>
      <c r="D7" s="29"/>
      <c r="E7" s="30"/>
      <c r="F7" s="31"/>
      <c r="G7" s="32"/>
    </row>
    <row r="8" spans="1:7" x14ac:dyDescent="0.3">
      <c r="A8" s="223"/>
      <c r="B8" s="224"/>
      <c r="C8" s="224"/>
      <c r="D8" s="18"/>
      <c r="E8" s="18"/>
    </row>
    <row r="9" spans="1:7" x14ac:dyDescent="0.3">
      <c r="A9" s="33"/>
      <c r="B9" s="33"/>
      <c r="C9" s="33"/>
      <c r="D9" s="34"/>
      <c r="E9" s="8"/>
      <c r="F9" s="19"/>
      <c r="G9" s="19"/>
    </row>
    <row r="10" spans="1:7" ht="26" x14ac:dyDescent="0.3">
      <c r="A10" s="35" t="s">
        <v>402</v>
      </c>
      <c r="B10" s="84" t="s">
        <v>403</v>
      </c>
      <c r="C10" s="36" t="s">
        <v>404</v>
      </c>
      <c r="D10" s="37" t="s">
        <v>405</v>
      </c>
      <c r="E10" s="38" t="s">
        <v>406</v>
      </c>
      <c r="F10" s="38" t="s">
        <v>27</v>
      </c>
      <c r="G10" s="84" t="s">
        <v>7</v>
      </c>
    </row>
    <row r="11" spans="1:7" ht="39" x14ac:dyDescent="0.3">
      <c r="A11" s="39" t="s">
        <v>2212</v>
      </c>
      <c r="B11" s="40" t="s">
        <v>408</v>
      </c>
      <c r="C11" s="40" t="s">
        <v>409</v>
      </c>
      <c r="D11" s="41">
        <v>5000</v>
      </c>
      <c r="E11" s="42" t="s">
        <v>410</v>
      </c>
      <c r="F11" s="43">
        <v>0</v>
      </c>
      <c r="G11" s="44">
        <f>D11*F11</f>
        <v>0</v>
      </c>
    </row>
    <row r="12" spans="1:7" ht="39" x14ac:dyDescent="0.3">
      <c r="A12" s="39" t="s">
        <v>2213</v>
      </c>
      <c r="B12" s="40" t="s">
        <v>412</v>
      </c>
      <c r="C12" s="40" t="s">
        <v>413</v>
      </c>
      <c r="D12" s="45">
        <v>250</v>
      </c>
      <c r="E12" s="46" t="s">
        <v>414</v>
      </c>
      <c r="F12" s="43">
        <v>0</v>
      </c>
      <c r="G12" s="44">
        <f t="shared" ref="G12:G75" si="0">D12*F12</f>
        <v>0</v>
      </c>
    </row>
    <row r="13" spans="1:7" ht="39" x14ac:dyDescent="0.3">
      <c r="A13" s="39" t="s">
        <v>2214</v>
      </c>
      <c r="B13" s="40" t="s">
        <v>416</v>
      </c>
      <c r="C13" s="40" t="s">
        <v>417</v>
      </c>
      <c r="D13" s="45">
        <v>500</v>
      </c>
      <c r="E13" s="46" t="s">
        <v>414</v>
      </c>
      <c r="F13" s="43">
        <v>0</v>
      </c>
      <c r="G13" s="44">
        <f t="shared" si="0"/>
        <v>0</v>
      </c>
    </row>
    <row r="14" spans="1:7" ht="26" x14ac:dyDescent="0.3">
      <c r="A14" s="39" t="s">
        <v>2215</v>
      </c>
      <c r="B14" s="40" t="s">
        <v>419</v>
      </c>
      <c r="C14" s="40" t="s">
        <v>420</v>
      </c>
      <c r="D14" s="45">
        <v>25000</v>
      </c>
      <c r="E14" s="46" t="s">
        <v>421</v>
      </c>
      <c r="F14" s="43">
        <v>0</v>
      </c>
      <c r="G14" s="44">
        <f t="shared" si="0"/>
        <v>0</v>
      </c>
    </row>
    <row r="15" spans="1:7" ht="52" x14ac:dyDescent="0.3">
      <c r="A15" s="39" t="s">
        <v>2216</v>
      </c>
      <c r="B15" s="40" t="s">
        <v>423</v>
      </c>
      <c r="C15" s="40" t="s">
        <v>424</v>
      </c>
      <c r="D15" s="45">
        <v>100000</v>
      </c>
      <c r="E15" s="46" t="s">
        <v>410</v>
      </c>
      <c r="F15" s="43">
        <v>0</v>
      </c>
      <c r="G15" s="44">
        <f t="shared" si="0"/>
        <v>0</v>
      </c>
    </row>
    <row r="16" spans="1:7" ht="91" x14ac:dyDescent="0.3">
      <c r="A16" s="39" t="s">
        <v>2217</v>
      </c>
      <c r="B16" s="40" t="s">
        <v>426</v>
      </c>
      <c r="C16" s="40" t="s">
        <v>427</v>
      </c>
      <c r="D16" s="45">
        <v>50</v>
      </c>
      <c r="E16" s="46" t="s">
        <v>428</v>
      </c>
      <c r="F16" s="43">
        <v>0</v>
      </c>
      <c r="G16" s="44">
        <f t="shared" si="0"/>
        <v>0</v>
      </c>
    </row>
    <row r="17" spans="1:7" ht="91" x14ac:dyDescent="0.3">
      <c r="A17" s="39" t="s">
        <v>2218</v>
      </c>
      <c r="B17" s="40" t="s">
        <v>430</v>
      </c>
      <c r="C17" s="40" t="s">
        <v>431</v>
      </c>
      <c r="D17" s="45">
        <v>50</v>
      </c>
      <c r="E17" s="46" t="s">
        <v>428</v>
      </c>
      <c r="F17" s="43">
        <v>0</v>
      </c>
      <c r="G17" s="44">
        <f t="shared" si="0"/>
        <v>0</v>
      </c>
    </row>
    <row r="18" spans="1:7" ht="91" x14ac:dyDescent="0.3">
      <c r="A18" s="39" t="s">
        <v>2219</v>
      </c>
      <c r="B18" s="40" t="s">
        <v>433</v>
      </c>
      <c r="C18" s="40" t="s">
        <v>434</v>
      </c>
      <c r="D18" s="45">
        <v>50</v>
      </c>
      <c r="E18" s="46" t="s">
        <v>428</v>
      </c>
      <c r="F18" s="43">
        <v>0</v>
      </c>
      <c r="G18" s="44">
        <f t="shared" si="0"/>
        <v>0</v>
      </c>
    </row>
    <row r="19" spans="1:7" ht="65" x14ac:dyDescent="0.3">
      <c r="A19" s="39" t="s">
        <v>2220</v>
      </c>
      <c r="B19" s="40" t="s">
        <v>436</v>
      </c>
      <c r="C19" s="40" t="s">
        <v>437</v>
      </c>
      <c r="D19" s="45">
        <v>50</v>
      </c>
      <c r="E19" s="46" t="s">
        <v>428</v>
      </c>
      <c r="F19" s="43">
        <v>0</v>
      </c>
      <c r="G19" s="44">
        <f t="shared" si="0"/>
        <v>0</v>
      </c>
    </row>
    <row r="20" spans="1:7" ht="91" x14ac:dyDescent="0.3">
      <c r="A20" s="39" t="s">
        <v>2221</v>
      </c>
      <c r="B20" s="40" t="s">
        <v>439</v>
      </c>
      <c r="C20" s="40" t="s">
        <v>440</v>
      </c>
      <c r="D20" s="45">
        <v>100</v>
      </c>
      <c r="E20" s="46" t="s">
        <v>428</v>
      </c>
      <c r="F20" s="43">
        <v>0</v>
      </c>
      <c r="G20" s="44">
        <f t="shared" si="0"/>
        <v>0</v>
      </c>
    </row>
    <row r="21" spans="1:7" ht="91" x14ac:dyDescent="0.3">
      <c r="A21" s="39" t="s">
        <v>2222</v>
      </c>
      <c r="B21" s="40" t="s">
        <v>442</v>
      </c>
      <c r="C21" s="40" t="s">
        <v>443</v>
      </c>
      <c r="D21" s="45">
        <v>100</v>
      </c>
      <c r="E21" s="46" t="s">
        <v>428</v>
      </c>
      <c r="F21" s="43">
        <v>0</v>
      </c>
      <c r="G21" s="44">
        <f t="shared" si="0"/>
        <v>0</v>
      </c>
    </row>
    <row r="22" spans="1:7" ht="91" x14ac:dyDescent="0.3">
      <c r="A22" s="39" t="s">
        <v>2223</v>
      </c>
      <c r="B22" s="40" t="s">
        <v>445</v>
      </c>
      <c r="C22" s="40" t="s">
        <v>446</v>
      </c>
      <c r="D22" s="45">
        <v>25</v>
      </c>
      <c r="E22" s="46" t="s">
        <v>428</v>
      </c>
      <c r="F22" s="43">
        <v>0</v>
      </c>
      <c r="G22" s="44">
        <f t="shared" si="0"/>
        <v>0</v>
      </c>
    </row>
    <row r="23" spans="1:7" ht="91" x14ac:dyDescent="0.3">
      <c r="A23" s="39" t="s">
        <v>2224</v>
      </c>
      <c r="B23" s="40" t="s">
        <v>448</v>
      </c>
      <c r="C23" s="40" t="s">
        <v>449</v>
      </c>
      <c r="D23" s="45">
        <v>13</v>
      </c>
      <c r="E23" s="46" t="s">
        <v>428</v>
      </c>
      <c r="F23" s="43">
        <v>0</v>
      </c>
      <c r="G23" s="44">
        <f t="shared" si="0"/>
        <v>0</v>
      </c>
    </row>
    <row r="24" spans="1:7" ht="65" x14ac:dyDescent="0.3">
      <c r="A24" s="39" t="s">
        <v>2225</v>
      </c>
      <c r="B24" s="40" t="s">
        <v>451</v>
      </c>
      <c r="C24" s="40" t="s">
        <v>452</v>
      </c>
      <c r="D24" s="45">
        <v>5</v>
      </c>
      <c r="E24" s="46" t="s">
        <v>428</v>
      </c>
      <c r="F24" s="43">
        <v>0</v>
      </c>
      <c r="G24" s="44">
        <f t="shared" si="0"/>
        <v>0</v>
      </c>
    </row>
    <row r="25" spans="1:7" ht="195" x14ac:dyDescent="0.3">
      <c r="A25" s="39" t="s">
        <v>2226</v>
      </c>
      <c r="B25" s="40" t="s">
        <v>454</v>
      </c>
      <c r="C25" s="40" t="s">
        <v>455</v>
      </c>
      <c r="D25" s="45">
        <v>25</v>
      </c>
      <c r="E25" s="46" t="s">
        <v>414</v>
      </c>
      <c r="F25" s="43">
        <v>0</v>
      </c>
      <c r="G25" s="44">
        <f t="shared" si="0"/>
        <v>0</v>
      </c>
    </row>
    <row r="26" spans="1:7" ht="169" x14ac:dyDescent="0.3">
      <c r="A26" s="39" t="s">
        <v>2227</v>
      </c>
      <c r="B26" s="40" t="s">
        <v>457</v>
      </c>
      <c r="C26" s="40" t="s">
        <v>458</v>
      </c>
      <c r="D26" s="45">
        <v>50</v>
      </c>
      <c r="E26" s="46" t="s">
        <v>428</v>
      </c>
      <c r="F26" s="43">
        <v>0</v>
      </c>
      <c r="G26" s="44">
        <f t="shared" si="0"/>
        <v>0</v>
      </c>
    </row>
    <row r="27" spans="1:7" ht="169" x14ac:dyDescent="0.3">
      <c r="A27" s="39" t="s">
        <v>2228</v>
      </c>
      <c r="B27" s="40" t="s">
        <v>460</v>
      </c>
      <c r="C27" s="40" t="s">
        <v>458</v>
      </c>
      <c r="D27" s="45">
        <v>60</v>
      </c>
      <c r="E27" s="46" t="s">
        <v>428</v>
      </c>
      <c r="F27" s="43">
        <v>0</v>
      </c>
      <c r="G27" s="44">
        <f t="shared" si="0"/>
        <v>0</v>
      </c>
    </row>
    <row r="28" spans="1:7" ht="169" x14ac:dyDescent="0.3">
      <c r="A28" s="39" t="s">
        <v>2229</v>
      </c>
      <c r="B28" s="40" t="s">
        <v>462</v>
      </c>
      <c r="C28" s="40" t="s">
        <v>463</v>
      </c>
      <c r="D28" s="45">
        <v>15</v>
      </c>
      <c r="E28" s="46" t="s">
        <v>428</v>
      </c>
      <c r="F28" s="43">
        <v>0</v>
      </c>
      <c r="G28" s="44">
        <f t="shared" si="0"/>
        <v>0</v>
      </c>
    </row>
    <row r="29" spans="1:7" ht="182" x14ac:dyDescent="0.3">
      <c r="A29" s="39" t="s">
        <v>2230</v>
      </c>
      <c r="B29" s="40" t="s">
        <v>465</v>
      </c>
      <c r="C29" s="40" t="s">
        <v>466</v>
      </c>
      <c r="D29" s="45">
        <v>2500</v>
      </c>
      <c r="E29" s="46" t="s">
        <v>428</v>
      </c>
      <c r="F29" s="43">
        <v>0</v>
      </c>
      <c r="G29" s="44">
        <f t="shared" si="0"/>
        <v>0</v>
      </c>
    </row>
    <row r="30" spans="1:7" ht="156" x14ac:dyDescent="0.3">
      <c r="A30" s="39" t="s">
        <v>2231</v>
      </c>
      <c r="B30" s="40" t="s">
        <v>468</v>
      </c>
      <c r="C30" s="40" t="s">
        <v>469</v>
      </c>
      <c r="D30" s="45">
        <v>500</v>
      </c>
      <c r="E30" s="46" t="s">
        <v>410</v>
      </c>
      <c r="F30" s="43">
        <v>0</v>
      </c>
      <c r="G30" s="44">
        <f t="shared" si="0"/>
        <v>0</v>
      </c>
    </row>
    <row r="31" spans="1:7" ht="143" x14ac:dyDescent="0.3">
      <c r="A31" s="39" t="s">
        <v>2232</v>
      </c>
      <c r="B31" s="40" t="s">
        <v>471</v>
      </c>
      <c r="C31" s="40" t="s">
        <v>472</v>
      </c>
      <c r="D31" s="45">
        <v>425</v>
      </c>
      <c r="E31" s="46" t="s">
        <v>410</v>
      </c>
      <c r="F31" s="43">
        <v>0</v>
      </c>
      <c r="G31" s="44">
        <f t="shared" si="0"/>
        <v>0</v>
      </c>
    </row>
    <row r="32" spans="1:7" ht="78" x14ac:dyDescent="0.3">
      <c r="A32" s="39" t="s">
        <v>2233</v>
      </c>
      <c r="B32" s="40" t="s">
        <v>474</v>
      </c>
      <c r="C32" s="40" t="s">
        <v>475</v>
      </c>
      <c r="D32" s="45">
        <v>13</v>
      </c>
      <c r="E32" s="46" t="s">
        <v>414</v>
      </c>
      <c r="F32" s="43">
        <v>0</v>
      </c>
      <c r="G32" s="44">
        <f t="shared" si="0"/>
        <v>0</v>
      </c>
    </row>
    <row r="33" spans="1:7" ht="78" x14ac:dyDescent="0.3">
      <c r="A33" s="39" t="s">
        <v>2234</v>
      </c>
      <c r="B33" s="40" t="s">
        <v>477</v>
      </c>
      <c r="C33" s="40" t="s">
        <v>478</v>
      </c>
      <c r="D33" s="45">
        <v>25</v>
      </c>
      <c r="E33" s="46" t="s">
        <v>428</v>
      </c>
      <c r="F33" s="43">
        <v>0</v>
      </c>
      <c r="G33" s="44">
        <f t="shared" si="0"/>
        <v>0</v>
      </c>
    </row>
    <row r="34" spans="1:7" ht="91" x14ac:dyDescent="0.3">
      <c r="A34" s="39" t="s">
        <v>2235</v>
      </c>
      <c r="B34" s="40" t="s">
        <v>480</v>
      </c>
      <c r="C34" s="40" t="s">
        <v>481</v>
      </c>
      <c r="D34" s="45">
        <v>2500</v>
      </c>
      <c r="E34" s="46" t="s">
        <v>410</v>
      </c>
      <c r="F34" s="43">
        <v>0</v>
      </c>
      <c r="G34" s="44">
        <f t="shared" si="0"/>
        <v>0</v>
      </c>
    </row>
    <row r="35" spans="1:7" ht="91" x14ac:dyDescent="0.3">
      <c r="A35" s="39" t="s">
        <v>2236</v>
      </c>
      <c r="B35" s="40" t="s">
        <v>483</v>
      </c>
      <c r="C35" s="40" t="s">
        <v>481</v>
      </c>
      <c r="D35" s="45">
        <v>50</v>
      </c>
      <c r="E35" s="46" t="s">
        <v>428</v>
      </c>
      <c r="F35" s="43">
        <v>0</v>
      </c>
      <c r="G35" s="44">
        <f t="shared" si="0"/>
        <v>0</v>
      </c>
    </row>
    <row r="36" spans="1:7" ht="52" x14ac:dyDescent="0.3">
      <c r="A36" s="39" t="s">
        <v>2237</v>
      </c>
      <c r="B36" s="40" t="s">
        <v>485</v>
      </c>
      <c r="C36" s="40" t="s">
        <v>486</v>
      </c>
      <c r="D36" s="45">
        <v>25</v>
      </c>
      <c r="E36" s="46" t="s">
        <v>414</v>
      </c>
      <c r="F36" s="43">
        <v>0</v>
      </c>
      <c r="G36" s="44">
        <f t="shared" si="0"/>
        <v>0</v>
      </c>
    </row>
    <row r="37" spans="1:7" ht="26" x14ac:dyDescent="0.3">
      <c r="A37" s="39" t="s">
        <v>2238</v>
      </c>
      <c r="B37" s="40" t="s">
        <v>488</v>
      </c>
      <c r="C37" s="40" t="s">
        <v>489</v>
      </c>
      <c r="D37" s="45">
        <v>25</v>
      </c>
      <c r="E37" s="46" t="s">
        <v>414</v>
      </c>
      <c r="F37" s="43">
        <v>0</v>
      </c>
      <c r="G37" s="44">
        <f t="shared" si="0"/>
        <v>0</v>
      </c>
    </row>
    <row r="38" spans="1:7" ht="91" x14ac:dyDescent="0.3">
      <c r="A38" s="39" t="s">
        <v>2239</v>
      </c>
      <c r="B38" s="40" t="s">
        <v>491</v>
      </c>
      <c r="C38" s="40" t="s">
        <v>492</v>
      </c>
      <c r="D38" s="45">
        <v>50</v>
      </c>
      <c r="E38" s="46" t="s">
        <v>428</v>
      </c>
      <c r="F38" s="43">
        <v>0</v>
      </c>
      <c r="G38" s="44">
        <f t="shared" si="0"/>
        <v>0</v>
      </c>
    </row>
    <row r="39" spans="1:7" ht="91" x14ac:dyDescent="0.3">
      <c r="A39" s="39" t="s">
        <v>2240</v>
      </c>
      <c r="B39" s="40" t="s">
        <v>494</v>
      </c>
      <c r="C39" s="40" t="s">
        <v>495</v>
      </c>
      <c r="D39" s="45">
        <v>500</v>
      </c>
      <c r="E39" s="46" t="s">
        <v>421</v>
      </c>
      <c r="F39" s="43">
        <v>0</v>
      </c>
      <c r="G39" s="44">
        <f t="shared" si="0"/>
        <v>0</v>
      </c>
    </row>
    <row r="40" spans="1:7" ht="91" x14ac:dyDescent="0.3">
      <c r="A40" s="39" t="s">
        <v>2241</v>
      </c>
      <c r="B40" s="40" t="s">
        <v>497</v>
      </c>
      <c r="C40" s="40" t="s">
        <v>498</v>
      </c>
      <c r="D40" s="45">
        <v>50</v>
      </c>
      <c r="E40" s="46" t="s">
        <v>499</v>
      </c>
      <c r="F40" s="43">
        <v>0</v>
      </c>
      <c r="G40" s="44">
        <f t="shared" si="0"/>
        <v>0</v>
      </c>
    </row>
    <row r="41" spans="1:7" ht="26" x14ac:dyDescent="0.3">
      <c r="A41" s="39" t="s">
        <v>2242</v>
      </c>
      <c r="B41" s="40" t="s">
        <v>501</v>
      </c>
      <c r="C41" s="40" t="s">
        <v>502</v>
      </c>
      <c r="D41" s="45">
        <v>1500</v>
      </c>
      <c r="E41" s="46" t="s">
        <v>410</v>
      </c>
      <c r="F41" s="43">
        <v>0</v>
      </c>
      <c r="G41" s="44">
        <f t="shared" si="0"/>
        <v>0</v>
      </c>
    </row>
    <row r="42" spans="1:7" ht="52" x14ac:dyDescent="0.3">
      <c r="A42" s="39" t="s">
        <v>2243</v>
      </c>
      <c r="B42" s="40" t="s">
        <v>504</v>
      </c>
      <c r="C42" s="40" t="s">
        <v>505</v>
      </c>
      <c r="D42" s="45">
        <v>63</v>
      </c>
      <c r="E42" s="46" t="s">
        <v>499</v>
      </c>
      <c r="F42" s="43">
        <v>0</v>
      </c>
      <c r="G42" s="44">
        <f t="shared" si="0"/>
        <v>0</v>
      </c>
    </row>
    <row r="43" spans="1:7" ht="130" x14ac:dyDescent="0.3">
      <c r="A43" s="39" t="s">
        <v>2244</v>
      </c>
      <c r="B43" s="40" t="s">
        <v>507</v>
      </c>
      <c r="C43" s="40" t="s">
        <v>508</v>
      </c>
      <c r="D43" s="45">
        <v>4250</v>
      </c>
      <c r="E43" s="46" t="s">
        <v>410</v>
      </c>
      <c r="F43" s="43">
        <v>0</v>
      </c>
      <c r="G43" s="44">
        <f t="shared" si="0"/>
        <v>0</v>
      </c>
    </row>
    <row r="44" spans="1:7" ht="65" x14ac:dyDescent="0.3">
      <c r="A44" s="39" t="s">
        <v>2245</v>
      </c>
      <c r="B44" s="40" t="s">
        <v>510</v>
      </c>
      <c r="C44" s="40" t="s">
        <v>511</v>
      </c>
      <c r="D44" s="45">
        <v>25</v>
      </c>
      <c r="E44" s="46" t="s">
        <v>414</v>
      </c>
      <c r="F44" s="43">
        <v>0</v>
      </c>
      <c r="G44" s="44">
        <f t="shared" si="0"/>
        <v>0</v>
      </c>
    </row>
    <row r="45" spans="1:7" ht="195" x14ac:dyDescent="0.3">
      <c r="A45" s="39" t="s">
        <v>2246</v>
      </c>
      <c r="B45" s="40" t="s">
        <v>513</v>
      </c>
      <c r="C45" s="40" t="s">
        <v>514</v>
      </c>
      <c r="D45" s="45">
        <v>100</v>
      </c>
      <c r="E45" s="46" t="s">
        <v>515</v>
      </c>
      <c r="F45" s="43">
        <v>0</v>
      </c>
      <c r="G45" s="44">
        <f t="shared" si="0"/>
        <v>0</v>
      </c>
    </row>
    <row r="46" spans="1:7" ht="104" x14ac:dyDescent="0.3">
      <c r="A46" s="39" t="s">
        <v>2247</v>
      </c>
      <c r="B46" s="40" t="s">
        <v>517</v>
      </c>
      <c r="C46" s="40" t="s">
        <v>518</v>
      </c>
      <c r="D46" s="45">
        <v>5000</v>
      </c>
      <c r="E46" s="46" t="s">
        <v>421</v>
      </c>
      <c r="F46" s="43">
        <v>0</v>
      </c>
      <c r="G46" s="44">
        <f t="shared" si="0"/>
        <v>0</v>
      </c>
    </row>
    <row r="47" spans="1:7" ht="104" x14ac:dyDescent="0.3">
      <c r="A47" s="39" t="s">
        <v>2248</v>
      </c>
      <c r="B47" s="40" t="s">
        <v>520</v>
      </c>
      <c r="C47" s="40" t="s">
        <v>521</v>
      </c>
      <c r="D47" s="45">
        <v>5000</v>
      </c>
      <c r="E47" s="46" t="s">
        <v>421</v>
      </c>
      <c r="F47" s="43">
        <v>0</v>
      </c>
      <c r="G47" s="44">
        <f t="shared" si="0"/>
        <v>0</v>
      </c>
    </row>
    <row r="48" spans="1:7" ht="104" x14ac:dyDescent="0.3">
      <c r="A48" s="39" t="s">
        <v>2249</v>
      </c>
      <c r="B48" s="40" t="s">
        <v>523</v>
      </c>
      <c r="C48" s="40" t="s">
        <v>521</v>
      </c>
      <c r="D48" s="45">
        <v>2000</v>
      </c>
      <c r="E48" s="46" t="s">
        <v>421</v>
      </c>
      <c r="F48" s="43">
        <v>0</v>
      </c>
      <c r="G48" s="44">
        <f t="shared" si="0"/>
        <v>0</v>
      </c>
    </row>
    <row r="49" spans="1:7" ht="130" x14ac:dyDescent="0.3">
      <c r="A49" s="39" t="s">
        <v>2250</v>
      </c>
      <c r="B49" s="40" t="s">
        <v>525</v>
      </c>
      <c r="C49" s="40" t="s">
        <v>526</v>
      </c>
      <c r="D49" s="45">
        <v>5000</v>
      </c>
      <c r="E49" s="46" t="s">
        <v>421</v>
      </c>
      <c r="F49" s="43">
        <v>0</v>
      </c>
      <c r="G49" s="44">
        <f t="shared" si="0"/>
        <v>0</v>
      </c>
    </row>
    <row r="50" spans="1:7" ht="78" x14ac:dyDescent="0.3">
      <c r="A50" s="39" t="s">
        <v>2251</v>
      </c>
      <c r="B50" s="40" t="s">
        <v>528</v>
      </c>
      <c r="C50" s="40" t="s">
        <v>529</v>
      </c>
      <c r="D50" s="45">
        <v>2500</v>
      </c>
      <c r="E50" s="46" t="s">
        <v>421</v>
      </c>
      <c r="F50" s="43">
        <v>0</v>
      </c>
      <c r="G50" s="44">
        <f t="shared" si="0"/>
        <v>0</v>
      </c>
    </row>
    <row r="51" spans="1:7" ht="104" x14ac:dyDescent="0.3">
      <c r="A51" s="39" t="s">
        <v>2252</v>
      </c>
      <c r="B51" s="40" t="s">
        <v>531</v>
      </c>
      <c r="C51" s="40" t="s">
        <v>532</v>
      </c>
      <c r="D51" s="45">
        <v>2500</v>
      </c>
      <c r="E51" s="46" t="s">
        <v>421</v>
      </c>
      <c r="F51" s="43">
        <v>0</v>
      </c>
      <c r="G51" s="44">
        <f t="shared" si="0"/>
        <v>0</v>
      </c>
    </row>
    <row r="52" spans="1:7" ht="104" x14ac:dyDescent="0.3">
      <c r="A52" s="39" t="s">
        <v>2253</v>
      </c>
      <c r="B52" s="40" t="s">
        <v>534</v>
      </c>
      <c r="C52" s="40" t="s">
        <v>535</v>
      </c>
      <c r="D52" s="45">
        <v>5</v>
      </c>
      <c r="E52" s="46" t="s">
        <v>428</v>
      </c>
      <c r="F52" s="43">
        <v>0</v>
      </c>
      <c r="G52" s="44">
        <f t="shared" si="0"/>
        <v>0</v>
      </c>
    </row>
    <row r="53" spans="1:7" ht="117" x14ac:dyDescent="0.3">
      <c r="A53" s="39" t="s">
        <v>2254</v>
      </c>
      <c r="B53" s="40" t="s">
        <v>537</v>
      </c>
      <c r="C53" s="40" t="s">
        <v>538</v>
      </c>
      <c r="D53" s="45">
        <v>2500</v>
      </c>
      <c r="E53" s="46" t="s">
        <v>421</v>
      </c>
      <c r="F53" s="43">
        <v>0</v>
      </c>
      <c r="G53" s="44">
        <f t="shared" si="0"/>
        <v>0</v>
      </c>
    </row>
    <row r="54" spans="1:7" ht="39" x14ac:dyDescent="0.3">
      <c r="A54" s="39" t="s">
        <v>2255</v>
      </c>
      <c r="B54" s="40" t="s">
        <v>540</v>
      </c>
      <c r="C54" s="40" t="s">
        <v>541</v>
      </c>
      <c r="D54" s="45">
        <v>25</v>
      </c>
      <c r="E54" s="46" t="s">
        <v>428</v>
      </c>
      <c r="F54" s="43">
        <v>0</v>
      </c>
      <c r="G54" s="44">
        <f t="shared" si="0"/>
        <v>0</v>
      </c>
    </row>
    <row r="55" spans="1:7" ht="65" x14ac:dyDescent="0.3">
      <c r="A55" s="39" t="s">
        <v>2256</v>
      </c>
      <c r="B55" s="40" t="s">
        <v>543</v>
      </c>
      <c r="C55" s="40" t="s">
        <v>544</v>
      </c>
      <c r="D55" s="45">
        <v>50</v>
      </c>
      <c r="E55" s="46" t="s">
        <v>428</v>
      </c>
      <c r="F55" s="43">
        <v>0</v>
      </c>
      <c r="G55" s="44">
        <f t="shared" si="0"/>
        <v>0</v>
      </c>
    </row>
    <row r="56" spans="1:7" ht="130" x14ac:dyDescent="0.3">
      <c r="A56" s="39" t="s">
        <v>2257</v>
      </c>
      <c r="B56" s="40" t="s">
        <v>546</v>
      </c>
      <c r="C56" s="40" t="s">
        <v>547</v>
      </c>
      <c r="D56" s="45">
        <v>5000</v>
      </c>
      <c r="E56" s="46" t="s">
        <v>548</v>
      </c>
      <c r="F56" s="43">
        <v>0</v>
      </c>
      <c r="G56" s="44">
        <f t="shared" si="0"/>
        <v>0</v>
      </c>
    </row>
    <row r="57" spans="1:7" ht="104" x14ac:dyDescent="0.3">
      <c r="A57" s="39" t="s">
        <v>2258</v>
      </c>
      <c r="B57" s="40" t="s">
        <v>550</v>
      </c>
      <c r="C57" s="40" t="s">
        <v>551</v>
      </c>
      <c r="D57" s="45">
        <v>5</v>
      </c>
      <c r="E57" s="46" t="s">
        <v>428</v>
      </c>
      <c r="F57" s="43">
        <v>0</v>
      </c>
      <c r="G57" s="44">
        <f t="shared" si="0"/>
        <v>0</v>
      </c>
    </row>
    <row r="58" spans="1:7" ht="91" x14ac:dyDescent="0.3">
      <c r="A58" s="39" t="s">
        <v>2259</v>
      </c>
      <c r="B58" s="40" t="s">
        <v>553</v>
      </c>
      <c r="C58" s="40" t="s">
        <v>554</v>
      </c>
      <c r="D58" s="45">
        <v>1000</v>
      </c>
      <c r="E58" s="46" t="s">
        <v>548</v>
      </c>
      <c r="F58" s="43">
        <v>0</v>
      </c>
      <c r="G58" s="44">
        <f t="shared" si="0"/>
        <v>0</v>
      </c>
    </row>
    <row r="59" spans="1:7" ht="78" x14ac:dyDescent="0.3">
      <c r="A59" s="39" t="s">
        <v>2260</v>
      </c>
      <c r="B59" s="40" t="s">
        <v>556</v>
      </c>
      <c r="C59" s="40" t="s">
        <v>557</v>
      </c>
      <c r="D59" s="45">
        <v>5</v>
      </c>
      <c r="E59" s="46" t="s">
        <v>558</v>
      </c>
      <c r="F59" s="43">
        <v>0</v>
      </c>
      <c r="G59" s="44">
        <f t="shared" si="0"/>
        <v>0</v>
      </c>
    </row>
    <row r="60" spans="1:7" ht="65" x14ac:dyDescent="0.3">
      <c r="A60" s="39" t="s">
        <v>2261</v>
      </c>
      <c r="B60" s="40" t="s">
        <v>560</v>
      </c>
      <c r="C60" s="40" t="s">
        <v>561</v>
      </c>
      <c r="D60" s="45">
        <v>5</v>
      </c>
      <c r="E60" s="46" t="s">
        <v>558</v>
      </c>
      <c r="F60" s="43">
        <v>0</v>
      </c>
      <c r="G60" s="44">
        <f t="shared" si="0"/>
        <v>0</v>
      </c>
    </row>
    <row r="61" spans="1:7" ht="78" x14ac:dyDescent="0.3">
      <c r="A61" s="39" t="s">
        <v>2262</v>
      </c>
      <c r="B61" s="40" t="s">
        <v>563</v>
      </c>
      <c r="C61" s="40" t="s">
        <v>564</v>
      </c>
      <c r="D61" s="45">
        <v>12500</v>
      </c>
      <c r="E61" s="46" t="s">
        <v>548</v>
      </c>
      <c r="F61" s="43">
        <v>0</v>
      </c>
      <c r="G61" s="44">
        <f t="shared" si="0"/>
        <v>0</v>
      </c>
    </row>
    <row r="62" spans="1:7" ht="65.25" customHeight="1" x14ac:dyDescent="0.3">
      <c r="A62" s="39" t="s">
        <v>2263</v>
      </c>
      <c r="B62" s="40" t="s">
        <v>566</v>
      </c>
      <c r="C62" s="40" t="s">
        <v>567</v>
      </c>
      <c r="D62" s="45">
        <v>12500</v>
      </c>
      <c r="E62" s="46" t="s">
        <v>548</v>
      </c>
      <c r="F62" s="43">
        <v>0</v>
      </c>
      <c r="G62" s="44">
        <f t="shared" si="0"/>
        <v>0</v>
      </c>
    </row>
    <row r="63" spans="1:7" ht="52" x14ac:dyDescent="0.3">
      <c r="A63" s="39" t="s">
        <v>2264</v>
      </c>
      <c r="B63" s="40" t="s">
        <v>569</v>
      </c>
      <c r="C63" s="40" t="s">
        <v>570</v>
      </c>
      <c r="D63" s="45">
        <v>100000</v>
      </c>
      <c r="E63" s="46" t="s">
        <v>548</v>
      </c>
      <c r="F63" s="43">
        <v>0</v>
      </c>
      <c r="G63" s="44">
        <f t="shared" si="0"/>
        <v>0</v>
      </c>
    </row>
    <row r="64" spans="1:7" ht="65" x14ac:dyDescent="0.3">
      <c r="A64" s="39" t="s">
        <v>2265</v>
      </c>
      <c r="B64" s="40" t="s">
        <v>572</v>
      </c>
      <c r="C64" s="40" t="s">
        <v>573</v>
      </c>
      <c r="D64" s="45">
        <v>400000</v>
      </c>
      <c r="E64" s="46" t="s">
        <v>548</v>
      </c>
      <c r="F64" s="43">
        <v>0</v>
      </c>
      <c r="G64" s="44">
        <f t="shared" si="0"/>
        <v>0</v>
      </c>
    </row>
    <row r="65" spans="1:7" ht="65" x14ac:dyDescent="0.3">
      <c r="A65" s="39" t="s">
        <v>2266</v>
      </c>
      <c r="B65" s="40" t="s">
        <v>575</v>
      </c>
      <c r="C65" s="40" t="s">
        <v>576</v>
      </c>
      <c r="D65" s="45">
        <v>10000</v>
      </c>
      <c r="E65" s="46" t="s">
        <v>548</v>
      </c>
      <c r="F65" s="43">
        <v>0</v>
      </c>
      <c r="G65" s="44">
        <f t="shared" si="0"/>
        <v>0</v>
      </c>
    </row>
    <row r="66" spans="1:7" ht="39" x14ac:dyDescent="0.3">
      <c r="A66" s="39" t="s">
        <v>2267</v>
      </c>
      <c r="B66" s="40" t="s">
        <v>578</v>
      </c>
      <c r="C66" s="40" t="s">
        <v>579</v>
      </c>
      <c r="D66" s="45">
        <v>5000</v>
      </c>
      <c r="E66" s="46" t="s">
        <v>548</v>
      </c>
      <c r="F66" s="43">
        <v>0</v>
      </c>
      <c r="G66" s="44">
        <f t="shared" si="0"/>
        <v>0</v>
      </c>
    </row>
    <row r="67" spans="1:7" ht="52" x14ac:dyDescent="0.3">
      <c r="A67" s="39" t="s">
        <v>2268</v>
      </c>
      <c r="B67" s="40" t="s">
        <v>581</v>
      </c>
      <c r="C67" s="40" t="s">
        <v>582</v>
      </c>
      <c r="D67" s="45">
        <v>250</v>
      </c>
      <c r="E67" s="46" t="s">
        <v>583</v>
      </c>
      <c r="F67" s="43">
        <v>0</v>
      </c>
      <c r="G67" s="44">
        <f t="shared" si="0"/>
        <v>0</v>
      </c>
    </row>
    <row r="68" spans="1:7" ht="52" x14ac:dyDescent="0.3">
      <c r="A68" s="39" t="s">
        <v>2269</v>
      </c>
      <c r="B68" s="40" t="s">
        <v>585</v>
      </c>
      <c r="C68" s="40" t="s">
        <v>586</v>
      </c>
      <c r="D68" s="45">
        <v>100</v>
      </c>
      <c r="E68" s="46" t="s">
        <v>583</v>
      </c>
      <c r="F68" s="43">
        <v>0</v>
      </c>
      <c r="G68" s="44">
        <f t="shared" si="0"/>
        <v>0</v>
      </c>
    </row>
    <row r="69" spans="1:7" ht="78" x14ac:dyDescent="0.3">
      <c r="A69" s="39" t="s">
        <v>2270</v>
      </c>
      <c r="B69" s="40" t="s">
        <v>588</v>
      </c>
      <c r="C69" s="40" t="s">
        <v>589</v>
      </c>
      <c r="D69" s="45">
        <v>100</v>
      </c>
      <c r="E69" s="46" t="s">
        <v>583</v>
      </c>
      <c r="F69" s="43">
        <v>0</v>
      </c>
      <c r="G69" s="44">
        <f t="shared" si="0"/>
        <v>0</v>
      </c>
    </row>
    <row r="70" spans="1:7" ht="26" x14ac:dyDescent="0.3">
      <c r="A70" s="39" t="s">
        <v>2271</v>
      </c>
      <c r="B70" s="40" t="s">
        <v>591</v>
      </c>
      <c r="C70" s="40" t="s">
        <v>592</v>
      </c>
      <c r="D70" s="45">
        <v>10000</v>
      </c>
      <c r="E70" s="46" t="s">
        <v>583</v>
      </c>
      <c r="F70" s="43">
        <v>0</v>
      </c>
      <c r="G70" s="44">
        <f t="shared" si="0"/>
        <v>0</v>
      </c>
    </row>
    <row r="71" spans="1:7" ht="260" x14ac:dyDescent="0.3">
      <c r="A71" s="39" t="s">
        <v>2272</v>
      </c>
      <c r="B71" s="12" t="s">
        <v>594</v>
      </c>
      <c r="C71" s="12" t="s">
        <v>595</v>
      </c>
      <c r="D71" s="45">
        <v>2</v>
      </c>
      <c r="E71" s="46" t="s">
        <v>428</v>
      </c>
      <c r="F71" s="43">
        <v>0</v>
      </c>
      <c r="G71" s="44">
        <f t="shared" si="0"/>
        <v>0</v>
      </c>
    </row>
    <row r="72" spans="1:7" ht="104" x14ac:dyDescent="0.3">
      <c r="A72" s="39" t="s">
        <v>2273</v>
      </c>
      <c r="B72" s="12" t="s">
        <v>597</v>
      </c>
      <c r="C72" s="4" t="s">
        <v>598</v>
      </c>
      <c r="D72" s="45">
        <v>2</v>
      </c>
      <c r="E72" s="46" t="s">
        <v>428</v>
      </c>
      <c r="F72" s="43">
        <v>0</v>
      </c>
      <c r="G72" s="44">
        <f t="shared" si="0"/>
        <v>0</v>
      </c>
    </row>
    <row r="73" spans="1:7" ht="91" x14ac:dyDescent="0.3">
      <c r="A73" s="39" t="s">
        <v>2274</v>
      </c>
      <c r="B73" s="12" t="s">
        <v>600</v>
      </c>
      <c r="C73" s="47" t="s">
        <v>601</v>
      </c>
      <c r="D73" s="45">
        <v>2</v>
      </c>
      <c r="E73" s="46" t="s">
        <v>428</v>
      </c>
      <c r="F73" s="43">
        <v>0</v>
      </c>
      <c r="G73" s="44">
        <f t="shared" si="0"/>
        <v>0</v>
      </c>
    </row>
    <row r="74" spans="1:7" ht="78" x14ac:dyDescent="0.3">
      <c r="A74" s="39" t="s">
        <v>2275</v>
      </c>
      <c r="B74" s="12" t="s">
        <v>603</v>
      </c>
      <c r="C74" s="12" t="s">
        <v>604</v>
      </c>
      <c r="D74" s="45">
        <v>2</v>
      </c>
      <c r="E74" s="46" t="s">
        <v>428</v>
      </c>
      <c r="F74" s="43">
        <v>0</v>
      </c>
      <c r="G74" s="44">
        <f t="shared" si="0"/>
        <v>0</v>
      </c>
    </row>
    <row r="75" spans="1:7" ht="78" x14ac:dyDescent="0.3">
      <c r="A75" s="39" t="s">
        <v>2276</v>
      </c>
      <c r="B75" s="12" t="s">
        <v>606</v>
      </c>
      <c r="C75" s="12" t="s">
        <v>607</v>
      </c>
      <c r="D75" s="45">
        <v>2</v>
      </c>
      <c r="E75" s="46" t="s">
        <v>428</v>
      </c>
      <c r="F75" s="43">
        <v>0</v>
      </c>
      <c r="G75" s="44">
        <f t="shared" si="0"/>
        <v>0</v>
      </c>
    </row>
    <row r="76" spans="1:7" ht="65" x14ac:dyDescent="0.3">
      <c r="A76" s="39" t="s">
        <v>2277</v>
      </c>
      <c r="B76" s="12" t="s">
        <v>609</v>
      </c>
      <c r="C76" s="12" t="s">
        <v>610</v>
      </c>
      <c r="D76" s="45">
        <v>1</v>
      </c>
      <c r="E76" s="46" t="s">
        <v>428</v>
      </c>
      <c r="F76" s="43">
        <v>0</v>
      </c>
      <c r="G76" s="44">
        <f t="shared" ref="G76:G135" si="1">D76*F76</f>
        <v>0</v>
      </c>
    </row>
    <row r="77" spans="1:7" ht="65" x14ac:dyDescent="0.3">
      <c r="A77" s="39" t="s">
        <v>2278</v>
      </c>
      <c r="B77" s="12" t="s">
        <v>612</v>
      </c>
      <c r="C77" s="12" t="s">
        <v>613</v>
      </c>
      <c r="D77" s="45">
        <v>1</v>
      </c>
      <c r="E77" s="46" t="s">
        <v>428</v>
      </c>
      <c r="F77" s="43">
        <v>0</v>
      </c>
      <c r="G77" s="44">
        <f t="shared" si="1"/>
        <v>0</v>
      </c>
    </row>
    <row r="78" spans="1:7" ht="260" x14ac:dyDescent="0.3">
      <c r="A78" s="39" t="s">
        <v>2279</v>
      </c>
      <c r="B78" s="12" t="s">
        <v>615</v>
      </c>
      <c r="C78" s="12" t="s">
        <v>595</v>
      </c>
      <c r="D78" s="45">
        <v>2</v>
      </c>
      <c r="E78" s="46" t="s">
        <v>428</v>
      </c>
      <c r="F78" s="43">
        <v>0</v>
      </c>
      <c r="G78" s="44">
        <f t="shared" si="1"/>
        <v>0</v>
      </c>
    </row>
    <row r="79" spans="1:7" ht="104" x14ac:dyDescent="0.3">
      <c r="A79" s="39" t="s">
        <v>2280</v>
      </c>
      <c r="B79" s="12" t="s">
        <v>617</v>
      </c>
      <c r="C79" s="4" t="s">
        <v>598</v>
      </c>
      <c r="D79" s="45">
        <v>2</v>
      </c>
      <c r="E79" s="46" t="s">
        <v>428</v>
      </c>
      <c r="F79" s="43">
        <v>0</v>
      </c>
      <c r="G79" s="44">
        <f t="shared" si="1"/>
        <v>0</v>
      </c>
    </row>
    <row r="80" spans="1:7" ht="91" x14ac:dyDescent="0.3">
      <c r="A80" s="39" t="s">
        <v>2281</v>
      </c>
      <c r="B80" s="12" t="s">
        <v>619</v>
      </c>
      <c r="C80" s="47" t="s">
        <v>601</v>
      </c>
      <c r="D80" s="45">
        <v>2</v>
      </c>
      <c r="E80" s="46" t="s">
        <v>428</v>
      </c>
      <c r="F80" s="43">
        <v>0</v>
      </c>
      <c r="G80" s="44">
        <f t="shared" si="1"/>
        <v>0</v>
      </c>
    </row>
    <row r="81" spans="1:7" ht="78" x14ac:dyDescent="0.3">
      <c r="A81" s="39" t="s">
        <v>2282</v>
      </c>
      <c r="B81" s="12" t="s">
        <v>621</v>
      </c>
      <c r="C81" s="12" t="s">
        <v>604</v>
      </c>
      <c r="D81" s="45">
        <v>2</v>
      </c>
      <c r="E81" s="46" t="s">
        <v>428</v>
      </c>
      <c r="F81" s="43">
        <v>0</v>
      </c>
      <c r="G81" s="44">
        <f t="shared" si="1"/>
        <v>0</v>
      </c>
    </row>
    <row r="82" spans="1:7" ht="78" x14ac:dyDescent="0.3">
      <c r="A82" s="39" t="s">
        <v>2283</v>
      </c>
      <c r="B82" s="12" t="s">
        <v>623</v>
      </c>
      <c r="C82" s="12" t="s">
        <v>607</v>
      </c>
      <c r="D82" s="45">
        <v>2</v>
      </c>
      <c r="E82" s="46" t="s">
        <v>428</v>
      </c>
      <c r="F82" s="43">
        <v>0</v>
      </c>
      <c r="G82" s="44">
        <f t="shared" si="1"/>
        <v>0</v>
      </c>
    </row>
    <row r="83" spans="1:7" ht="65" x14ac:dyDescent="0.3">
      <c r="A83" s="39" t="s">
        <v>2284</v>
      </c>
      <c r="B83" s="12" t="s">
        <v>625</v>
      </c>
      <c r="C83" s="12" t="s">
        <v>610</v>
      </c>
      <c r="D83" s="45">
        <v>1</v>
      </c>
      <c r="E83" s="46" t="s">
        <v>428</v>
      </c>
      <c r="F83" s="43">
        <v>0</v>
      </c>
      <c r="G83" s="44">
        <f t="shared" si="1"/>
        <v>0</v>
      </c>
    </row>
    <row r="84" spans="1:7" ht="65" x14ac:dyDescent="0.3">
      <c r="A84" s="39" t="s">
        <v>2285</v>
      </c>
      <c r="B84" s="12" t="s">
        <v>627</v>
      </c>
      <c r="C84" s="12" t="s">
        <v>628</v>
      </c>
      <c r="D84" s="45">
        <v>1</v>
      </c>
      <c r="E84" s="46" t="s">
        <v>428</v>
      </c>
      <c r="F84" s="43">
        <v>0</v>
      </c>
      <c r="G84" s="44">
        <f t="shared" si="1"/>
        <v>0</v>
      </c>
    </row>
    <row r="85" spans="1:7" ht="260" x14ac:dyDescent="0.3">
      <c r="A85" s="39" t="s">
        <v>2286</v>
      </c>
      <c r="B85" s="12" t="s">
        <v>630</v>
      </c>
      <c r="C85" s="12" t="s">
        <v>595</v>
      </c>
      <c r="D85" s="45">
        <v>2</v>
      </c>
      <c r="E85" s="46" t="s">
        <v>428</v>
      </c>
      <c r="F85" s="43">
        <v>0</v>
      </c>
      <c r="G85" s="44">
        <f t="shared" si="1"/>
        <v>0</v>
      </c>
    </row>
    <row r="86" spans="1:7" ht="104" x14ac:dyDescent="0.3">
      <c r="A86" s="39" t="s">
        <v>2287</v>
      </c>
      <c r="B86" s="12" t="s">
        <v>632</v>
      </c>
      <c r="C86" s="4" t="s">
        <v>598</v>
      </c>
      <c r="D86" s="45">
        <v>2</v>
      </c>
      <c r="E86" s="46" t="s">
        <v>428</v>
      </c>
      <c r="F86" s="43">
        <v>0</v>
      </c>
      <c r="G86" s="44">
        <f t="shared" si="1"/>
        <v>0</v>
      </c>
    </row>
    <row r="87" spans="1:7" ht="91" x14ac:dyDescent="0.3">
      <c r="A87" s="39" t="s">
        <v>2288</v>
      </c>
      <c r="B87" s="12" t="s">
        <v>634</v>
      </c>
      <c r="C87" s="47" t="s">
        <v>601</v>
      </c>
      <c r="D87" s="45">
        <v>2</v>
      </c>
      <c r="E87" s="46" t="s">
        <v>428</v>
      </c>
      <c r="F87" s="43">
        <v>0</v>
      </c>
      <c r="G87" s="44">
        <f t="shared" si="1"/>
        <v>0</v>
      </c>
    </row>
    <row r="88" spans="1:7" ht="78" x14ac:dyDescent="0.3">
      <c r="A88" s="39" t="s">
        <v>2289</v>
      </c>
      <c r="B88" s="12" t="s">
        <v>636</v>
      </c>
      <c r="C88" s="12" t="s">
        <v>604</v>
      </c>
      <c r="D88" s="45">
        <v>2</v>
      </c>
      <c r="E88" s="46" t="s">
        <v>428</v>
      </c>
      <c r="F88" s="43">
        <v>0</v>
      </c>
      <c r="G88" s="44">
        <f t="shared" si="1"/>
        <v>0</v>
      </c>
    </row>
    <row r="89" spans="1:7" ht="78" x14ac:dyDescent="0.3">
      <c r="A89" s="39" t="s">
        <v>2290</v>
      </c>
      <c r="B89" s="12" t="s">
        <v>638</v>
      </c>
      <c r="C89" s="12" t="s">
        <v>607</v>
      </c>
      <c r="D89" s="45">
        <v>2</v>
      </c>
      <c r="E89" s="46" t="s">
        <v>428</v>
      </c>
      <c r="F89" s="43">
        <v>0</v>
      </c>
      <c r="G89" s="44">
        <f t="shared" si="1"/>
        <v>0</v>
      </c>
    </row>
    <row r="90" spans="1:7" ht="65" x14ac:dyDescent="0.3">
      <c r="A90" s="39" t="s">
        <v>2291</v>
      </c>
      <c r="B90" s="12" t="s">
        <v>640</v>
      </c>
      <c r="C90" s="12" t="s">
        <v>610</v>
      </c>
      <c r="D90" s="45">
        <v>1</v>
      </c>
      <c r="E90" s="46" t="s">
        <v>428</v>
      </c>
      <c r="F90" s="43">
        <v>0</v>
      </c>
      <c r="G90" s="44">
        <f t="shared" si="1"/>
        <v>0</v>
      </c>
    </row>
    <row r="91" spans="1:7" ht="65" x14ac:dyDescent="0.3">
      <c r="A91" s="39" t="s">
        <v>2292</v>
      </c>
      <c r="B91" s="12" t="s">
        <v>642</v>
      </c>
      <c r="C91" s="12" t="s">
        <v>628</v>
      </c>
      <c r="D91" s="45">
        <v>1</v>
      </c>
      <c r="E91" s="46" t="s">
        <v>428</v>
      </c>
      <c r="F91" s="43">
        <v>0</v>
      </c>
      <c r="G91" s="44">
        <f t="shared" si="1"/>
        <v>0</v>
      </c>
    </row>
    <row r="92" spans="1:7" ht="260" x14ac:dyDescent="0.3">
      <c r="A92" s="39" t="s">
        <v>2293</v>
      </c>
      <c r="B92" s="12" t="s">
        <v>644</v>
      </c>
      <c r="C92" s="12" t="s">
        <v>595</v>
      </c>
      <c r="D92" s="45">
        <v>2</v>
      </c>
      <c r="E92" s="46" t="s">
        <v>428</v>
      </c>
      <c r="F92" s="43">
        <v>0</v>
      </c>
      <c r="G92" s="44">
        <f t="shared" si="1"/>
        <v>0</v>
      </c>
    </row>
    <row r="93" spans="1:7" ht="104" x14ac:dyDescent="0.3">
      <c r="A93" s="39" t="s">
        <v>2294</v>
      </c>
      <c r="B93" s="12" t="s">
        <v>646</v>
      </c>
      <c r="C93" s="4" t="s">
        <v>598</v>
      </c>
      <c r="D93" s="45">
        <v>2</v>
      </c>
      <c r="E93" s="46" t="s">
        <v>428</v>
      </c>
      <c r="F93" s="43">
        <v>0</v>
      </c>
      <c r="G93" s="44">
        <f t="shared" si="1"/>
        <v>0</v>
      </c>
    </row>
    <row r="94" spans="1:7" ht="91" x14ac:dyDescent="0.3">
      <c r="A94" s="39" t="s">
        <v>2295</v>
      </c>
      <c r="B94" s="12" t="s">
        <v>648</v>
      </c>
      <c r="C94" s="47" t="s">
        <v>601</v>
      </c>
      <c r="D94" s="45">
        <v>2</v>
      </c>
      <c r="E94" s="46" t="s">
        <v>428</v>
      </c>
      <c r="F94" s="43">
        <v>0</v>
      </c>
      <c r="G94" s="44">
        <f t="shared" si="1"/>
        <v>0</v>
      </c>
    </row>
    <row r="95" spans="1:7" ht="78" x14ac:dyDescent="0.3">
      <c r="A95" s="39" t="s">
        <v>2296</v>
      </c>
      <c r="B95" s="12" t="s">
        <v>650</v>
      </c>
      <c r="C95" s="12" t="s">
        <v>604</v>
      </c>
      <c r="D95" s="45">
        <v>2</v>
      </c>
      <c r="E95" s="46" t="s">
        <v>428</v>
      </c>
      <c r="F95" s="43">
        <v>0</v>
      </c>
      <c r="G95" s="44">
        <f t="shared" si="1"/>
        <v>0</v>
      </c>
    </row>
    <row r="96" spans="1:7" ht="78" x14ac:dyDescent="0.3">
      <c r="A96" s="39" t="s">
        <v>2297</v>
      </c>
      <c r="B96" s="12" t="s">
        <v>652</v>
      </c>
      <c r="C96" s="12" t="s">
        <v>607</v>
      </c>
      <c r="D96" s="45">
        <v>2</v>
      </c>
      <c r="E96" s="46" t="s">
        <v>428</v>
      </c>
      <c r="F96" s="43">
        <v>0</v>
      </c>
      <c r="G96" s="44">
        <f t="shared" si="1"/>
        <v>0</v>
      </c>
    </row>
    <row r="97" spans="1:7" ht="65" x14ac:dyDescent="0.3">
      <c r="A97" s="39" t="s">
        <v>2298</v>
      </c>
      <c r="B97" s="12" t="s">
        <v>654</v>
      </c>
      <c r="C97" s="12" t="s">
        <v>610</v>
      </c>
      <c r="D97" s="45">
        <v>1</v>
      </c>
      <c r="E97" s="46" t="s">
        <v>428</v>
      </c>
      <c r="F97" s="43">
        <v>0</v>
      </c>
      <c r="G97" s="44">
        <f t="shared" si="1"/>
        <v>0</v>
      </c>
    </row>
    <row r="98" spans="1:7" ht="65" x14ac:dyDescent="0.3">
      <c r="A98" s="39" t="s">
        <v>2299</v>
      </c>
      <c r="B98" s="12" t="s">
        <v>656</v>
      </c>
      <c r="C98" s="12" t="s">
        <v>628</v>
      </c>
      <c r="D98" s="45">
        <v>1</v>
      </c>
      <c r="E98" s="46" t="s">
        <v>428</v>
      </c>
      <c r="F98" s="43">
        <v>0</v>
      </c>
      <c r="G98" s="44">
        <f t="shared" si="1"/>
        <v>0</v>
      </c>
    </row>
    <row r="99" spans="1:7" ht="260" x14ac:dyDescent="0.3">
      <c r="A99" s="39" t="s">
        <v>2300</v>
      </c>
      <c r="B99" s="12" t="s">
        <v>658</v>
      </c>
      <c r="C99" s="12" t="s">
        <v>595</v>
      </c>
      <c r="D99" s="45">
        <v>2</v>
      </c>
      <c r="E99" s="46" t="s">
        <v>428</v>
      </c>
      <c r="F99" s="43">
        <v>0</v>
      </c>
      <c r="G99" s="44">
        <f t="shared" si="1"/>
        <v>0</v>
      </c>
    </row>
    <row r="100" spans="1:7" ht="104" x14ac:dyDescent="0.3">
      <c r="A100" s="39" t="s">
        <v>2301</v>
      </c>
      <c r="B100" s="12" t="s">
        <v>660</v>
      </c>
      <c r="C100" s="4" t="s">
        <v>598</v>
      </c>
      <c r="D100" s="45">
        <v>2</v>
      </c>
      <c r="E100" s="46" t="s">
        <v>428</v>
      </c>
      <c r="F100" s="43">
        <v>0</v>
      </c>
      <c r="G100" s="44">
        <f t="shared" si="1"/>
        <v>0</v>
      </c>
    </row>
    <row r="101" spans="1:7" ht="91" x14ac:dyDescent="0.3">
      <c r="A101" s="39" t="s">
        <v>2302</v>
      </c>
      <c r="B101" s="12" t="s">
        <v>662</v>
      </c>
      <c r="C101" s="47" t="s">
        <v>601</v>
      </c>
      <c r="D101" s="45">
        <v>2</v>
      </c>
      <c r="E101" s="46" t="s">
        <v>428</v>
      </c>
      <c r="F101" s="43">
        <v>0</v>
      </c>
      <c r="G101" s="44">
        <f t="shared" si="1"/>
        <v>0</v>
      </c>
    </row>
    <row r="102" spans="1:7" ht="78" x14ac:dyDescent="0.3">
      <c r="A102" s="39" t="s">
        <v>2303</v>
      </c>
      <c r="B102" s="12" t="s">
        <v>664</v>
      </c>
      <c r="C102" s="12" t="s">
        <v>604</v>
      </c>
      <c r="D102" s="45">
        <v>2</v>
      </c>
      <c r="E102" s="46" t="s">
        <v>428</v>
      </c>
      <c r="F102" s="43">
        <v>0</v>
      </c>
      <c r="G102" s="44">
        <f t="shared" si="1"/>
        <v>0</v>
      </c>
    </row>
    <row r="103" spans="1:7" ht="78" x14ac:dyDescent="0.3">
      <c r="A103" s="39" t="s">
        <v>2304</v>
      </c>
      <c r="B103" s="12" t="s">
        <v>666</v>
      </c>
      <c r="C103" s="12" t="s">
        <v>607</v>
      </c>
      <c r="D103" s="45">
        <v>2</v>
      </c>
      <c r="E103" s="46" t="s">
        <v>428</v>
      </c>
      <c r="F103" s="43">
        <v>0</v>
      </c>
      <c r="G103" s="44">
        <f t="shared" si="1"/>
        <v>0</v>
      </c>
    </row>
    <row r="104" spans="1:7" ht="65" x14ac:dyDescent="0.3">
      <c r="A104" s="39" t="s">
        <v>2305</v>
      </c>
      <c r="B104" s="12" t="s">
        <v>668</v>
      </c>
      <c r="C104" s="12" t="s">
        <v>610</v>
      </c>
      <c r="D104" s="45">
        <v>2</v>
      </c>
      <c r="E104" s="46" t="s">
        <v>428</v>
      </c>
      <c r="F104" s="43">
        <v>0</v>
      </c>
      <c r="G104" s="44">
        <f t="shared" si="1"/>
        <v>0</v>
      </c>
    </row>
    <row r="105" spans="1:7" ht="65" x14ac:dyDescent="0.3">
      <c r="A105" s="39" t="s">
        <v>2306</v>
      </c>
      <c r="B105" s="12" t="s">
        <v>670</v>
      </c>
      <c r="C105" s="12" t="s">
        <v>628</v>
      </c>
      <c r="D105" s="45">
        <v>1</v>
      </c>
      <c r="E105" s="46" t="s">
        <v>428</v>
      </c>
      <c r="F105" s="43">
        <v>0</v>
      </c>
      <c r="G105" s="44">
        <f t="shared" si="1"/>
        <v>0</v>
      </c>
    </row>
    <row r="106" spans="1:7" ht="260" x14ac:dyDescent="0.3">
      <c r="A106" s="39" t="s">
        <v>2307</v>
      </c>
      <c r="B106" s="12" t="s">
        <v>672</v>
      </c>
      <c r="C106" s="12" t="s">
        <v>595</v>
      </c>
      <c r="D106" s="45">
        <v>2</v>
      </c>
      <c r="E106" s="46" t="s">
        <v>428</v>
      </c>
      <c r="F106" s="43">
        <v>0</v>
      </c>
      <c r="G106" s="44">
        <f t="shared" si="1"/>
        <v>0</v>
      </c>
    </row>
    <row r="107" spans="1:7" ht="104" x14ac:dyDescent="0.3">
      <c r="A107" s="39" t="s">
        <v>2308</v>
      </c>
      <c r="B107" s="12" t="s">
        <v>674</v>
      </c>
      <c r="C107" s="4" t="s">
        <v>598</v>
      </c>
      <c r="D107" s="45">
        <v>2</v>
      </c>
      <c r="E107" s="46" t="s">
        <v>428</v>
      </c>
      <c r="F107" s="43">
        <v>0</v>
      </c>
      <c r="G107" s="44">
        <f t="shared" si="1"/>
        <v>0</v>
      </c>
    </row>
    <row r="108" spans="1:7" ht="91" x14ac:dyDescent="0.3">
      <c r="A108" s="39" t="s">
        <v>2309</v>
      </c>
      <c r="B108" s="12" t="s">
        <v>676</v>
      </c>
      <c r="C108" s="47" t="s">
        <v>601</v>
      </c>
      <c r="D108" s="45">
        <v>2</v>
      </c>
      <c r="E108" s="46" t="s">
        <v>428</v>
      </c>
      <c r="F108" s="43">
        <v>0</v>
      </c>
      <c r="G108" s="44">
        <f t="shared" si="1"/>
        <v>0</v>
      </c>
    </row>
    <row r="109" spans="1:7" ht="78" x14ac:dyDescent="0.3">
      <c r="A109" s="39" t="s">
        <v>2310</v>
      </c>
      <c r="B109" s="12" t="s">
        <v>678</v>
      </c>
      <c r="C109" s="12" t="s">
        <v>604</v>
      </c>
      <c r="D109" s="45">
        <v>2</v>
      </c>
      <c r="E109" s="46" t="s">
        <v>428</v>
      </c>
      <c r="F109" s="43">
        <v>0</v>
      </c>
      <c r="G109" s="44">
        <f t="shared" si="1"/>
        <v>0</v>
      </c>
    </row>
    <row r="110" spans="1:7" ht="78" x14ac:dyDescent="0.3">
      <c r="A110" s="39" t="s">
        <v>2311</v>
      </c>
      <c r="B110" s="12" t="s">
        <v>680</v>
      </c>
      <c r="C110" s="12" t="s">
        <v>607</v>
      </c>
      <c r="D110" s="45">
        <v>2</v>
      </c>
      <c r="E110" s="46" t="s">
        <v>428</v>
      </c>
      <c r="F110" s="43">
        <v>0</v>
      </c>
      <c r="G110" s="44">
        <f t="shared" si="1"/>
        <v>0</v>
      </c>
    </row>
    <row r="111" spans="1:7" ht="65" x14ac:dyDescent="0.3">
      <c r="A111" s="39" t="s">
        <v>2312</v>
      </c>
      <c r="B111" s="12" t="s">
        <v>682</v>
      </c>
      <c r="C111" s="12" t="s">
        <v>610</v>
      </c>
      <c r="D111" s="45">
        <v>1</v>
      </c>
      <c r="E111" s="46" t="s">
        <v>428</v>
      </c>
      <c r="F111" s="43">
        <v>0</v>
      </c>
      <c r="G111" s="44">
        <f t="shared" si="1"/>
        <v>0</v>
      </c>
    </row>
    <row r="112" spans="1:7" ht="65" x14ac:dyDescent="0.3">
      <c r="A112" s="39" t="s">
        <v>2313</v>
      </c>
      <c r="B112" s="12" t="s">
        <v>684</v>
      </c>
      <c r="C112" s="12" t="s">
        <v>628</v>
      </c>
      <c r="D112" s="45">
        <v>1</v>
      </c>
      <c r="E112" s="46" t="s">
        <v>428</v>
      </c>
      <c r="F112" s="43">
        <v>0</v>
      </c>
      <c r="G112" s="44">
        <f t="shared" si="1"/>
        <v>0</v>
      </c>
    </row>
    <row r="113" spans="1:7" ht="117" x14ac:dyDescent="0.3">
      <c r="A113" s="39" t="s">
        <v>2314</v>
      </c>
      <c r="B113" s="12" t="s">
        <v>686</v>
      </c>
      <c r="C113" s="12" t="s">
        <v>687</v>
      </c>
      <c r="D113" s="45">
        <v>6</v>
      </c>
      <c r="E113" s="46" t="s">
        <v>428</v>
      </c>
      <c r="F113" s="43">
        <v>0</v>
      </c>
      <c r="G113" s="44">
        <f t="shared" si="1"/>
        <v>0</v>
      </c>
    </row>
    <row r="114" spans="1:7" ht="52" x14ac:dyDescent="0.3">
      <c r="A114" s="39" t="s">
        <v>2315</v>
      </c>
      <c r="B114" s="12" t="s">
        <v>689</v>
      </c>
      <c r="C114" s="40" t="s">
        <v>690</v>
      </c>
      <c r="D114" s="45">
        <v>5</v>
      </c>
      <c r="E114" s="46" t="s">
        <v>428</v>
      </c>
      <c r="F114" s="43">
        <v>0</v>
      </c>
      <c r="G114" s="44">
        <f t="shared" si="1"/>
        <v>0</v>
      </c>
    </row>
    <row r="115" spans="1:7" ht="65" x14ac:dyDescent="0.3">
      <c r="A115" s="39" t="s">
        <v>2316</v>
      </c>
      <c r="B115" s="12" t="s">
        <v>692</v>
      </c>
      <c r="C115" s="12" t="s">
        <v>693</v>
      </c>
      <c r="D115" s="45">
        <v>2</v>
      </c>
      <c r="E115" s="46" t="s">
        <v>428</v>
      </c>
      <c r="F115" s="43">
        <v>0</v>
      </c>
      <c r="G115" s="44">
        <f t="shared" si="1"/>
        <v>0</v>
      </c>
    </row>
    <row r="116" spans="1:7" ht="91" x14ac:dyDescent="0.3">
      <c r="A116" s="39" t="s">
        <v>2317</v>
      </c>
      <c r="B116" s="12" t="s">
        <v>695</v>
      </c>
      <c r="C116" s="12" t="s">
        <v>696</v>
      </c>
      <c r="D116" s="12">
        <v>3</v>
      </c>
      <c r="E116" s="11" t="s">
        <v>428</v>
      </c>
      <c r="F116" s="43">
        <v>0</v>
      </c>
      <c r="G116" s="44">
        <f t="shared" si="1"/>
        <v>0</v>
      </c>
    </row>
    <row r="117" spans="1:7" ht="91" x14ac:dyDescent="0.3">
      <c r="A117" s="39" t="s">
        <v>2318</v>
      </c>
      <c r="B117" s="12" t="s">
        <v>698</v>
      </c>
      <c r="C117" s="12" t="s">
        <v>699</v>
      </c>
      <c r="D117" s="12">
        <v>2</v>
      </c>
      <c r="E117" s="48" t="s">
        <v>428</v>
      </c>
      <c r="F117" s="43">
        <v>0</v>
      </c>
      <c r="G117" s="44">
        <f t="shared" si="1"/>
        <v>0</v>
      </c>
    </row>
    <row r="118" spans="1:7" ht="78" x14ac:dyDescent="0.3">
      <c r="A118" s="39" t="s">
        <v>2319</v>
      </c>
      <c r="B118" s="12" t="s">
        <v>701</v>
      </c>
      <c r="C118" s="12" t="s">
        <v>702</v>
      </c>
      <c r="D118" s="12">
        <v>1</v>
      </c>
      <c r="E118" s="48" t="s">
        <v>428</v>
      </c>
      <c r="F118" s="43">
        <v>0</v>
      </c>
      <c r="G118" s="44">
        <f t="shared" si="1"/>
        <v>0</v>
      </c>
    </row>
    <row r="119" spans="1:7" ht="78" x14ac:dyDescent="0.3">
      <c r="A119" s="39" t="s">
        <v>2320</v>
      </c>
      <c r="B119" s="12" t="s">
        <v>704</v>
      </c>
      <c r="C119" s="12" t="s">
        <v>705</v>
      </c>
      <c r="D119" s="45">
        <v>1</v>
      </c>
      <c r="E119" s="46" t="s">
        <v>428</v>
      </c>
      <c r="F119" s="43">
        <v>0</v>
      </c>
      <c r="G119" s="44">
        <f t="shared" si="1"/>
        <v>0</v>
      </c>
    </row>
    <row r="120" spans="1:7" ht="117" x14ac:dyDescent="0.3">
      <c r="A120" s="39" t="s">
        <v>2321</v>
      </c>
      <c r="B120" s="12" t="s">
        <v>707</v>
      </c>
      <c r="C120" s="12" t="s">
        <v>687</v>
      </c>
      <c r="D120" s="45">
        <v>6</v>
      </c>
      <c r="E120" s="46" t="s">
        <v>428</v>
      </c>
      <c r="F120" s="43">
        <v>0</v>
      </c>
      <c r="G120" s="44">
        <f t="shared" si="1"/>
        <v>0</v>
      </c>
    </row>
    <row r="121" spans="1:7" ht="52" x14ac:dyDescent="0.3">
      <c r="A121" s="39" t="s">
        <v>2322</v>
      </c>
      <c r="B121" s="40" t="s">
        <v>709</v>
      </c>
      <c r="C121" s="12" t="s">
        <v>690</v>
      </c>
      <c r="D121" s="45">
        <v>5</v>
      </c>
      <c r="E121" s="46" t="s">
        <v>428</v>
      </c>
      <c r="F121" s="43">
        <v>0</v>
      </c>
      <c r="G121" s="44">
        <f t="shared" si="1"/>
        <v>0</v>
      </c>
    </row>
    <row r="122" spans="1:7" ht="78" x14ac:dyDescent="0.3">
      <c r="A122" s="39" t="s">
        <v>2323</v>
      </c>
      <c r="B122" s="12" t="s">
        <v>711</v>
      </c>
      <c r="C122" s="12" t="s">
        <v>712</v>
      </c>
      <c r="D122" s="45">
        <v>2</v>
      </c>
      <c r="E122" s="46" t="s">
        <v>428</v>
      </c>
      <c r="F122" s="43">
        <v>0</v>
      </c>
      <c r="G122" s="44">
        <f t="shared" si="1"/>
        <v>0</v>
      </c>
    </row>
    <row r="123" spans="1:7" ht="91" x14ac:dyDescent="0.3">
      <c r="A123" s="39" t="s">
        <v>2324</v>
      </c>
      <c r="B123" s="12" t="s">
        <v>714</v>
      </c>
      <c r="C123" s="12" t="s">
        <v>715</v>
      </c>
      <c r="D123" s="45">
        <v>3</v>
      </c>
      <c r="E123" s="46" t="s">
        <v>428</v>
      </c>
      <c r="F123" s="43">
        <v>0</v>
      </c>
      <c r="G123" s="44">
        <f t="shared" si="1"/>
        <v>0</v>
      </c>
    </row>
    <row r="124" spans="1:7" ht="91" x14ac:dyDescent="0.3">
      <c r="A124" s="39" t="s">
        <v>2325</v>
      </c>
      <c r="B124" s="12" t="s">
        <v>717</v>
      </c>
      <c r="C124" s="12" t="s">
        <v>718</v>
      </c>
      <c r="D124" s="45">
        <v>2</v>
      </c>
      <c r="E124" s="46" t="s">
        <v>428</v>
      </c>
      <c r="F124" s="43">
        <v>0</v>
      </c>
      <c r="G124" s="44">
        <f t="shared" si="1"/>
        <v>0</v>
      </c>
    </row>
    <row r="125" spans="1:7" ht="78" x14ac:dyDescent="0.3">
      <c r="A125" s="39" t="s">
        <v>2326</v>
      </c>
      <c r="B125" s="12" t="s">
        <v>720</v>
      </c>
      <c r="C125" s="12" t="s">
        <v>721</v>
      </c>
      <c r="D125" s="45">
        <v>1</v>
      </c>
      <c r="E125" s="46" t="s">
        <v>428</v>
      </c>
      <c r="F125" s="43">
        <v>0</v>
      </c>
      <c r="G125" s="44">
        <f t="shared" si="1"/>
        <v>0</v>
      </c>
    </row>
    <row r="126" spans="1:7" ht="91" x14ac:dyDescent="0.3">
      <c r="A126" s="39" t="s">
        <v>2327</v>
      </c>
      <c r="B126" s="12" t="s">
        <v>723</v>
      </c>
      <c r="C126" s="12" t="s">
        <v>724</v>
      </c>
      <c r="D126" s="45">
        <v>1</v>
      </c>
      <c r="E126" s="46" t="s">
        <v>428</v>
      </c>
      <c r="F126" s="43">
        <v>0</v>
      </c>
      <c r="G126" s="44">
        <f t="shared" si="1"/>
        <v>0</v>
      </c>
    </row>
    <row r="127" spans="1:7" ht="221" x14ac:dyDescent="0.3">
      <c r="A127" s="39" t="s">
        <v>2328</v>
      </c>
      <c r="B127" s="12" t="s">
        <v>726</v>
      </c>
      <c r="C127" s="12" t="s">
        <v>727</v>
      </c>
      <c r="D127" s="45">
        <v>6</v>
      </c>
      <c r="E127" s="46" t="s">
        <v>428</v>
      </c>
      <c r="F127" s="43">
        <v>0</v>
      </c>
      <c r="G127" s="44">
        <f t="shared" si="1"/>
        <v>0</v>
      </c>
    </row>
    <row r="128" spans="1:7" ht="117" x14ac:dyDescent="0.3">
      <c r="A128" s="39" t="s">
        <v>2329</v>
      </c>
      <c r="B128" s="12" t="s">
        <v>729</v>
      </c>
      <c r="C128" s="12" t="s">
        <v>730</v>
      </c>
      <c r="D128" s="45">
        <v>6</v>
      </c>
      <c r="E128" s="46" t="s">
        <v>428</v>
      </c>
      <c r="F128" s="43">
        <v>0</v>
      </c>
      <c r="G128" s="44">
        <f t="shared" si="1"/>
        <v>0</v>
      </c>
    </row>
    <row r="129" spans="1:7" ht="52" x14ac:dyDescent="0.3">
      <c r="A129" s="39" t="s">
        <v>2330</v>
      </c>
      <c r="B129" s="12" t="s">
        <v>732</v>
      </c>
      <c r="C129" s="12" t="s">
        <v>733</v>
      </c>
      <c r="D129" s="45">
        <v>6</v>
      </c>
      <c r="E129" s="46" t="s">
        <v>428</v>
      </c>
      <c r="F129" s="43">
        <v>0</v>
      </c>
      <c r="G129" s="44">
        <f t="shared" si="1"/>
        <v>0</v>
      </c>
    </row>
    <row r="130" spans="1:7" ht="52.5" customHeight="1" x14ac:dyDescent="0.3">
      <c r="A130" s="39" t="s">
        <v>2331</v>
      </c>
      <c r="B130" s="12" t="s">
        <v>735</v>
      </c>
      <c r="C130" s="12" t="s">
        <v>693</v>
      </c>
      <c r="D130" s="45">
        <v>3</v>
      </c>
      <c r="E130" s="46" t="s">
        <v>428</v>
      </c>
      <c r="F130" s="43">
        <v>0</v>
      </c>
      <c r="G130" s="44">
        <f t="shared" si="1"/>
        <v>0</v>
      </c>
    </row>
    <row r="131" spans="1:7" ht="91" x14ac:dyDescent="0.3">
      <c r="A131" s="39" t="s">
        <v>2332</v>
      </c>
      <c r="B131" s="12" t="s">
        <v>737</v>
      </c>
      <c r="C131" s="12" t="s">
        <v>696</v>
      </c>
      <c r="D131" s="45">
        <v>2</v>
      </c>
      <c r="E131" s="46" t="s">
        <v>428</v>
      </c>
      <c r="F131" s="43">
        <v>0</v>
      </c>
      <c r="G131" s="44">
        <f t="shared" si="1"/>
        <v>0</v>
      </c>
    </row>
    <row r="132" spans="1:7" ht="91" x14ac:dyDescent="0.3">
      <c r="A132" s="39" t="s">
        <v>2333</v>
      </c>
      <c r="B132" s="12" t="s">
        <v>739</v>
      </c>
      <c r="C132" s="12" t="s">
        <v>740</v>
      </c>
      <c r="D132" s="45">
        <v>3</v>
      </c>
      <c r="E132" s="46" t="s">
        <v>428</v>
      </c>
      <c r="F132" s="43">
        <v>0</v>
      </c>
      <c r="G132" s="44">
        <f t="shared" si="1"/>
        <v>0</v>
      </c>
    </row>
    <row r="133" spans="1:7" ht="78" x14ac:dyDescent="0.3">
      <c r="A133" s="39" t="s">
        <v>2334</v>
      </c>
      <c r="B133" s="12" t="s">
        <v>742</v>
      </c>
      <c r="C133" s="12" t="s">
        <v>743</v>
      </c>
      <c r="D133" s="45">
        <v>1</v>
      </c>
      <c r="E133" s="46" t="s">
        <v>428</v>
      </c>
      <c r="F133" s="43">
        <v>0</v>
      </c>
      <c r="G133" s="44">
        <f t="shared" si="1"/>
        <v>0</v>
      </c>
    </row>
    <row r="134" spans="1:7" ht="65.25" customHeight="1" x14ac:dyDescent="0.3">
      <c r="A134" s="39" t="s">
        <v>2335</v>
      </c>
      <c r="B134" s="12" t="s">
        <v>745</v>
      </c>
      <c r="C134" s="12" t="s">
        <v>746</v>
      </c>
      <c r="D134" s="45">
        <v>1</v>
      </c>
      <c r="E134" s="46" t="s">
        <v>428</v>
      </c>
      <c r="F134" s="43">
        <v>0</v>
      </c>
      <c r="G134" s="44">
        <f t="shared" si="1"/>
        <v>0</v>
      </c>
    </row>
    <row r="135" spans="1:7" ht="109.5" customHeight="1" x14ac:dyDescent="0.3">
      <c r="A135" s="39" t="s">
        <v>2336</v>
      </c>
      <c r="B135" s="4" t="s">
        <v>748</v>
      </c>
      <c r="C135" s="4" t="s">
        <v>749</v>
      </c>
      <c r="D135" s="45">
        <v>6</v>
      </c>
      <c r="E135" s="46" t="s">
        <v>428</v>
      </c>
      <c r="F135" s="43">
        <v>0</v>
      </c>
      <c r="G135" s="44">
        <f t="shared" si="1"/>
        <v>0</v>
      </c>
    </row>
    <row r="136" spans="1:7" ht="109.5" customHeight="1" x14ac:dyDescent="0.3">
      <c r="A136" s="39" t="s">
        <v>2337</v>
      </c>
      <c r="B136" s="4" t="s">
        <v>751</v>
      </c>
      <c r="C136" s="4" t="s">
        <v>752</v>
      </c>
      <c r="D136" s="45">
        <f>G136-F136</f>
        <v>0</v>
      </c>
      <c r="E136" s="46" t="s">
        <v>515</v>
      </c>
      <c r="F136" s="43">
        <v>0</v>
      </c>
      <c r="G136" s="44">
        <v>0</v>
      </c>
    </row>
    <row r="137" spans="1:7" ht="109.5" customHeight="1" x14ac:dyDescent="0.3">
      <c r="A137" s="39" t="s">
        <v>2338</v>
      </c>
      <c r="B137" s="4" t="s">
        <v>754</v>
      </c>
      <c r="C137" s="4" t="s">
        <v>755</v>
      </c>
      <c r="D137" s="45">
        <f>G137-F137</f>
        <v>0</v>
      </c>
      <c r="E137" s="46" t="s">
        <v>428</v>
      </c>
      <c r="F137" s="43">
        <v>0</v>
      </c>
      <c r="G137" s="44">
        <v>0</v>
      </c>
    </row>
    <row r="138" spans="1:7" s="100" customFormat="1" ht="109.5" customHeight="1" x14ac:dyDescent="0.3">
      <c r="A138" s="93" t="s">
        <v>2339</v>
      </c>
      <c r="B138" s="94" t="s">
        <v>757</v>
      </c>
      <c r="C138" s="95" t="s">
        <v>758</v>
      </c>
      <c r="D138" s="96">
        <v>180000</v>
      </c>
      <c r="E138" s="97" t="s">
        <v>421</v>
      </c>
      <c r="F138" s="98">
        <v>0</v>
      </c>
      <c r="G138" s="99">
        <v>0</v>
      </c>
    </row>
    <row r="139" spans="1:7" ht="15" customHeight="1" x14ac:dyDescent="0.3">
      <c r="A139" s="226" t="s">
        <v>2340</v>
      </c>
      <c r="B139" s="227"/>
      <c r="C139" s="227"/>
      <c r="D139" s="78"/>
      <c r="E139" s="78"/>
      <c r="F139" s="80"/>
      <c r="G139" s="20">
        <f>SUM(G11:G138)</f>
        <v>0</v>
      </c>
    </row>
    <row r="141" spans="1:7" ht="14.25" customHeight="1" x14ac:dyDescent="0.3"/>
    <row r="142" spans="1:7" ht="15" customHeight="1" x14ac:dyDescent="0.3"/>
    <row r="143" spans="1:7" ht="15" customHeight="1" x14ac:dyDescent="0.3"/>
    <row r="144" spans="1:7" ht="15" customHeight="1" x14ac:dyDescent="0.3"/>
    <row r="145" ht="15" customHeight="1" x14ac:dyDescent="0.3"/>
    <row r="146" ht="15" customHeight="1" x14ac:dyDescent="0.3"/>
    <row r="147" ht="15" customHeight="1" x14ac:dyDescent="0.3"/>
    <row r="148" ht="15" customHeight="1" x14ac:dyDescent="0.3"/>
    <row r="149" ht="15" customHeight="1" x14ac:dyDescent="0.3"/>
    <row r="150" ht="15" customHeight="1" x14ac:dyDescent="0.3"/>
    <row r="151" ht="15" customHeight="1" x14ac:dyDescent="0.3"/>
    <row r="152" ht="15" customHeight="1" x14ac:dyDescent="0.3"/>
    <row r="153" ht="15" customHeight="1" x14ac:dyDescent="0.3"/>
    <row r="154" ht="15" customHeight="1" x14ac:dyDescent="0.3"/>
    <row r="155" ht="15" customHeight="1" x14ac:dyDescent="0.3"/>
    <row r="156" ht="15" customHeight="1" x14ac:dyDescent="0.3"/>
    <row r="157" ht="15" customHeight="1" x14ac:dyDescent="0.3"/>
    <row r="158" ht="15" customHeight="1" x14ac:dyDescent="0.3"/>
    <row r="159" ht="15" customHeight="1" x14ac:dyDescent="0.3"/>
    <row r="160" ht="15" customHeight="1" x14ac:dyDescent="0.3"/>
  </sheetData>
  <mergeCells count="5">
    <mergeCell ref="A139:C139"/>
    <mergeCell ref="A5:C5"/>
    <mergeCell ref="A6:C6"/>
    <mergeCell ref="A7:C7"/>
    <mergeCell ref="A8:C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6"/>
  <sheetViews>
    <sheetView workbookViewId="0">
      <selection activeCell="P23" sqref="P23"/>
    </sheetView>
  </sheetViews>
  <sheetFormatPr defaultColWidth="9.1796875" defaultRowHeight="13" x14ac:dyDescent="0.3"/>
  <cols>
    <col min="1" max="1" width="9.1796875" style="1"/>
    <col min="2" max="2" width="15.1796875" style="1" customWidth="1"/>
    <col min="3" max="3" width="3.7265625" style="1" customWidth="1"/>
    <col min="4" max="4" width="9.1796875" style="1"/>
    <col min="5" max="5" width="20.1796875" style="1" customWidth="1"/>
    <col min="6" max="6" width="3.54296875" style="1" customWidth="1"/>
    <col min="7" max="7" width="9.1796875" style="1"/>
    <col min="8" max="8" width="19.54296875" style="1" customWidth="1"/>
    <col min="9" max="16384" width="9.1796875" style="1"/>
  </cols>
  <sheetData>
    <row r="1" spans="1:8" x14ac:dyDescent="0.3">
      <c r="A1" s="5" t="s">
        <v>414</v>
      </c>
      <c r="B1" s="6" t="s">
        <v>2341</v>
      </c>
      <c r="C1" s="7"/>
      <c r="D1" s="8" t="s">
        <v>2342</v>
      </c>
      <c r="E1" s="9" t="s">
        <v>2343</v>
      </c>
      <c r="F1" s="7"/>
      <c r="G1" s="8" t="s">
        <v>2344</v>
      </c>
      <c r="H1" s="9" t="s">
        <v>2345</v>
      </c>
    </row>
    <row r="2" spans="1:8" x14ac:dyDescent="0.3">
      <c r="A2" s="8" t="s">
        <v>2346</v>
      </c>
      <c r="B2" s="9" t="s">
        <v>2347</v>
      </c>
      <c r="C2" s="7"/>
      <c r="D2" s="8" t="s">
        <v>2348</v>
      </c>
      <c r="E2" s="9" t="s">
        <v>2349</v>
      </c>
      <c r="F2" s="7"/>
      <c r="G2" s="8" t="s">
        <v>2350</v>
      </c>
      <c r="H2" s="9" t="s">
        <v>2351</v>
      </c>
    </row>
    <row r="3" spans="1:8" x14ac:dyDescent="0.3">
      <c r="A3" s="8" t="s">
        <v>2352</v>
      </c>
      <c r="B3" s="9" t="s">
        <v>2353</v>
      </c>
      <c r="C3" s="7"/>
      <c r="D3" s="8" t="s">
        <v>2354</v>
      </c>
      <c r="E3" s="9" t="s">
        <v>2355</v>
      </c>
      <c r="F3" s="7"/>
      <c r="G3" s="8" t="s">
        <v>2356</v>
      </c>
      <c r="H3" s="9" t="s">
        <v>2357</v>
      </c>
    </row>
    <row r="4" spans="1:8" x14ac:dyDescent="0.3">
      <c r="A4" s="8" t="s">
        <v>2358</v>
      </c>
      <c r="B4" s="9" t="s">
        <v>2359</v>
      </c>
      <c r="C4" s="7"/>
      <c r="D4" s="8" t="s">
        <v>2360</v>
      </c>
      <c r="E4" s="9" t="s">
        <v>2361</v>
      </c>
      <c r="F4" s="7"/>
      <c r="G4" s="8" t="s">
        <v>2362</v>
      </c>
      <c r="H4" s="9" t="s">
        <v>2363</v>
      </c>
    </row>
    <row r="5" spans="1:8" x14ac:dyDescent="0.3">
      <c r="A5" s="8" t="s">
        <v>2364</v>
      </c>
      <c r="B5" s="9" t="s">
        <v>2365</v>
      </c>
      <c r="C5" s="7"/>
      <c r="D5" s="8" t="s">
        <v>2366</v>
      </c>
      <c r="E5" s="9" t="s">
        <v>2367</v>
      </c>
      <c r="F5" s="7"/>
      <c r="G5" s="8" t="s">
        <v>2368</v>
      </c>
      <c r="H5" s="9" t="s">
        <v>2369</v>
      </c>
    </row>
    <row r="6" spans="1:8" x14ac:dyDescent="0.3">
      <c r="A6" s="8" t="s">
        <v>2370</v>
      </c>
      <c r="B6" s="9" t="s">
        <v>2371</v>
      </c>
      <c r="C6" s="7"/>
      <c r="D6" s="8" t="s">
        <v>2372</v>
      </c>
      <c r="E6" s="9" t="s">
        <v>2373</v>
      </c>
      <c r="F6" s="7"/>
      <c r="G6" s="8" t="s">
        <v>2374</v>
      </c>
      <c r="H6" s="9" t="s">
        <v>2375</v>
      </c>
    </row>
    <row r="7" spans="1:8" x14ac:dyDescent="0.3">
      <c r="A7" s="8" t="s">
        <v>2376</v>
      </c>
      <c r="B7" s="9" t="s">
        <v>2377</v>
      </c>
      <c r="C7" s="7"/>
      <c r="D7" s="8" t="s">
        <v>2378</v>
      </c>
      <c r="E7" s="9" t="s">
        <v>2379</v>
      </c>
      <c r="F7" s="7"/>
      <c r="G7" s="8" t="s">
        <v>2380</v>
      </c>
      <c r="H7" s="9" t="s">
        <v>2381</v>
      </c>
    </row>
    <row r="8" spans="1:8" x14ac:dyDescent="0.3">
      <c r="A8" s="8" t="s">
        <v>2382</v>
      </c>
      <c r="B8" s="9" t="s">
        <v>2383</v>
      </c>
      <c r="C8" s="7"/>
      <c r="D8" s="8" t="s">
        <v>2384</v>
      </c>
      <c r="E8" s="9" t="s">
        <v>2385</v>
      </c>
      <c r="F8" s="7"/>
      <c r="G8" s="8" t="s">
        <v>2386</v>
      </c>
      <c r="H8" s="9" t="s">
        <v>2387</v>
      </c>
    </row>
    <row r="9" spans="1:8" x14ac:dyDescent="0.3">
      <c r="A9" s="8" t="s">
        <v>2388</v>
      </c>
      <c r="B9" s="9" t="s">
        <v>2389</v>
      </c>
      <c r="C9" s="7"/>
      <c r="D9" s="8" t="s">
        <v>2390</v>
      </c>
      <c r="E9" s="9" t="s">
        <v>2391</v>
      </c>
      <c r="F9" s="7"/>
      <c r="G9" s="8" t="s">
        <v>2392</v>
      </c>
      <c r="H9" s="9" t="s">
        <v>2393</v>
      </c>
    </row>
    <row r="10" spans="1:8" x14ac:dyDescent="0.3">
      <c r="A10" s="8" t="s">
        <v>2394</v>
      </c>
      <c r="B10" s="9" t="s">
        <v>2395</v>
      </c>
      <c r="C10" s="7"/>
      <c r="D10" s="8" t="s">
        <v>2396</v>
      </c>
      <c r="E10" s="9" t="s">
        <v>2397</v>
      </c>
      <c r="F10" s="7"/>
      <c r="G10" s="8" t="s">
        <v>2398</v>
      </c>
      <c r="H10" s="9" t="s">
        <v>2399</v>
      </c>
    </row>
    <row r="11" spans="1:8" x14ac:dyDescent="0.3">
      <c r="A11" s="8" t="s">
        <v>2400</v>
      </c>
      <c r="B11" s="9" t="s">
        <v>2401</v>
      </c>
      <c r="C11" s="7"/>
      <c r="D11" s="8" t="s">
        <v>2402</v>
      </c>
      <c r="E11" s="9" t="s">
        <v>2403</v>
      </c>
      <c r="F11" s="7"/>
      <c r="G11" s="8" t="s">
        <v>2404</v>
      </c>
      <c r="H11" s="9" t="s">
        <v>2405</v>
      </c>
    </row>
    <row r="12" spans="1:8" x14ac:dyDescent="0.3">
      <c r="A12" s="8" t="s">
        <v>2406</v>
      </c>
      <c r="B12" s="9" t="s">
        <v>2407</v>
      </c>
      <c r="C12" s="7"/>
      <c r="D12" s="8" t="s">
        <v>2408</v>
      </c>
      <c r="E12" s="9" t="s">
        <v>2409</v>
      </c>
      <c r="F12" s="7"/>
      <c r="G12" s="8" t="s">
        <v>2410</v>
      </c>
      <c r="H12" s="9" t="s">
        <v>2411</v>
      </c>
    </row>
    <row r="13" spans="1:8" x14ac:dyDescent="0.3">
      <c r="A13" s="8" t="s">
        <v>2412</v>
      </c>
      <c r="B13" s="9" t="s">
        <v>2413</v>
      </c>
      <c r="C13" s="7"/>
      <c r="D13" s="8" t="s">
        <v>2414</v>
      </c>
      <c r="E13" s="9" t="s">
        <v>2415</v>
      </c>
      <c r="F13" s="7"/>
      <c r="G13" s="8" t="s">
        <v>2416</v>
      </c>
      <c r="H13" s="9" t="s">
        <v>2417</v>
      </c>
    </row>
    <row r="14" spans="1:8" x14ac:dyDescent="0.3">
      <c r="A14" s="8" t="s">
        <v>2418</v>
      </c>
      <c r="B14" s="9" t="s">
        <v>2419</v>
      </c>
      <c r="C14" s="7"/>
      <c r="D14" s="8" t="s">
        <v>2420</v>
      </c>
      <c r="E14" s="9" t="s">
        <v>2421</v>
      </c>
      <c r="F14" s="7"/>
      <c r="G14" s="8" t="s">
        <v>2422</v>
      </c>
      <c r="H14" s="9" t="s">
        <v>2423</v>
      </c>
    </row>
    <row r="15" spans="1:8" x14ac:dyDescent="0.3">
      <c r="A15" s="8" t="s">
        <v>2424</v>
      </c>
      <c r="B15" s="9" t="s">
        <v>2425</v>
      </c>
      <c r="C15" s="7"/>
      <c r="D15" s="8" t="s">
        <v>2426</v>
      </c>
      <c r="E15" s="9" t="s">
        <v>2427</v>
      </c>
      <c r="F15" s="7"/>
      <c r="G15" s="8" t="s">
        <v>2428</v>
      </c>
      <c r="H15" s="9" t="s">
        <v>2429</v>
      </c>
    </row>
    <row r="16" spans="1:8" x14ac:dyDescent="0.3">
      <c r="A16" s="8" t="s">
        <v>2430</v>
      </c>
      <c r="B16" s="9" t="s">
        <v>2431</v>
      </c>
      <c r="C16" s="7"/>
      <c r="D16" s="5" t="s">
        <v>515</v>
      </c>
      <c r="E16" s="6" t="s">
        <v>2432</v>
      </c>
      <c r="F16" s="7"/>
      <c r="G16" s="5" t="s">
        <v>2433</v>
      </c>
      <c r="H16" s="6" t="s">
        <v>2434</v>
      </c>
    </row>
    <row r="17" spans="1:8" x14ac:dyDescent="0.3">
      <c r="A17" s="8" t="s">
        <v>2435</v>
      </c>
      <c r="B17" s="9" t="s">
        <v>2436</v>
      </c>
      <c r="C17" s="7"/>
      <c r="D17" s="8" t="s">
        <v>2437</v>
      </c>
      <c r="E17" s="9" t="s">
        <v>2438</v>
      </c>
      <c r="F17" s="7"/>
      <c r="G17" s="8" t="s">
        <v>2439</v>
      </c>
      <c r="H17" s="9" t="s">
        <v>2440</v>
      </c>
    </row>
    <row r="18" spans="1:8" x14ac:dyDescent="0.3">
      <c r="A18" s="8" t="s">
        <v>2441</v>
      </c>
      <c r="B18" s="9" t="s">
        <v>2442</v>
      </c>
      <c r="C18" s="7"/>
      <c r="D18" s="8" t="s">
        <v>2443</v>
      </c>
      <c r="E18" s="9" t="s">
        <v>2444</v>
      </c>
      <c r="F18" s="7"/>
      <c r="G18" s="8" t="s">
        <v>2445</v>
      </c>
      <c r="H18" s="9" t="s">
        <v>2446</v>
      </c>
    </row>
    <row r="19" spans="1:8" x14ac:dyDescent="0.3">
      <c r="A19" s="8" t="s">
        <v>2447</v>
      </c>
      <c r="B19" s="9" t="s">
        <v>2448</v>
      </c>
      <c r="C19" s="7"/>
      <c r="D19" s="8" t="s">
        <v>2449</v>
      </c>
      <c r="E19" s="9" t="s">
        <v>2450</v>
      </c>
      <c r="F19" s="7"/>
      <c r="G19" s="8" t="s">
        <v>2451</v>
      </c>
      <c r="H19" s="9" t="s">
        <v>2452</v>
      </c>
    </row>
    <row r="20" spans="1:8" x14ac:dyDescent="0.3">
      <c r="A20" s="8" t="s">
        <v>2453</v>
      </c>
      <c r="B20" s="9" t="s">
        <v>2454</v>
      </c>
      <c r="C20" s="7"/>
      <c r="D20" s="8" t="s">
        <v>2455</v>
      </c>
      <c r="E20" s="9" t="s">
        <v>2456</v>
      </c>
      <c r="F20" s="7"/>
      <c r="G20" s="8" t="s">
        <v>548</v>
      </c>
      <c r="H20" s="9" t="s">
        <v>2457</v>
      </c>
    </row>
    <row r="21" spans="1:8" x14ac:dyDescent="0.3">
      <c r="A21" s="8" t="s">
        <v>2458</v>
      </c>
      <c r="B21" s="9" t="s">
        <v>2459</v>
      </c>
      <c r="C21" s="7"/>
      <c r="D21" s="8" t="s">
        <v>2460</v>
      </c>
      <c r="E21" s="9" t="s">
        <v>2461</v>
      </c>
      <c r="F21" s="7"/>
      <c r="G21" s="8" t="s">
        <v>2462</v>
      </c>
      <c r="H21" s="9" t="s">
        <v>2463</v>
      </c>
    </row>
    <row r="22" spans="1:8" x14ac:dyDescent="0.3">
      <c r="A22" s="8" t="s">
        <v>2464</v>
      </c>
      <c r="B22" s="9" t="s">
        <v>2465</v>
      </c>
      <c r="C22" s="7"/>
      <c r="D22" s="8" t="s">
        <v>2466</v>
      </c>
      <c r="E22" s="9" t="s">
        <v>2467</v>
      </c>
      <c r="F22" s="7"/>
      <c r="G22" s="8" t="s">
        <v>2468</v>
      </c>
      <c r="H22" s="9" t="s">
        <v>2469</v>
      </c>
    </row>
    <row r="23" spans="1:8" x14ac:dyDescent="0.3">
      <c r="A23" s="8" t="s">
        <v>2470</v>
      </c>
      <c r="B23" s="9" t="s">
        <v>2471</v>
      </c>
      <c r="C23" s="7"/>
      <c r="D23" s="8" t="s">
        <v>2472</v>
      </c>
      <c r="E23" s="9" t="s">
        <v>2473</v>
      </c>
      <c r="F23" s="7"/>
      <c r="G23" s="8" t="s">
        <v>2474</v>
      </c>
      <c r="H23" s="9" t="s">
        <v>2475</v>
      </c>
    </row>
    <row r="24" spans="1:8" x14ac:dyDescent="0.3">
      <c r="A24" s="8" t="s">
        <v>2476</v>
      </c>
      <c r="B24" s="9" t="s">
        <v>2477</v>
      </c>
      <c r="C24" s="7"/>
      <c r="D24" s="8" t="s">
        <v>2478</v>
      </c>
      <c r="E24" s="9" t="s">
        <v>2479</v>
      </c>
      <c r="F24" s="7"/>
      <c r="G24" s="8" t="s">
        <v>2480</v>
      </c>
      <c r="H24" s="9" t="s">
        <v>2481</v>
      </c>
    </row>
    <row r="25" spans="1:8" x14ac:dyDescent="0.3">
      <c r="A25" s="8" t="s">
        <v>2482</v>
      </c>
      <c r="B25" s="9" t="s">
        <v>2483</v>
      </c>
      <c r="C25" s="7"/>
      <c r="D25" s="8" t="s">
        <v>2484</v>
      </c>
      <c r="E25" s="9" t="s">
        <v>2485</v>
      </c>
      <c r="F25" s="7"/>
      <c r="G25" s="8" t="s">
        <v>2486</v>
      </c>
      <c r="H25" s="9" t="s">
        <v>2487</v>
      </c>
    </row>
    <row r="26" spans="1:8" x14ac:dyDescent="0.3">
      <c r="A26" s="8" t="s">
        <v>2488</v>
      </c>
      <c r="B26" s="9" t="s">
        <v>2489</v>
      </c>
      <c r="C26" s="7"/>
      <c r="D26" s="8" t="s">
        <v>2490</v>
      </c>
      <c r="E26" s="9" t="s">
        <v>2491</v>
      </c>
      <c r="F26" s="7"/>
      <c r="G26" s="8" t="s">
        <v>2492</v>
      </c>
      <c r="H26" s="9" t="s">
        <v>2493</v>
      </c>
    </row>
    <row r="27" spans="1:8" x14ac:dyDescent="0.3">
      <c r="A27" s="8" t="s">
        <v>2494</v>
      </c>
      <c r="B27" s="9" t="s">
        <v>2495</v>
      </c>
      <c r="C27" s="7"/>
      <c r="D27" s="8" t="s">
        <v>421</v>
      </c>
      <c r="E27" s="9" t="s">
        <v>2496</v>
      </c>
      <c r="F27" s="7"/>
      <c r="G27" s="8" t="s">
        <v>2497</v>
      </c>
      <c r="H27" s="9" t="s">
        <v>2498</v>
      </c>
    </row>
    <row r="28" spans="1:8" x14ac:dyDescent="0.3">
      <c r="A28" s="8" t="s">
        <v>2499</v>
      </c>
      <c r="B28" s="9" t="s">
        <v>2500</v>
      </c>
      <c r="C28" s="7"/>
      <c r="D28" s="8" t="s">
        <v>2501</v>
      </c>
      <c r="E28" s="9" t="s">
        <v>2502</v>
      </c>
      <c r="F28" s="7"/>
      <c r="G28" s="8" t="s">
        <v>2503</v>
      </c>
      <c r="H28" s="9" t="s">
        <v>2504</v>
      </c>
    </row>
    <row r="29" spans="1:8" x14ac:dyDescent="0.3">
      <c r="A29" s="8" t="s">
        <v>2505</v>
      </c>
      <c r="B29" s="9" t="s">
        <v>2506</v>
      </c>
      <c r="C29" s="7"/>
      <c r="D29" s="5" t="s">
        <v>2507</v>
      </c>
      <c r="E29" s="6" t="s">
        <v>2508</v>
      </c>
      <c r="F29" s="7"/>
      <c r="G29" s="8" t="s">
        <v>2509</v>
      </c>
      <c r="H29" s="9" t="s">
        <v>2510</v>
      </c>
    </row>
    <row r="30" spans="1:8" x14ac:dyDescent="0.3">
      <c r="A30" s="8" t="s">
        <v>2511</v>
      </c>
      <c r="B30" s="9" t="s">
        <v>2512</v>
      </c>
      <c r="C30" s="7"/>
      <c r="D30" s="8" t="s">
        <v>2513</v>
      </c>
      <c r="E30" s="9" t="s">
        <v>2514</v>
      </c>
      <c r="F30" s="7"/>
      <c r="G30" s="8" t="s">
        <v>410</v>
      </c>
      <c r="H30" s="9" t="s">
        <v>2515</v>
      </c>
    </row>
    <row r="31" spans="1:8" x14ac:dyDescent="0.3">
      <c r="A31" s="8" t="s">
        <v>499</v>
      </c>
      <c r="B31" s="9" t="s">
        <v>2516</v>
      </c>
      <c r="C31" s="7"/>
      <c r="D31" s="5" t="s">
        <v>2517</v>
      </c>
      <c r="E31" s="6" t="s">
        <v>2518</v>
      </c>
      <c r="F31" s="7"/>
      <c r="G31" s="5" t="s">
        <v>2519</v>
      </c>
      <c r="H31" s="6" t="s">
        <v>2520</v>
      </c>
    </row>
    <row r="32" spans="1:8" x14ac:dyDescent="0.3">
      <c r="A32" s="8" t="s">
        <v>2521</v>
      </c>
      <c r="B32" s="9" t="s">
        <v>2522</v>
      </c>
      <c r="C32" s="7"/>
      <c r="D32" s="5" t="s">
        <v>2523</v>
      </c>
      <c r="E32" s="6" t="s">
        <v>2524</v>
      </c>
      <c r="F32" s="7"/>
      <c r="G32" s="8" t="s">
        <v>2525</v>
      </c>
      <c r="H32" s="9" t="s">
        <v>2526</v>
      </c>
    </row>
    <row r="33" spans="1:8" x14ac:dyDescent="0.3">
      <c r="A33" s="5" t="s">
        <v>2527</v>
      </c>
      <c r="B33" s="6" t="s">
        <v>2528</v>
      </c>
      <c r="C33" s="7"/>
      <c r="D33" s="5" t="s">
        <v>2529</v>
      </c>
      <c r="E33" s="6" t="s">
        <v>2530</v>
      </c>
      <c r="F33" s="7"/>
      <c r="G33" s="8" t="s">
        <v>2531</v>
      </c>
      <c r="H33" s="9" t="s">
        <v>2532</v>
      </c>
    </row>
    <row r="34" spans="1:8" x14ac:dyDescent="0.3">
      <c r="A34" s="8" t="s">
        <v>2533</v>
      </c>
      <c r="B34" s="9" t="s">
        <v>2534</v>
      </c>
      <c r="C34" s="7"/>
      <c r="D34" s="5" t="s">
        <v>2535</v>
      </c>
      <c r="E34" s="6" t="s">
        <v>2536</v>
      </c>
      <c r="F34" s="7"/>
      <c r="G34" s="8" t="s">
        <v>2537</v>
      </c>
      <c r="H34" s="9" t="s">
        <v>2538</v>
      </c>
    </row>
    <row r="35" spans="1:8" x14ac:dyDescent="0.3">
      <c r="A35" s="8" t="s">
        <v>2539</v>
      </c>
      <c r="B35" s="9" t="s">
        <v>2540</v>
      </c>
      <c r="C35" s="7"/>
      <c r="D35" s="8" t="s">
        <v>2541</v>
      </c>
      <c r="E35" s="9" t="s">
        <v>2542</v>
      </c>
      <c r="F35" s="7"/>
      <c r="G35" s="5" t="s">
        <v>2543</v>
      </c>
      <c r="H35" s="6" t="s">
        <v>2544</v>
      </c>
    </row>
    <row r="36" spans="1:8" x14ac:dyDescent="0.3">
      <c r="A36" s="8" t="s">
        <v>2545</v>
      </c>
      <c r="B36" s="9" t="s">
        <v>2546</v>
      </c>
      <c r="C36" s="7"/>
      <c r="D36" s="8" t="s">
        <v>2547</v>
      </c>
      <c r="E36" s="9" t="s">
        <v>2548</v>
      </c>
      <c r="F36" s="7"/>
      <c r="G36" s="8" t="s">
        <v>2549</v>
      </c>
      <c r="H36" s="9" t="s">
        <v>2550</v>
      </c>
    </row>
    <row r="37" spans="1:8" x14ac:dyDescent="0.3">
      <c r="A37" s="8" t="s">
        <v>2551</v>
      </c>
      <c r="B37" s="9" t="s">
        <v>2552</v>
      </c>
      <c r="C37" s="7"/>
      <c r="D37" s="8" t="s">
        <v>2553</v>
      </c>
      <c r="E37" s="9" t="s">
        <v>2554</v>
      </c>
      <c r="F37" s="7"/>
      <c r="G37" s="8" t="s">
        <v>2555</v>
      </c>
      <c r="H37" s="9" t="s">
        <v>2556</v>
      </c>
    </row>
    <row r="38" spans="1:8" x14ac:dyDescent="0.3">
      <c r="A38" s="8" t="s">
        <v>2557</v>
      </c>
      <c r="B38" s="9" t="s">
        <v>2558</v>
      </c>
      <c r="C38" s="7"/>
      <c r="D38" s="8" t="s">
        <v>2559</v>
      </c>
      <c r="E38" s="9" t="s">
        <v>2560</v>
      </c>
      <c r="F38" s="7"/>
      <c r="G38" s="8" t="s">
        <v>2561</v>
      </c>
      <c r="H38" s="9" t="s">
        <v>2562</v>
      </c>
    </row>
    <row r="39" spans="1:8" x14ac:dyDescent="0.3">
      <c r="A39" s="5" t="s">
        <v>2563</v>
      </c>
      <c r="B39" s="6" t="s">
        <v>2564</v>
      </c>
      <c r="C39" s="7"/>
      <c r="D39" s="8" t="s">
        <v>2565</v>
      </c>
      <c r="E39" s="9" t="s">
        <v>2566</v>
      </c>
      <c r="F39" s="7"/>
      <c r="G39" s="8" t="s">
        <v>2567</v>
      </c>
      <c r="H39" s="9" t="s">
        <v>2568</v>
      </c>
    </row>
    <row r="40" spans="1:8" x14ac:dyDescent="0.3">
      <c r="A40" s="8" t="s">
        <v>2569</v>
      </c>
      <c r="B40" s="9" t="s">
        <v>2570</v>
      </c>
      <c r="C40" s="7"/>
      <c r="D40" s="8" t="s">
        <v>2571</v>
      </c>
      <c r="E40" s="9" t="s">
        <v>2572</v>
      </c>
      <c r="F40" s="7"/>
      <c r="G40" s="8" t="s">
        <v>2573</v>
      </c>
      <c r="H40" s="9" t="s">
        <v>2574</v>
      </c>
    </row>
    <row r="41" spans="1:8" x14ac:dyDescent="0.3">
      <c r="A41" s="8" t="s">
        <v>2575</v>
      </c>
      <c r="B41" s="9" t="s">
        <v>2576</v>
      </c>
      <c r="C41" s="7"/>
      <c r="D41" s="8" t="s">
        <v>2577</v>
      </c>
      <c r="E41" s="9" t="s">
        <v>2578</v>
      </c>
      <c r="F41" s="7"/>
      <c r="G41" s="5" t="s">
        <v>2579</v>
      </c>
      <c r="H41" s="6" t="s">
        <v>2580</v>
      </c>
    </row>
    <row r="42" spans="1:8" x14ac:dyDescent="0.3">
      <c r="A42" s="8" t="s">
        <v>2581</v>
      </c>
      <c r="B42" s="9" t="s">
        <v>2582</v>
      </c>
      <c r="C42" s="7"/>
      <c r="D42" s="5" t="s">
        <v>34</v>
      </c>
      <c r="E42" s="6" t="s">
        <v>2583</v>
      </c>
      <c r="F42" s="7"/>
      <c r="G42" s="8" t="s">
        <v>2584</v>
      </c>
      <c r="H42" s="9" t="s">
        <v>2585</v>
      </c>
    </row>
    <row r="43" spans="1:8" x14ac:dyDescent="0.3">
      <c r="A43" s="8" t="s">
        <v>428</v>
      </c>
      <c r="B43" s="9" t="s">
        <v>2586</v>
      </c>
      <c r="C43" s="7"/>
      <c r="D43" s="8" t="s">
        <v>2587</v>
      </c>
      <c r="E43" s="9" t="s">
        <v>2588</v>
      </c>
      <c r="F43" s="7"/>
      <c r="G43" s="8" t="s">
        <v>2589</v>
      </c>
      <c r="H43" s="9" t="s">
        <v>2590</v>
      </c>
    </row>
    <row r="44" spans="1:8" x14ac:dyDescent="0.3">
      <c r="A44" s="5" t="s">
        <v>2591</v>
      </c>
      <c r="B44" s="6" t="s">
        <v>2592</v>
      </c>
      <c r="C44" s="7"/>
      <c r="D44" s="8" t="s">
        <v>2593</v>
      </c>
      <c r="E44" s="9" t="s">
        <v>2594</v>
      </c>
      <c r="F44" s="7"/>
      <c r="G44" s="5" t="s">
        <v>2595</v>
      </c>
      <c r="H44" s="6" t="s">
        <v>2596</v>
      </c>
    </row>
    <row r="45" spans="1:8" x14ac:dyDescent="0.3">
      <c r="A45" s="8" t="s">
        <v>2597</v>
      </c>
      <c r="B45" s="9" t="s">
        <v>2598</v>
      </c>
      <c r="C45" s="7"/>
      <c r="D45" s="8" t="s">
        <v>2599</v>
      </c>
      <c r="E45" s="9" t="s">
        <v>2600</v>
      </c>
      <c r="F45" s="7"/>
      <c r="G45" s="8" t="s">
        <v>2601</v>
      </c>
      <c r="H45" s="9" t="s">
        <v>2602</v>
      </c>
    </row>
    <row r="46" spans="1:8" x14ac:dyDescent="0.3">
      <c r="A46" s="8" t="s">
        <v>2603</v>
      </c>
      <c r="B46" s="9" t="s">
        <v>2604</v>
      </c>
      <c r="C46" s="10"/>
      <c r="D46" s="8" t="s">
        <v>2605</v>
      </c>
      <c r="E46" s="9" t="s">
        <v>2606</v>
      </c>
      <c r="F46" s="10"/>
      <c r="G46" s="5" t="s">
        <v>2607</v>
      </c>
      <c r="H46" s="6" t="s">
        <v>2608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B51A64270C8E743B54747B8EFBEB225" ma:contentTypeVersion="10" ma:contentTypeDescription="Create a new document." ma:contentTypeScope="" ma:versionID="2e00e1345bf476ab2478eb5f05f22727">
  <xsd:schema xmlns:xsd="http://www.w3.org/2001/XMLSchema" xmlns:xs="http://www.w3.org/2001/XMLSchema" xmlns:p="http://schemas.microsoft.com/office/2006/metadata/properties" xmlns:ns3="af8c46ef-acd3-4c63-8abe-6187634ff639" targetNamespace="http://schemas.microsoft.com/office/2006/metadata/properties" ma:root="true" ma:fieldsID="8cf62dee54fc85a0720e4a68a2232afb" ns3:_="">
    <xsd:import namespace="af8c46ef-acd3-4c63-8abe-6187634ff639"/>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8c46ef-acd3-4c63-8abe-6187634ff639"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af8c46ef-acd3-4c63-8abe-6187634ff63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4DCD434-4F26-42F9-939D-C53C9AD3E85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f8c46ef-acd3-4c63-8abe-6187634ff6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7C5DF2D-1105-4F05-878F-6AFDBD018CCA}">
  <ds:schemaRefs>
    <ds:schemaRef ds:uri="http://purl.org/dc/elements/1.1/"/>
    <ds:schemaRef ds:uri="http://schemas.microsoft.com/office/infopath/2007/PartnerControls"/>
    <ds:schemaRef ds:uri="http://schemas.microsoft.com/office/2006/metadata/properties"/>
    <ds:schemaRef ds:uri="http://purl.org/dc/terms/"/>
    <ds:schemaRef ds:uri="http://schemas.microsoft.com/office/2006/documentManagement/types"/>
    <ds:schemaRef ds:uri="http://schemas.openxmlformats.org/package/2006/metadata/core-properties"/>
    <ds:schemaRef ds:uri="af8c46ef-acd3-4c63-8abe-6187634ff639"/>
    <ds:schemaRef ds:uri="http://www.w3.org/XML/1998/namespace"/>
    <ds:schemaRef ds:uri="http://purl.org/dc/dcmitype/"/>
  </ds:schemaRefs>
</ds:datastoreItem>
</file>

<file path=customXml/itemProps3.xml><?xml version="1.0" encoding="utf-8"?>
<ds:datastoreItem xmlns:ds="http://schemas.openxmlformats.org/officeDocument/2006/customXml" ds:itemID="{CCA696D1-1DEC-4EBB-B7AF-B51EC11C70A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Summary- All Periods</vt:lpstr>
      <vt:lpstr>Base Recurring</vt:lpstr>
      <vt:lpstr>Base Non-Recurring</vt:lpstr>
      <vt:lpstr>Option 1 Recurring </vt:lpstr>
      <vt:lpstr>Option1 Non-Recurring </vt:lpstr>
      <vt:lpstr>Option 2 Recurring</vt:lpstr>
      <vt:lpstr>Option 2 Non-Recurring</vt:lpstr>
      <vt:lpstr>Option 3 Recurring</vt:lpstr>
      <vt:lpstr>Option 3 Non-Recurring</vt:lpstr>
      <vt:lpstr>Option 4 Recurring</vt:lpstr>
      <vt:lpstr>Option 4 Non-Recurring</vt:lpstr>
      <vt:lpstr> 6 Month Option Recurring </vt:lpstr>
      <vt:lpstr>6 Month Option Non-Recurring</vt:lpstr>
      <vt:lpstr>NAVFAC UOMs</vt:lpstr>
    </vt:vector>
  </TitlesOfParts>
  <Manager/>
  <Company>HPES NMCI NGEN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Coffman, Kenneth D CIV NAVFAC Washington</dc:creator>
  <cp:keywords/>
  <dc:description/>
  <cp:lastModifiedBy>Cuadros, Julian R CIV (USA)</cp:lastModifiedBy>
  <cp:revision/>
  <dcterms:created xsi:type="dcterms:W3CDTF">2024-04-16T12:52:08Z</dcterms:created>
  <dcterms:modified xsi:type="dcterms:W3CDTF">2026-03-05T16:14:54Z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0x0101006B51A64270C8E743B54747B8EFBEB225</vt:lpwstr>
  </property>
  <property fmtid="{D5CDD505-2E9C-101B-9397-08002B2CF9AE}" pid="3" name="Order">
    <vt:r8>144100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ies>
</file>