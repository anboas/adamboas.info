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B\ZBB\ZBB_Ext_Archive\ZBB Restricted\Wahle\CL25343004\Stack 1\"/>
    </mc:Choice>
  </mc:AlternateContent>
  <xr:revisionPtr revIDLastSave="0" documentId="13_ncr:1_{970EF2B6-7E68-40D9-B949-11FB8C54C864}" xr6:coauthVersionLast="47" xr6:coauthVersionMax="47" xr10:uidLastSave="{00000000-0000-0000-0000-000000000000}"/>
  <bookViews>
    <workbookView xWindow="4455" yWindow="2445" windowWidth="21600" windowHeight="11145" xr2:uid="{00000000-000D-0000-FFFF-FFFF00000000}"/>
  </bookViews>
  <sheets>
    <sheet name="NSN INFO" sheetId="1" r:id="rId1"/>
  </sheets>
  <definedNames>
    <definedName name="_xlnm._FilterDatabase" localSheetId="0" hidden="1">'NSN INFO'!$B$1:$B$5</definedName>
    <definedName name="_xlnm.Print_Titles" localSheetId="0">'NSN INFO'!$1:$1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R2" i="1" s="1"/>
</calcChain>
</file>

<file path=xl/sharedStrings.xml><?xml version="1.0" encoding="utf-8"?>
<sst xmlns="http://schemas.openxmlformats.org/spreadsheetml/2006/main" count="30" uniqueCount="30">
  <si>
    <t>CLIN</t>
  </si>
  <si>
    <t>NSN</t>
  </si>
  <si>
    <t>ITEM NAME</t>
  </si>
  <si>
    <t>Commercial Off the Shelf Field (COTS)  Y or N?</t>
  </si>
  <si>
    <t>Unit of Issue</t>
  </si>
  <si>
    <t>Estimated Annual Demand Quantity</t>
  </si>
  <si>
    <t>AMC/ AMSC</t>
  </si>
  <si>
    <t>PIC</t>
  </si>
  <si>
    <t>QCC</t>
  </si>
  <si>
    <t>NAIC</t>
  </si>
  <si>
    <t>DPAS  Priority Rating</t>
  </si>
  <si>
    <t>PLT</t>
  </si>
  <si>
    <t>Federal Supply Class</t>
  </si>
  <si>
    <t>Highest Weapon System</t>
  </si>
  <si>
    <t>0001</t>
  </si>
  <si>
    <t>EA</t>
  </si>
  <si>
    <t>3D</t>
  </si>
  <si>
    <t>2</t>
  </si>
  <si>
    <t>DOC9</t>
  </si>
  <si>
    <t>DAA</t>
  </si>
  <si>
    <t xml:space="preserve">Size Standard </t>
  </si>
  <si>
    <t>Required delivery based on PLT</t>
  </si>
  <si>
    <t>Rounded to nearest 10</t>
  </si>
  <si>
    <t>Surge</t>
  </si>
  <si>
    <t>Yes</t>
  </si>
  <si>
    <t>No</t>
  </si>
  <si>
    <t>TIP,BREECH BOLT</t>
  </si>
  <si>
    <t>1005123768593</t>
  </si>
  <si>
    <t>80M - RIFLE, 5.56 MILLIMET</t>
  </si>
  <si>
    <t>Guns, through 30mm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</si>
</sst>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4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3" fillId="3" borderId="1" xfId="1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4">
    <cellStyle name="Normal" xfId="0" builtinId="0"/>
    <cellStyle name="Normal 4" xfId="3" xr:uid="{00000000-0005-0000-0000-000001000000}"/>
    <cellStyle name="Normal_E-Proc NSNs" xfId="2" xr:uid="{00000000-0005-0000-0000-000002000000}"/>
    <cellStyle name="Normal_LTC Management Data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showWhiteSpace="0" zoomScaleNormal="100" workbookViewId="0">
      <selection activeCell="I6" sqref="I6"/>
    </sheetView>
  </sheetViews>
  <sheetFormatPr defaultRowHeight="20.100000000000001" customHeight="1" x14ac:dyDescent="0.25"/>
  <cols>
    <col min="1" max="1" width="4.7109375" style="6" customWidth="1"/>
    <col min="2" max="2" width="15.7109375" style="10" customWidth="1"/>
    <col min="3" max="3" width="22.85546875" style="11" customWidth="1"/>
    <col min="4" max="4" width="11.28515625" style="11" customWidth="1"/>
    <col min="5" max="5" width="6" style="3" customWidth="1"/>
    <col min="6" max="6" width="8.7109375" style="3" customWidth="1"/>
    <col min="7" max="7" width="6" style="3" customWidth="1"/>
    <col min="8" max="8" width="4.28515625" style="3" customWidth="1"/>
    <col min="9" max="9" width="5.85546875" style="3" customWidth="1"/>
    <col min="10" max="10" width="7.5703125" style="3" customWidth="1"/>
    <col min="11" max="11" width="9.85546875" style="12" customWidth="1"/>
    <col min="12" max="12" width="7.140625" style="3" customWidth="1"/>
    <col min="13" max="13" width="4.7109375" style="3" customWidth="1"/>
    <col min="14" max="14" width="26.140625" style="3" customWidth="1"/>
    <col min="15" max="15" width="25.5703125" style="4" customWidth="1"/>
    <col min="16" max="16" width="23.28515625" style="18" customWidth="1"/>
    <col min="17" max="17" width="10.28515625" style="3" customWidth="1"/>
    <col min="18" max="18" width="10.7109375" style="3" customWidth="1"/>
    <col min="19" max="16384" width="9.140625" style="3"/>
  </cols>
  <sheetData>
    <row r="1" spans="1:18" ht="47.25" customHeight="1" x14ac:dyDescent="0.25">
      <c r="A1" s="14" t="s">
        <v>0</v>
      </c>
      <c r="B1" s="19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6" t="s">
        <v>9</v>
      </c>
      <c r="K1" s="16" t="s">
        <v>20</v>
      </c>
      <c r="L1" s="15" t="s">
        <v>10</v>
      </c>
      <c r="M1" s="15" t="s">
        <v>11</v>
      </c>
      <c r="N1" s="15" t="s">
        <v>23</v>
      </c>
      <c r="O1" s="15" t="s">
        <v>12</v>
      </c>
      <c r="P1" s="15" t="s">
        <v>13</v>
      </c>
      <c r="Q1" s="15" t="s">
        <v>21</v>
      </c>
      <c r="R1" s="15" t="s">
        <v>22</v>
      </c>
    </row>
    <row r="2" spans="1:18" ht="35.25" customHeight="1" x14ac:dyDescent="0.25">
      <c r="A2" s="2" t="s">
        <v>14</v>
      </c>
      <c r="B2" s="20" t="s">
        <v>27</v>
      </c>
      <c r="C2" s="5" t="s">
        <v>26</v>
      </c>
      <c r="D2" s="27" t="s">
        <v>25</v>
      </c>
      <c r="E2" s="1" t="s">
        <v>15</v>
      </c>
      <c r="F2" s="1">
        <v>522</v>
      </c>
      <c r="G2" s="1" t="s">
        <v>16</v>
      </c>
      <c r="H2" s="1" t="s">
        <v>17</v>
      </c>
      <c r="I2" s="1" t="s">
        <v>19</v>
      </c>
      <c r="J2" s="25">
        <v>332994</v>
      </c>
      <c r="K2" s="26">
        <v>1000</v>
      </c>
      <c r="L2" s="1" t="s">
        <v>18</v>
      </c>
      <c r="M2" s="1">
        <v>485</v>
      </c>
      <c r="N2" s="1" t="s">
        <v>24</v>
      </c>
      <c r="O2" s="28" t="s">
        <v>29</v>
      </c>
      <c r="P2" s="1" t="s">
        <v>28</v>
      </c>
      <c r="Q2" s="1">
        <f t="shared" ref="Q2" si="0">ROUNDUP((M2*0.85),0)</f>
        <v>413</v>
      </c>
      <c r="R2" s="1">
        <f t="shared" ref="R2" si="1">CEILING(Q2, 10)</f>
        <v>420</v>
      </c>
    </row>
    <row r="3" spans="1:18" ht="20.100000000000001" customHeight="1" x14ac:dyDescent="0.25">
      <c r="B3" s="7"/>
      <c r="C3" s="8"/>
      <c r="D3" s="23"/>
      <c r="E3" s="23"/>
      <c r="F3" s="6"/>
      <c r="G3" s="6"/>
      <c r="H3" s="6"/>
      <c r="I3" s="6"/>
      <c r="J3" s="6"/>
      <c r="K3" s="9"/>
      <c r="L3" s="6"/>
      <c r="M3" s="6"/>
      <c r="N3" s="6"/>
      <c r="O3" s="13"/>
      <c r="P3" s="17"/>
    </row>
    <row r="4" spans="1:18" ht="20.100000000000001" customHeight="1" x14ac:dyDescent="0.25">
      <c r="B4" s="7"/>
      <c r="C4" s="8"/>
      <c r="D4" s="8"/>
      <c r="E4" s="6"/>
      <c r="F4" s="6"/>
      <c r="G4" s="6"/>
      <c r="H4" s="6"/>
      <c r="I4" s="6"/>
      <c r="J4" s="6"/>
      <c r="K4" s="9"/>
      <c r="L4" s="6"/>
      <c r="M4" s="6"/>
      <c r="N4" s="6"/>
      <c r="O4" s="13"/>
      <c r="P4" s="24"/>
    </row>
    <row r="5" spans="1:18" ht="20.100000000000001" customHeight="1" x14ac:dyDescent="0.25">
      <c r="B5" s="21"/>
      <c r="C5" s="21"/>
      <c r="D5" s="21"/>
      <c r="E5" s="22"/>
      <c r="F5" s="22"/>
      <c r="G5" s="22"/>
      <c r="H5" s="6"/>
      <c r="I5" s="6"/>
      <c r="J5" s="6"/>
      <c r="K5" s="9"/>
      <c r="L5" s="6"/>
      <c r="M5" s="6"/>
      <c r="N5" s="6"/>
      <c r="O5" s="13"/>
      <c r="P5" s="24"/>
    </row>
  </sheetData>
  <autoFilter ref="B1:B5" xr:uid="{B165B058-4DD8-4561-8C1F-0D53104BEC11}"/>
  <mergeCells count="1">
    <mergeCell ref="P4:P5"/>
  </mergeCells>
  <phoneticPr fontId="6" type="noConversion"/>
  <pageMargins left="0.7" right="0.7" top="1.15625" bottom="0.75" header="0.3" footer="0.3"/>
  <pageSetup scale="90" fitToWidth="0" fitToHeight="0" orientation="landscape" r:id="rId1"/>
  <headerFooter>
    <oddHeader xml:space="preserve">&amp;CNSN INFORMATION 
SOLICITATION 
</oddHeader>
    <oddFooter>&amp;CFOR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NSN INFO</vt:lpstr>
      <vt:lpstr>'NSN INFO'!Print_Titles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Holmes, Tracy L CIV DLA LAND AND MARITIME (US)</dc:creator>
  <cp:lastModifiedBy>Wahle, Brent A CIV DLA WEAPONS SUPPORT (USA)</cp:lastModifiedBy>
  <dcterms:created xsi:type="dcterms:W3CDTF">2019-04-29T19:37:32Z</dcterms:created>
  <dcterms:modified xsi:type="dcterms:W3CDTF">2026-03-12T15:21:00Z</dcterms:modified>
</cp:coreProperties>
</file>