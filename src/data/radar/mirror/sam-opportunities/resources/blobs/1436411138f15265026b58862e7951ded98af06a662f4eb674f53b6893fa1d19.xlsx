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ckery.bowman\Documents\FY 26\Living Barge\2.00 Solicitation\"/>
    </mc:Choice>
  </mc:AlternateContent>
  <xr:revisionPtr revIDLastSave="0" documentId="13_ncr:1_{DA9A4983-42ED-4AA0-94C3-511054B88D06}" xr6:coauthVersionLast="47" xr6:coauthVersionMax="47" xr10:uidLastSave="{00000000-0000-0000-0000-000000000000}"/>
  <bookViews>
    <workbookView xWindow="-120" yWindow="90" windowWidth="29040" windowHeight="15510" activeTab="1" xr2:uid="{00000000-000D-0000-FFFF-FFFF00000000}"/>
  </bookViews>
  <sheets>
    <sheet name="Summary" sheetId="12" r:id="rId1"/>
    <sheet name="Materials" sheetId="20" r:id="rId2"/>
    <sheet name="Base Year" sheetId="14" r:id="rId3"/>
    <sheet name="Option Year 1" sheetId="15" r:id="rId4"/>
    <sheet name="Option Year 2" sheetId="16" r:id="rId5"/>
    <sheet name="Option Year 3" sheetId="17" r:id="rId6"/>
    <sheet name="Option Year 4" sheetId="18" r:id="rId7"/>
    <sheet name="FAR 52.217-8" sheetId="1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2" l="1"/>
  <c r="B35" i="12"/>
  <c r="B28" i="12"/>
  <c r="B21" i="12"/>
  <c r="B14" i="12"/>
  <c r="B7" i="12"/>
</calcChain>
</file>

<file path=xl/sharedStrings.xml><?xml version="1.0" encoding="utf-8"?>
<sst xmlns="http://schemas.openxmlformats.org/spreadsheetml/2006/main" count="456" uniqueCount="140">
  <si>
    <t>CLIN</t>
  </si>
  <si>
    <t>Total CLIN Value</t>
  </si>
  <si>
    <t xml:space="preserve">Labor Category </t>
  </si>
  <si>
    <t>.</t>
  </si>
  <si>
    <t xml:space="preserve">CLIN 0004 Travel </t>
  </si>
  <si>
    <t>CLIN 0003 ODCs</t>
  </si>
  <si>
    <t xml:space="preserve">CLIN 0001 Labor </t>
  </si>
  <si>
    <t xml:space="preserve">CLIN 1004 Travel </t>
  </si>
  <si>
    <t>CLIN 1003 ODCs</t>
  </si>
  <si>
    <t xml:space="preserve">Total Hours </t>
  </si>
  <si>
    <t>FTE</t>
  </si>
  <si>
    <t>Fringe %</t>
  </si>
  <si>
    <t>Fringe $</t>
  </si>
  <si>
    <t>Overhead %</t>
  </si>
  <si>
    <t>Overhead $</t>
  </si>
  <si>
    <t>Direct Labor Rate</t>
  </si>
  <si>
    <t>DL + Fringe</t>
  </si>
  <si>
    <t>G&amp;A %</t>
  </si>
  <si>
    <t>G&amp;A $</t>
  </si>
  <si>
    <t>Subtotal</t>
  </si>
  <si>
    <t>Fee %</t>
  </si>
  <si>
    <t>Fee $</t>
  </si>
  <si>
    <t>Fully Burdened Labor Rate</t>
  </si>
  <si>
    <t>Total Labor Cost (FBLR x Hours)</t>
  </si>
  <si>
    <t xml:space="preserve">CLIN 1001 Labor </t>
  </si>
  <si>
    <t xml:space="preserve">CLIN 0002 Materials </t>
  </si>
  <si>
    <t xml:space="preserve">CLIN 1002 Materials </t>
  </si>
  <si>
    <t>Estimated Level of Effort: 01 August 2026 - 31 July 2027</t>
  </si>
  <si>
    <t>FAR 52.217-8 Period of Performance : 01 August 2031 - 31 January 2032</t>
  </si>
  <si>
    <t>Base Year Period Period of Performance: 01 August 2026 - 31 July 2027</t>
  </si>
  <si>
    <t>Option Year 1 Period of Performance : 01 August 2027 - 31 July 2028</t>
  </si>
  <si>
    <t>Option Year 2 Period of Performance : 01 August 2028 - 31 July 2029</t>
  </si>
  <si>
    <t>Option Year 3 Period of Performance : 01 August 2029 - 31July 2030</t>
  </si>
  <si>
    <t>Option Year 4 Period of Performance : 01 August 2030 - 31 July  2031</t>
  </si>
  <si>
    <t>1st FORE PERSON/SUPERVISOR</t>
  </si>
  <si>
    <t>1ST LEAD PERSON/ ASSISTANT SUPERVISOR</t>
  </si>
  <si>
    <t>ADMINISTRATIVE ASSISTANT</t>
  </si>
  <si>
    <t>SUPPLY TECHNICIAN</t>
  </si>
  <si>
    <t>SYSTEM SUPPORT SPECIALIST</t>
  </si>
  <si>
    <t>WAREHOUSE SPECIALIST</t>
  </si>
  <si>
    <t>ELECTRICIAN, MAINTENANCE</t>
  </si>
  <si>
    <t>ENGINEERING TECHNICIAN VI</t>
  </si>
  <si>
    <t>HEATING, REFRIGERATION, AND AIR CONDITIONING MECHANIC</t>
  </si>
  <si>
    <t>PAINTER, MAINTENANCE</t>
  </si>
  <si>
    <t>PIPEFITTER, MAINTENANCE</t>
  </si>
  <si>
    <t>PLUMBER, MAINTENANCE</t>
  </si>
  <si>
    <t>SHEET-METAL WORKER, MAINTENANCE</t>
  </si>
  <si>
    <t>TELECOMMUNICATIONS MECHANIC II</t>
  </si>
  <si>
    <t>WELDER, COMBINATION, MAINTENANCE</t>
  </si>
  <si>
    <t xml:space="preserve">CLIN 2001 Labor </t>
  </si>
  <si>
    <t xml:space="preserve">CLIN 2002 Materials </t>
  </si>
  <si>
    <t>CLIN 2003 ODCs</t>
  </si>
  <si>
    <t xml:space="preserve">CLIN 2004 Travel </t>
  </si>
  <si>
    <t xml:space="preserve">CLIN 3001 Labor </t>
  </si>
  <si>
    <t xml:space="preserve">CLIN 3002 Materials </t>
  </si>
  <si>
    <t>CLIN 3003 ODCs</t>
  </si>
  <si>
    <t xml:space="preserve">CLIN 3004 Travel </t>
  </si>
  <si>
    <t xml:space="preserve">CLIN 4001 Labor </t>
  </si>
  <si>
    <t xml:space="preserve">CLIN 4002 Materials </t>
  </si>
  <si>
    <t>CLIN 4003 ODCs</t>
  </si>
  <si>
    <t xml:space="preserve">CLIN 4004 Travel </t>
  </si>
  <si>
    <t xml:space="preserve">CLIN 5001 Labor </t>
  </si>
  <si>
    <t xml:space="preserve">CLIN 5002 Materials </t>
  </si>
  <si>
    <t>CLIN 5003 ODCs</t>
  </si>
  <si>
    <t xml:space="preserve">CLIN 5004 Travel </t>
  </si>
  <si>
    <t>Base Total</t>
  </si>
  <si>
    <t>Option 1 Total</t>
  </si>
  <si>
    <t>Option 2 Total</t>
  </si>
  <si>
    <t>Option 3 Total</t>
  </si>
  <si>
    <t>Option 4 Total</t>
  </si>
  <si>
    <t>ContractTotal</t>
  </si>
  <si>
    <t>FAR 52.217-8 Total</t>
  </si>
  <si>
    <t>Estimated Level of Effort: 01 August 2027 - 31 July 2028</t>
  </si>
  <si>
    <t>Estimated Level of Effort: 01 August 2028 - 31 July 2029</t>
  </si>
  <si>
    <t>Estimated Level of Effort: 01 August 2029 - 31 July 2030</t>
  </si>
  <si>
    <t>Estimated Level of Effort: 01 August 2030 - 31 July 2031</t>
  </si>
  <si>
    <t>Estimated Level of Effort: 01 August 2031 - 31 January 2032</t>
  </si>
  <si>
    <t>Supplies/Services</t>
  </si>
  <si>
    <t xml:space="preserve"> Est         Qty</t>
  </si>
  <si>
    <t>Unit</t>
  </si>
  <si>
    <t>Unit 
Price</t>
  </si>
  <si>
    <t>Amount</t>
  </si>
  <si>
    <t>A</t>
  </si>
  <si>
    <t>102AE</t>
  </si>
  <si>
    <t>Deliver a Turnkey Hotel and Utility Hookup Solution to include but not limited to sewage, potable water, steam, shore power, telephone, fire main, gangways and cable television connections (Down River)</t>
  </si>
  <si>
    <t>EA</t>
  </si>
  <si>
    <t>102AG</t>
  </si>
  <si>
    <t>Supply 1 inch KEVLAR mooring lines (150 ft. in length). With 6' loop in both ends, with Chafing gear installed.</t>
  </si>
  <si>
    <t>102AH</t>
  </si>
  <si>
    <t>Supply 2 inch KEVLAR mooring lines (200 ft. in length). With 6' loop in both ends, with Chafing gear installed.</t>
  </si>
  <si>
    <t>104AC</t>
  </si>
  <si>
    <t>Deliver a Turnkey CHT System Overhaul, resulting in a system certified as safe for entry and hot work, fully inspected, tested, and upgraded with four (4) new floats. (YR, YRBM, YRBM(L), and all APL's except for APL-61)</t>
  </si>
  <si>
    <t>SY</t>
  </si>
  <si>
    <t>106AA</t>
  </si>
  <si>
    <t>Deliver newly installed and operational Commercial-Grade Garbage Disposal.</t>
  </si>
  <si>
    <t>110AC</t>
  </si>
  <si>
    <t>Procure a Turnkey Replacement for 2-4 inch diameter Copper-Nickel (CU-NI) Valves.</t>
  </si>
  <si>
    <t>LF</t>
  </si>
  <si>
    <t>113AC</t>
  </si>
  <si>
    <t>Deliver a newly preserved interior deck surface (90% Interior Compartments, 10% Wet Spaces)</t>
  </si>
  <si>
    <t>SF</t>
  </si>
  <si>
    <t>115AA</t>
  </si>
  <si>
    <t>Material (in support of ELIN 115) to Deliver repairs identified during testing, as well as itmes identified on the trouble call log</t>
  </si>
  <si>
    <t>US Dollars</t>
  </si>
  <si>
    <t>103AB</t>
  </si>
  <si>
    <t xml:space="preserve">Deliver clean and sanitize the entire Craft (YRBM Class) </t>
  </si>
  <si>
    <t>103AC</t>
  </si>
  <si>
    <t xml:space="preserve">Deliver clean and sanitize the entire Craft (YRBM(L) Class) </t>
  </si>
  <si>
    <t>103AD</t>
  </si>
  <si>
    <t xml:space="preserve">Deliver clean and sanitize the entire Craft (YRBM(57) Class) </t>
  </si>
  <si>
    <t>103AG</t>
  </si>
  <si>
    <t xml:space="preserve">Deliver clean and sanitize the entire Craft (APL-66, 67, 71, 73 Class) </t>
  </si>
  <si>
    <t>103AH</t>
  </si>
  <si>
    <t xml:space="preserve">Deliver cllean using Crygenic (Dry Ice) entire Galley Exhaust Ventilation (YR Class) </t>
  </si>
  <si>
    <t>103AI</t>
  </si>
  <si>
    <t xml:space="preserve">Deliver cllean using Crygenic (Dry Ice) entire Galley Exhaust Ventilation (APL Class) except APL-66, 67, 71, 73 Class </t>
  </si>
  <si>
    <t>105AC</t>
  </si>
  <si>
    <t>Procure new dry chemical fire extinguishers, 20 lbs.</t>
  </si>
  <si>
    <t>105AD</t>
  </si>
  <si>
    <t>Deliver Annual Inspection and Certification of Gaylord Hood system</t>
  </si>
  <si>
    <t>105AF</t>
  </si>
  <si>
    <t>Deliver Annual Inspection and Certification of Fire and Flooding Alarm Panel and System, including all attached equipment for legacy IC/SM Systems.</t>
  </si>
  <si>
    <t>105AG</t>
  </si>
  <si>
    <t>Deliver Annual Inspection and Certification of Fire and Flooding Alarm Panel and System, including all attached equipment for Siemens Systems.</t>
  </si>
  <si>
    <t>105AH</t>
  </si>
  <si>
    <t>Deliver Annual Inspection and Certification of Fire and Flooding Alarm Panel and System, including all attached equipment for Notifier Systems.</t>
  </si>
  <si>
    <t>105AK</t>
  </si>
  <si>
    <t>Provide Certificate of Calibration for specified gage</t>
  </si>
  <si>
    <t>111AB</t>
  </si>
  <si>
    <t>Material (in support of ELIN 111) to Deliver repairs to A/C and refrigeration equipment (for bidding purposes only)</t>
  </si>
  <si>
    <t>111AD</t>
  </si>
  <si>
    <t>Deliver newly installed 12 in. x 20 in. Ventilation Duct Assembly</t>
  </si>
  <si>
    <t>111AN</t>
  </si>
  <si>
    <t>Deliver OEM-Certified HVAC Condenser Coils Inspection, Preservation and Cleaning Package - MITSUBISHI YRBM(L)</t>
  </si>
  <si>
    <t>111AO</t>
  </si>
  <si>
    <t>Provide Condensing Coil Cleaning, Preservation and Certification Package for Walk-in Reefer/Freezer Units</t>
  </si>
  <si>
    <t>111AP</t>
  </si>
  <si>
    <t>Deliver OEM-Certified HVAC Units and Compressor Cleaning Package ( YR, YRBM, YRBM(L) )</t>
  </si>
  <si>
    <t>112AK</t>
  </si>
  <si>
    <t>Deliver Terrazzo Deck Replacement 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</si>
</sst>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0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b/>
      <sz val="2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rgb="FF23231A"/>
      <name val="Times New Roman"/>
      <family val="1"/>
    </font>
    <font>
      <sz val="10"/>
      <color theme="1"/>
      <name val="Times New Roman"/>
      <family val="1"/>
    </font>
    <font>
      <sz val="12"/>
      <color theme="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2F2F28"/>
      </left>
      <right style="thin">
        <color rgb="FF34341C"/>
      </right>
      <top style="thin">
        <color rgb="FF2F2F2B"/>
      </top>
      <bottom style="thin">
        <color rgb="FF2F2F2B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55">
    <xf numFmtId="0" fontId="0" fillId="0" borderId="0" xfId="0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0" fillId="0" borderId="1" xfId="0" applyBorder="1"/>
    <xf numFmtId="0" fontId="3" fillId="0" borderId="1" xfId="0" applyFont="1" applyBorder="1"/>
    <xf numFmtId="0" fontId="1" fillId="0" borderId="1" xfId="0" applyFont="1" applyBorder="1"/>
    <xf numFmtId="0" fontId="9" fillId="0" borderId="6" xfId="0" applyFont="1" applyBorder="1" applyAlignment="1">
      <alignment vertical="top" wrapText="1"/>
    </xf>
    <xf numFmtId="0" fontId="8" fillId="0" borderId="1" xfId="0" applyFont="1" applyBorder="1" applyAlignment="1">
      <alignment horizontal="center"/>
    </xf>
    <xf numFmtId="9" fontId="1" fillId="0" borderId="1" xfId="2" applyFont="1" applyBorder="1" applyAlignment="1">
      <alignment horizontal="center"/>
    </xf>
    <xf numFmtId="9" fontId="0" fillId="0" borderId="1" xfId="2" applyFont="1" applyBorder="1"/>
    <xf numFmtId="44" fontId="1" fillId="0" borderId="1" xfId="1" applyFont="1" applyBorder="1" applyAlignment="1">
      <alignment horizontal="center"/>
    </xf>
    <xf numFmtId="44" fontId="8" fillId="0" borderId="1" xfId="1" applyFont="1" applyBorder="1" applyAlignment="1">
      <alignment horizontal="center"/>
    </xf>
    <xf numFmtId="44" fontId="0" fillId="0" borderId="1" xfId="1" applyFont="1" applyBorder="1"/>
    <xf numFmtId="0" fontId="10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164" fontId="1" fillId="0" borderId="5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4" borderId="8" xfId="0" applyFill="1" applyBorder="1" applyAlignment="1">
      <alignment horizontal="center"/>
    </xf>
    <xf numFmtId="164" fontId="14" fillId="5" borderId="9" xfId="0" applyNumberFormat="1" applyFont="1" applyFill="1" applyBorder="1" applyAlignment="1">
      <alignment horizontal="right" vertical="top" wrapText="1"/>
    </xf>
    <xf numFmtId="164" fontId="15" fillId="5" borderId="9" xfId="0" applyNumberFormat="1" applyFont="1" applyFill="1" applyBorder="1" applyAlignment="1">
      <alignment horizontal="right" vertical="top" wrapText="1"/>
    </xf>
    <xf numFmtId="8" fontId="15" fillId="5" borderId="1" xfId="0" applyNumberFormat="1" applyFont="1" applyFill="1" applyBorder="1" applyAlignment="1">
      <alignment horizontal="right" vertical="top" wrapText="1"/>
    </xf>
    <xf numFmtId="0" fontId="0" fillId="4" borderId="0" xfId="0" applyFill="1" applyBorder="1"/>
    <xf numFmtId="165" fontId="13" fillId="4" borderId="0" xfId="0" applyNumberFormat="1" applyFont="1" applyFill="1" applyBorder="1" applyAlignment="1">
      <alignment horizontal="left" wrapText="1"/>
    </xf>
    <xf numFmtId="0" fontId="13" fillId="4" borderId="0" xfId="0" applyFont="1" applyFill="1" applyBorder="1" applyAlignment="1">
      <alignment horizontal="left" wrapText="1"/>
    </xf>
    <xf numFmtId="0" fontId="13" fillId="4" borderId="0" xfId="0" applyFont="1" applyFill="1" applyBorder="1" applyAlignment="1">
      <alignment horizontal="center" wrapText="1"/>
    </xf>
    <xf numFmtId="8" fontId="13" fillId="4" borderId="0" xfId="0" applyNumberFormat="1" applyFont="1" applyFill="1" applyBorder="1" applyAlignment="1">
      <alignment horizontal="center" wrapText="1"/>
    </xf>
    <xf numFmtId="0" fontId="12" fillId="5" borderId="0" xfId="0" applyFont="1" applyFill="1" applyBorder="1" applyAlignment="1">
      <alignment vertical="top"/>
    </xf>
    <xf numFmtId="0" fontId="13" fillId="5" borderId="0" xfId="0" applyFont="1" applyFill="1" applyBorder="1" applyAlignment="1">
      <alignment horizontal="left" vertical="top" wrapText="1"/>
    </xf>
    <xf numFmtId="0" fontId="14" fillId="5" borderId="0" xfId="0" applyFont="1" applyFill="1" applyBorder="1" applyAlignment="1">
      <alignment horizontal="left" vertical="top" wrapText="1"/>
    </xf>
    <xf numFmtId="0" fontId="14" fillId="5" borderId="0" xfId="0" applyFont="1" applyFill="1" applyBorder="1" applyAlignment="1">
      <alignment horizontal="center" vertical="top" wrapText="1"/>
    </xf>
    <xf numFmtId="0" fontId="15" fillId="5" borderId="0" xfId="0" applyFont="1" applyFill="1" applyBorder="1" applyAlignment="1">
      <alignment horizontal="center" vertical="top" wrapText="1"/>
    </xf>
    <xf numFmtId="0" fontId="12" fillId="6" borderId="0" xfId="0" applyFont="1" applyFill="1" applyBorder="1"/>
    <xf numFmtId="0" fontId="0" fillId="5" borderId="0" xfId="0" applyFill="1" applyBorder="1" applyAlignment="1">
      <alignment vertical="top"/>
    </xf>
    <xf numFmtId="0" fontId="15" fillId="5" borderId="0" xfId="0" applyFont="1" applyFill="1" applyBorder="1" applyAlignment="1">
      <alignment horizontal="left" vertical="top" wrapText="1"/>
    </xf>
    <xf numFmtId="0" fontId="14" fillId="5" borderId="0" xfId="0" applyFont="1" applyFill="1" applyBorder="1" applyAlignment="1">
      <alignment horizontal="left" wrapText="1"/>
    </xf>
    <xf numFmtId="0" fontId="0" fillId="6" borderId="0" xfId="0" applyFill="1" applyBorder="1"/>
    <xf numFmtId="0" fontId="15" fillId="7" borderId="0" xfId="0" applyFont="1" applyFill="1" applyBorder="1" applyAlignment="1">
      <alignment horizontal="left" vertical="top" wrapText="1"/>
    </xf>
    <xf numFmtId="3" fontId="15" fillId="5" borderId="0" xfId="0" applyNumberFormat="1" applyFont="1" applyFill="1" applyBorder="1" applyAlignment="1">
      <alignment horizontal="center" vertical="top" wrapText="1"/>
    </xf>
    <xf numFmtId="0" fontId="15" fillId="5" borderId="0" xfId="0" applyFont="1" applyFill="1" applyBorder="1" applyAlignment="1">
      <alignment vertical="top"/>
    </xf>
    <xf numFmtId="0" fontId="15" fillId="5" borderId="0" xfId="0" applyFont="1" applyFill="1" applyBorder="1" applyAlignment="1">
      <alignment horizontal="left" vertical="top"/>
    </xf>
    <xf numFmtId="0" fontId="0" fillId="0" borderId="0" xfId="0" applyBorder="1"/>
    <xf numFmtId="0" fontId="15" fillId="5" borderId="0" xfId="0" applyFont="1" applyFill="1" applyBorder="1" applyAlignment="1">
      <alignment horizontal="left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61FB-1883-4C84-B3FB-0133C8ED4DE7}">
  <sheetPr>
    <pageSetUpPr fitToPage="1"/>
  </sheetPr>
  <dimension ref="A1:B43"/>
  <sheetViews>
    <sheetView topLeftCell="A4" zoomScaleNormal="100" workbookViewId="0">
      <selection activeCell="E28" sqref="E28"/>
    </sheetView>
  </sheetViews>
  <sheetFormatPr defaultRowHeight="15" x14ac:dyDescent="0.25"/>
  <cols>
    <col min="1" max="1" width="42.140625" customWidth="1"/>
    <col min="2" max="2" width="37.5703125" customWidth="1"/>
  </cols>
  <sheetData>
    <row r="1" spans="1:2" ht="15.75" x14ac:dyDescent="0.25">
      <c r="A1" s="27" t="s">
        <v>29</v>
      </c>
      <c r="B1" s="27"/>
    </row>
    <row r="2" spans="1:2" ht="15.75" x14ac:dyDescent="0.25">
      <c r="A2" s="3" t="s">
        <v>0</v>
      </c>
      <c r="B2" s="3" t="s">
        <v>1</v>
      </c>
    </row>
    <row r="3" spans="1:2" ht="15.75" x14ac:dyDescent="0.25">
      <c r="A3" s="5" t="s">
        <v>6</v>
      </c>
      <c r="B3" s="20">
        <v>0</v>
      </c>
    </row>
    <row r="4" spans="1:2" ht="15.75" x14ac:dyDescent="0.25">
      <c r="A4" s="5" t="s">
        <v>25</v>
      </c>
      <c r="B4" s="20">
        <v>0</v>
      </c>
    </row>
    <row r="5" spans="1:2" ht="15.75" x14ac:dyDescent="0.25">
      <c r="A5" s="6" t="s">
        <v>5</v>
      </c>
      <c r="B5" s="20">
        <v>0</v>
      </c>
    </row>
    <row r="6" spans="1:2" ht="15.75" x14ac:dyDescent="0.25">
      <c r="A6" s="6" t="s">
        <v>4</v>
      </c>
      <c r="B6" s="20">
        <v>0</v>
      </c>
    </row>
    <row r="7" spans="1:2" ht="15.75" x14ac:dyDescent="0.25">
      <c r="A7" s="21" t="s">
        <v>65</v>
      </c>
      <c r="B7" s="22">
        <f>SUM(B3:B6)</f>
        <v>0</v>
      </c>
    </row>
    <row r="8" spans="1:2" ht="15.75" x14ac:dyDescent="0.25">
      <c r="A8" s="26" t="s">
        <v>30</v>
      </c>
      <c r="B8" s="26"/>
    </row>
    <row r="9" spans="1:2" ht="15.75" x14ac:dyDescent="0.25">
      <c r="A9" s="3" t="s">
        <v>0</v>
      </c>
      <c r="B9" s="3" t="s">
        <v>1</v>
      </c>
    </row>
    <row r="10" spans="1:2" ht="15.75" x14ac:dyDescent="0.25">
      <c r="A10" s="5" t="s">
        <v>24</v>
      </c>
      <c r="B10" s="20">
        <v>0</v>
      </c>
    </row>
    <row r="11" spans="1:2" ht="15.75" x14ac:dyDescent="0.25">
      <c r="A11" s="5" t="s">
        <v>26</v>
      </c>
      <c r="B11" s="20">
        <v>0</v>
      </c>
    </row>
    <row r="12" spans="1:2" ht="15.75" x14ac:dyDescent="0.25">
      <c r="A12" s="6" t="s">
        <v>8</v>
      </c>
      <c r="B12" s="20">
        <v>0</v>
      </c>
    </row>
    <row r="13" spans="1:2" ht="15.75" x14ac:dyDescent="0.25">
      <c r="A13" s="6" t="s">
        <v>7</v>
      </c>
      <c r="B13" s="20">
        <v>0</v>
      </c>
    </row>
    <row r="14" spans="1:2" ht="15.75" x14ac:dyDescent="0.25">
      <c r="A14" s="21" t="s">
        <v>66</v>
      </c>
      <c r="B14" s="22">
        <f>SUM(B10:B13)</f>
        <v>0</v>
      </c>
    </row>
    <row r="15" spans="1:2" ht="15.75" x14ac:dyDescent="0.25">
      <c r="A15" s="26" t="s">
        <v>31</v>
      </c>
      <c r="B15" s="26"/>
    </row>
    <row r="16" spans="1:2" ht="15.75" x14ac:dyDescent="0.25">
      <c r="A16" s="3" t="s">
        <v>0</v>
      </c>
      <c r="B16" s="3" t="s">
        <v>1</v>
      </c>
    </row>
    <row r="17" spans="1:2" ht="15.75" x14ac:dyDescent="0.25">
      <c r="A17" s="5" t="s">
        <v>49</v>
      </c>
      <c r="B17" s="20">
        <v>0</v>
      </c>
    </row>
    <row r="18" spans="1:2" ht="15.75" x14ac:dyDescent="0.25">
      <c r="A18" s="5" t="s">
        <v>50</v>
      </c>
      <c r="B18" s="20">
        <v>0</v>
      </c>
    </row>
    <row r="19" spans="1:2" ht="15.75" x14ac:dyDescent="0.25">
      <c r="A19" s="6" t="s">
        <v>51</v>
      </c>
      <c r="B19" s="20">
        <v>0</v>
      </c>
    </row>
    <row r="20" spans="1:2" ht="15.75" x14ac:dyDescent="0.25">
      <c r="A20" s="6" t="s">
        <v>52</v>
      </c>
      <c r="B20" s="20">
        <v>0</v>
      </c>
    </row>
    <row r="21" spans="1:2" ht="15.75" x14ac:dyDescent="0.25">
      <c r="A21" s="21" t="s">
        <v>67</v>
      </c>
      <c r="B21" s="22">
        <f>SUM(B17:B20)</f>
        <v>0</v>
      </c>
    </row>
    <row r="22" spans="1:2" ht="15.75" x14ac:dyDescent="0.25">
      <c r="A22" s="26" t="s">
        <v>32</v>
      </c>
      <c r="B22" s="26"/>
    </row>
    <row r="23" spans="1:2" ht="15.75" x14ac:dyDescent="0.25">
      <c r="A23" s="3" t="s">
        <v>0</v>
      </c>
      <c r="B23" s="3" t="s">
        <v>1</v>
      </c>
    </row>
    <row r="24" spans="1:2" ht="15.75" x14ac:dyDescent="0.25">
      <c r="A24" s="5" t="s">
        <v>53</v>
      </c>
      <c r="B24" s="20">
        <v>0</v>
      </c>
    </row>
    <row r="25" spans="1:2" ht="15.75" x14ac:dyDescent="0.25">
      <c r="A25" s="5" t="s">
        <v>54</v>
      </c>
      <c r="B25" s="20">
        <v>0</v>
      </c>
    </row>
    <row r="26" spans="1:2" ht="15.75" x14ac:dyDescent="0.25">
      <c r="A26" s="6" t="s">
        <v>55</v>
      </c>
      <c r="B26" s="20">
        <v>0</v>
      </c>
    </row>
    <row r="27" spans="1:2" ht="15.75" x14ac:dyDescent="0.25">
      <c r="A27" s="6" t="s">
        <v>56</v>
      </c>
      <c r="B27" s="20">
        <v>0</v>
      </c>
    </row>
    <row r="28" spans="1:2" ht="15.75" x14ac:dyDescent="0.25">
      <c r="A28" s="21" t="s">
        <v>68</v>
      </c>
      <c r="B28" s="22">
        <f>SUM(B24:B27)</f>
        <v>0</v>
      </c>
    </row>
    <row r="29" spans="1:2" ht="15.75" x14ac:dyDescent="0.25">
      <c r="A29" s="26" t="s">
        <v>33</v>
      </c>
      <c r="B29" s="26"/>
    </row>
    <row r="30" spans="1:2" ht="15.75" x14ac:dyDescent="0.25">
      <c r="A30" s="3" t="s">
        <v>0</v>
      </c>
      <c r="B30" s="3" t="s">
        <v>1</v>
      </c>
    </row>
    <row r="31" spans="1:2" ht="15.75" x14ac:dyDescent="0.25">
      <c r="A31" s="5" t="s">
        <v>57</v>
      </c>
      <c r="B31" s="20">
        <v>0</v>
      </c>
    </row>
    <row r="32" spans="1:2" ht="15.75" x14ac:dyDescent="0.25">
      <c r="A32" s="5" t="s">
        <v>58</v>
      </c>
      <c r="B32" s="20">
        <v>0</v>
      </c>
    </row>
    <row r="33" spans="1:2" ht="15.75" x14ac:dyDescent="0.25">
      <c r="A33" s="6" t="s">
        <v>59</v>
      </c>
      <c r="B33" s="20">
        <v>0</v>
      </c>
    </row>
    <row r="34" spans="1:2" ht="15.75" x14ac:dyDescent="0.25">
      <c r="A34" s="6" t="s">
        <v>60</v>
      </c>
      <c r="B34" s="20">
        <v>0</v>
      </c>
    </row>
    <row r="35" spans="1:2" ht="15.75" x14ac:dyDescent="0.25">
      <c r="A35" s="21" t="s">
        <v>69</v>
      </c>
      <c r="B35" s="22">
        <f>SUM(B31:B34)</f>
        <v>0</v>
      </c>
    </row>
    <row r="36" spans="1:2" ht="15.75" x14ac:dyDescent="0.25">
      <c r="A36" s="26" t="s">
        <v>28</v>
      </c>
      <c r="B36" s="26"/>
    </row>
    <row r="37" spans="1:2" ht="15.75" x14ac:dyDescent="0.25">
      <c r="A37" s="3" t="s">
        <v>0</v>
      </c>
      <c r="B37" s="3" t="s">
        <v>1</v>
      </c>
    </row>
    <row r="38" spans="1:2" ht="15.75" x14ac:dyDescent="0.25">
      <c r="A38" s="5" t="s">
        <v>61</v>
      </c>
      <c r="B38" s="20">
        <v>0</v>
      </c>
    </row>
    <row r="39" spans="1:2" ht="15.75" x14ac:dyDescent="0.25">
      <c r="A39" s="5" t="s">
        <v>62</v>
      </c>
      <c r="B39" s="20">
        <v>0</v>
      </c>
    </row>
    <row r="40" spans="1:2" ht="15.75" x14ac:dyDescent="0.25">
      <c r="A40" s="6" t="s">
        <v>63</v>
      </c>
      <c r="B40" s="20">
        <v>0</v>
      </c>
    </row>
    <row r="41" spans="1:2" ht="15.75" x14ac:dyDescent="0.25">
      <c r="A41" s="6" t="s">
        <v>64</v>
      </c>
      <c r="B41" s="20">
        <v>0</v>
      </c>
    </row>
    <row r="42" spans="1:2" ht="15.75" x14ac:dyDescent="0.25">
      <c r="A42" s="21" t="s">
        <v>71</v>
      </c>
      <c r="B42" s="22">
        <f>SUM(B38:B41)</f>
        <v>0</v>
      </c>
    </row>
    <row r="43" spans="1:2" ht="15.75" x14ac:dyDescent="0.25">
      <c r="A43" s="23" t="s">
        <v>70</v>
      </c>
      <c r="B43" s="24"/>
    </row>
  </sheetData>
  <mergeCells count="6">
    <mergeCell ref="A36:B36"/>
    <mergeCell ref="A1:B1"/>
    <mergeCell ref="A8:B8"/>
    <mergeCell ref="A15:B15"/>
    <mergeCell ref="A22:B22"/>
    <mergeCell ref="A29:B29"/>
  </mergeCells>
  <pageMargins left="0.7" right="0.7" top="0.75" bottom="0.75" header="0.3" footer="0.3"/>
  <pageSetup orientation="landscape" r:id="rId1"/>
  <headerFooter>
    <oddFooter>&amp;C_x000D_&amp;1#&amp;"Calibri"&amp;10&amp;K0000FF Information in this document/e-mail is considered Business Use Only. Please treat accordingly.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C552-E3F8-476F-81EB-0869C4B3B2D3}">
  <dimension ref="A1:J28"/>
  <sheetViews>
    <sheetView tabSelected="1" workbookViewId="0">
      <selection activeCell="H8" sqref="H8"/>
    </sheetView>
  </sheetViews>
  <sheetFormatPr defaultRowHeight="15" x14ac:dyDescent="0.25"/>
  <cols>
    <col min="1" max="2" width="9.140625" style="53"/>
    <col min="3" max="3" width="74" style="53" customWidth="1"/>
    <col min="4" max="5" width="9.140625" style="53"/>
    <col min="6" max="6" width="11.42578125" style="53" customWidth="1"/>
    <col min="7" max="7" width="13.7109375" style="53" customWidth="1"/>
    <col min="8" max="16384" width="9.140625" style="53"/>
  </cols>
  <sheetData>
    <row r="1" spans="1:10" s="34" customFormat="1" ht="27" thickBot="1" x14ac:dyDescent="0.3">
      <c r="B1" s="35"/>
      <c r="C1" s="36" t="s">
        <v>77</v>
      </c>
      <c r="D1" s="37" t="s">
        <v>78</v>
      </c>
      <c r="E1" s="37" t="s">
        <v>79</v>
      </c>
      <c r="F1" s="38" t="s">
        <v>80</v>
      </c>
      <c r="G1" s="38" t="s">
        <v>81</v>
      </c>
      <c r="H1" s="30"/>
      <c r="I1" s="30"/>
      <c r="J1" s="30"/>
    </row>
    <row r="2" spans="1:10" s="44" customFormat="1" ht="39" thickBot="1" x14ac:dyDescent="0.3">
      <c r="A2" s="39" t="s">
        <v>82</v>
      </c>
      <c r="B2" s="40" t="s">
        <v>83</v>
      </c>
      <c r="C2" s="41" t="s">
        <v>84</v>
      </c>
      <c r="D2" s="42">
        <v>50</v>
      </c>
      <c r="E2" s="43" t="s">
        <v>85</v>
      </c>
      <c r="F2" s="31"/>
      <c r="G2" s="33"/>
    </row>
    <row r="3" spans="1:10" s="44" customFormat="1" ht="26.25" thickBot="1" x14ac:dyDescent="0.3">
      <c r="A3" s="39" t="s">
        <v>82</v>
      </c>
      <c r="B3" s="40" t="s">
        <v>86</v>
      </c>
      <c r="C3" s="41" t="s">
        <v>87</v>
      </c>
      <c r="D3" s="42">
        <v>60</v>
      </c>
      <c r="E3" s="43" t="s">
        <v>85</v>
      </c>
      <c r="F3" s="31"/>
      <c r="G3" s="33"/>
    </row>
    <row r="4" spans="1:10" s="44" customFormat="1" ht="26.25" thickBot="1" x14ac:dyDescent="0.3">
      <c r="A4" s="39" t="s">
        <v>82</v>
      </c>
      <c r="B4" s="40" t="s">
        <v>88</v>
      </c>
      <c r="C4" s="41" t="s">
        <v>89</v>
      </c>
      <c r="D4" s="42">
        <v>20</v>
      </c>
      <c r="E4" s="43" t="s">
        <v>85</v>
      </c>
      <c r="F4" s="31"/>
      <c r="G4" s="33"/>
    </row>
    <row r="5" spans="1:10" s="48" customFormat="1" ht="39.75" thickBot="1" x14ac:dyDescent="0.3">
      <c r="A5" s="45" t="s">
        <v>82</v>
      </c>
      <c r="B5" s="46" t="s">
        <v>90</v>
      </c>
      <c r="C5" s="47" t="s">
        <v>91</v>
      </c>
      <c r="D5" s="43">
        <v>10</v>
      </c>
      <c r="E5" s="43" t="s">
        <v>92</v>
      </c>
      <c r="F5" s="32"/>
      <c r="G5" s="33"/>
    </row>
    <row r="6" spans="1:10" s="48" customFormat="1" ht="15.75" thickBot="1" x14ac:dyDescent="0.3">
      <c r="A6" s="45" t="s">
        <v>82</v>
      </c>
      <c r="B6" s="49" t="s">
        <v>93</v>
      </c>
      <c r="C6" s="41" t="s">
        <v>94</v>
      </c>
      <c r="D6" s="43">
        <v>4</v>
      </c>
      <c r="E6" s="43" t="s">
        <v>85</v>
      </c>
      <c r="F6" s="32"/>
      <c r="G6" s="33"/>
    </row>
    <row r="7" spans="1:10" s="48" customFormat="1" ht="15.75" thickBot="1" x14ac:dyDescent="0.3">
      <c r="A7" s="45" t="s">
        <v>82</v>
      </c>
      <c r="B7" s="46" t="s">
        <v>95</v>
      </c>
      <c r="C7" s="46" t="s">
        <v>96</v>
      </c>
      <c r="D7" s="43">
        <v>800</v>
      </c>
      <c r="E7" s="43" t="s">
        <v>97</v>
      </c>
      <c r="F7" s="32"/>
      <c r="G7" s="33"/>
    </row>
    <row r="8" spans="1:10" s="48" customFormat="1" ht="26.25" thickBot="1" x14ac:dyDescent="0.3">
      <c r="A8" s="45" t="s">
        <v>82</v>
      </c>
      <c r="B8" s="46" t="s">
        <v>98</v>
      </c>
      <c r="C8" s="46" t="s">
        <v>99</v>
      </c>
      <c r="D8" s="50">
        <v>100000</v>
      </c>
      <c r="E8" s="43" t="s">
        <v>100</v>
      </c>
      <c r="F8" s="32"/>
      <c r="G8" s="33"/>
    </row>
    <row r="9" spans="1:10" s="48" customFormat="1" ht="26.25" thickBot="1" x14ac:dyDescent="0.3">
      <c r="A9" s="51" t="s">
        <v>82</v>
      </c>
      <c r="B9" s="52" t="s">
        <v>101</v>
      </c>
      <c r="C9" s="46" t="s">
        <v>102</v>
      </c>
      <c r="D9" s="43">
        <v>100000</v>
      </c>
      <c r="E9" s="43" t="s">
        <v>103</v>
      </c>
      <c r="F9" s="32"/>
      <c r="G9" s="33"/>
    </row>
    <row r="10" spans="1:10" ht="22.5" customHeight="1" thickBot="1" x14ac:dyDescent="0.3">
      <c r="A10" s="45" t="s">
        <v>82</v>
      </c>
      <c r="B10" s="46" t="s">
        <v>104</v>
      </c>
      <c r="C10" s="41" t="s">
        <v>105</v>
      </c>
      <c r="D10" s="42">
        <v>10</v>
      </c>
      <c r="E10" s="43" t="s">
        <v>85</v>
      </c>
      <c r="F10" s="31"/>
      <c r="G10" s="33"/>
    </row>
    <row r="11" spans="1:10" ht="15.75" thickBot="1" x14ac:dyDescent="0.3">
      <c r="A11" s="45" t="s">
        <v>82</v>
      </c>
      <c r="B11" s="46" t="s">
        <v>106</v>
      </c>
      <c r="C11" s="47" t="s">
        <v>107</v>
      </c>
      <c r="D11" s="42">
        <v>15</v>
      </c>
      <c r="E11" s="43" t="s">
        <v>85</v>
      </c>
      <c r="F11" s="31"/>
      <c r="G11" s="33"/>
    </row>
    <row r="12" spans="1:10" ht="15.75" thickBot="1" x14ac:dyDescent="0.3">
      <c r="A12" s="45" t="s">
        <v>82</v>
      </c>
      <c r="B12" s="46" t="s">
        <v>108</v>
      </c>
      <c r="C12" s="47" t="s">
        <v>109</v>
      </c>
      <c r="D12" s="42">
        <v>4</v>
      </c>
      <c r="E12" s="43" t="s">
        <v>85</v>
      </c>
      <c r="F12" s="32"/>
      <c r="G12" s="33"/>
    </row>
    <row r="13" spans="1:10" ht="15.75" thickBot="1" x14ac:dyDescent="0.3">
      <c r="A13" s="45" t="s">
        <v>82</v>
      </c>
      <c r="B13" s="46" t="s">
        <v>110</v>
      </c>
      <c r="C13" s="41" t="s">
        <v>111</v>
      </c>
      <c r="D13" s="42">
        <v>12</v>
      </c>
      <c r="E13" s="43" t="s">
        <v>85</v>
      </c>
      <c r="F13" s="32"/>
      <c r="G13" s="33"/>
    </row>
    <row r="14" spans="1:10" ht="15.75" thickBot="1" x14ac:dyDescent="0.3">
      <c r="A14" s="45" t="s">
        <v>82</v>
      </c>
      <c r="B14" s="46" t="s">
        <v>112</v>
      </c>
      <c r="C14" s="47" t="s">
        <v>113</v>
      </c>
      <c r="D14" s="42">
        <v>10</v>
      </c>
      <c r="E14" s="43" t="s">
        <v>85</v>
      </c>
      <c r="F14" s="32"/>
      <c r="G14" s="33"/>
    </row>
    <row r="15" spans="1:10" ht="27" thickBot="1" x14ac:dyDescent="0.3">
      <c r="A15" s="45" t="s">
        <v>82</v>
      </c>
      <c r="B15" s="46" t="s">
        <v>114</v>
      </c>
      <c r="C15" s="47" t="s">
        <v>115</v>
      </c>
      <c r="D15" s="42">
        <v>5</v>
      </c>
      <c r="E15" s="43" t="s">
        <v>85</v>
      </c>
      <c r="F15" s="32"/>
      <c r="G15" s="33"/>
    </row>
    <row r="16" spans="1:10" ht="15.75" thickBot="1" x14ac:dyDescent="0.3">
      <c r="A16" s="45" t="s">
        <v>82</v>
      </c>
      <c r="B16" s="46" t="s">
        <v>116</v>
      </c>
      <c r="C16" s="41" t="s">
        <v>117</v>
      </c>
      <c r="D16" s="43">
        <v>500</v>
      </c>
      <c r="E16" s="43" t="s">
        <v>85</v>
      </c>
      <c r="F16" s="32"/>
      <c r="G16" s="33"/>
    </row>
    <row r="17" spans="1:7" ht="15.75" thickBot="1" x14ac:dyDescent="0.3">
      <c r="A17" s="45" t="s">
        <v>82</v>
      </c>
      <c r="B17" s="46" t="s">
        <v>118</v>
      </c>
      <c r="C17" s="41" t="s">
        <v>119</v>
      </c>
      <c r="D17" s="43">
        <v>25</v>
      </c>
      <c r="E17" s="43" t="s">
        <v>85</v>
      </c>
      <c r="F17" s="32"/>
      <c r="G17" s="33"/>
    </row>
    <row r="18" spans="1:7" ht="26.25" thickBot="1" x14ac:dyDescent="0.3">
      <c r="A18" s="45" t="s">
        <v>82</v>
      </c>
      <c r="B18" s="46" t="s">
        <v>120</v>
      </c>
      <c r="C18" s="41" t="s">
        <v>121</v>
      </c>
      <c r="D18" s="43">
        <v>25</v>
      </c>
      <c r="E18" s="43" t="s">
        <v>85</v>
      </c>
      <c r="F18" s="32"/>
      <c r="G18" s="33"/>
    </row>
    <row r="19" spans="1:7" ht="26.25" thickBot="1" x14ac:dyDescent="0.3">
      <c r="A19" s="45" t="s">
        <v>82</v>
      </c>
      <c r="B19" s="46" t="s">
        <v>122</v>
      </c>
      <c r="C19" s="41" t="s">
        <v>123</v>
      </c>
      <c r="D19" s="43">
        <v>25</v>
      </c>
      <c r="E19" s="43" t="s">
        <v>85</v>
      </c>
      <c r="F19" s="32"/>
      <c r="G19" s="33"/>
    </row>
    <row r="20" spans="1:7" ht="26.25" thickBot="1" x14ac:dyDescent="0.3">
      <c r="A20" s="45" t="s">
        <v>82</v>
      </c>
      <c r="B20" s="46" t="s">
        <v>124</v>
      </c>
      <c r="C20" s="41" t="s">
        <v>125</v>
      </c>
      <c r="D20" s="43">
        <v>25</v>
      </c>
      <c r="E20" s="43" t="s">
        <v>85</v>
      </c>
      <c r="F20" s="32"/>
      <c r="G20" s="33"/>
    </row>
    <row r="21" spans="1:7" ht="15.75" thickBot="1" x14ac:dyDescent="0.3">
      <c r="A21" s="45" t="s">
        <v>82</v>
      </c>
      <c r="B21" s="46" t="s">
        <v>126</v>
      </c>
      <c r="C21" s="41" t="s">
        <v>127</v>
      </c>
      <c r="D21" s="43">
        <v>1000</v>
      </c>
      <c r="E21" s="43" t="s">
        <v>85</v>
      </c>
      <c r="F21" s="32"/>
      <c r="G21" s="33"/>
    </row>
    <row r="22" spans="1:7" ht="15.75" thickBot="1" x14ac:dyDescent="0.3">
      <c r="A22" s="45" t="s">
        <v>82</v>
      </c>
      <c r="B22" s="49" t="s">
        <v>93</v>
      </c>
      <c r="C22" s="41" t="s">
        <v>94</v>
      </c>
      <c r="D22" s="43">
        <v>4</v>
      </c>
      <c r="E22" s="43" t="s">
        <v>85</v>
      </c>
      <c r="F22" s="32"/>
      <c r="G22" s="33"/>
    </row>
    <row r="23" spans="1:7" ht="26.25" thickBot="1" x14ac:dyDescent="0.3">
      <c r="A23" s="51" t="s">
        <v>82</v>
      </c>
      <c r="B23" s="52" t="s">
        <v>128</v>
      </c>
      <c r="C23" s="46" t="s">
        <v>129</v>
      </c>
      <c r="D23" s="43">
        <v>250000</v>
      </c>
      <c r="E23" s="43" t="s">
        <v>103</v>
      </c>
      <c r="F23" s="32"/>
      <c r="G23" s="33"/>
    </row>
    <row r="24" spans="1:7" ht="15.75" thickBot="1" x14ac:dyDescent="0.3">
      <c r="A24" s="45" t="s">
        <v>82</v>
      </c>
      <c r="B24" s="46" t="s">
        <v>130</v>
      </c>
      <c r="C24" s="54" t="s">
        <v>131</v>
      </c>
      <c r="D24" s="43">
        <v>300</v>
      </c>
      <c r="E24" s="43" t="s">
        <v>97</v>
      </c>
      <c r="F24" s="32"/>
      <c r="G24" s="33"/>
    </row>
    <row r="25" spans="1:7" ht="26.25" thickBot="1" x14ac:dyDescent="0.3">
      <c r="A25" s="45" t="s">
        <v>82</v>
      </c>
      <c r="B25" s="46" t="s">
        <v>132</v>
      </c>
      <c r="C25" s="46" t="s">
        <v>133</v>
      </c>
      <c r="D25" s="43">
        <v>75</v>
      </c>
      <c r="E25" s="43" t="s">
        <v>85</v>
      </c>
      <c r="F25" s="32"/>
      <c r="G25" s="33"/>
    </row>
    <row r="26" spans="1:7" ht="27" thickBot="1" x14ac:dyDescent="0.3">
      <c r="A26" s="45" t="s">
        <v>82</v>
      </c>
      <c r="B26" s="46" t="s">
        <v>134</v>
      </c>
      <c r="C26" s="54" t="s">
        <v>135</v>
      </c>
      <c r="D26" s="43">
        <v>10</v>
      </c>
      <c r="E26" s="43" t="s">
        <v>85</v>
      </c>
      <c r="F26" s="32"/>
      <c r="G26" s="33"/>
    </row>
    <row r="27" spans="1:7" ht="27" thickBot="1" x14ac:dyDescent="0.3">
      <c r="A27" s="45" t="s">
        <v>82</v>
      </c>
      <c r="B27" s="46" t="s">
        <v>136</v>
      </c>
      <c r="C27" s="54" t="s">
        <v>137</v>
      </c>
      <c r="D27" s="43">
        <v>10</v>
      </c>
      <c r="E27" s="43" t="s">
        <v>85</v>
      </c>
      <c r="F27" s="32"/>
      <c r="G27" s="33"/>
    </row>
    <row r="28" spans="1:7" ht="15.75" thickBot="1" x14ac:dyDescent="0.3">
      <c r="A28" s="45" t="s">
        <v>82</v>
      </c>
      <c r="B28" s="46" t="s">
        <v>138</v>
      </c>
      <c r="C28" s="46" t="s">
        <v>139</v>
      </c>
      <c r="D28" s="50">
        <v>2500</v>
      </c>
      <c r="E28" s="43" t="s">
        <v>100</v>
      </c>
      <c r="F28" s="32"/>
      <c r="G28" s="33"/>
    </row>
  </sheetData>
  <mergeCells count="1"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C095-AA82-4802-9C3D-71D8B8F77414}">
  <dimension ref="A1:P28"/>
  <sheetViews>
    <sheetView zoomScaleNormal="100" workbookViewId="0">
      <selection sqref="A1:XFD1048576"/>
    </sheetView>
  </sheetViews>
  <sheetFormatPr defaultRowHeight="15" x14ac:dyDescent="0.25"/>
  <cols>
    <col min="1" max="1" width="56.7109375" customWidth="1"/>
    <col min="2" max="2" width="18.140625" customWidth="1"/>
    <col min="3" max="3" width="5.140625" bestFit="1" customWidth="1"/>
    <col min="4" max="4" width="18.85546875" bestFit="1" customWidth="1"/>
    <col min="5" max="5" width="10" bestFit="1" customWidth="1"/>
    <col min="6" max="6" width="8.85546875" bestFit="1" customWidth="1"/>
    <col min="7" max="7" width="12.7109375" bestFit="1" customWidth="1"/>
    <col min="8" max="8" width="13.42578125" bestFit="1" customWidth="1"/>
    <col min="9" max="9" width="12.140625" bestFit="1" customWidth="1"/>
    <col min="10" max="10" width="9" bestFit="1" customWidth="1"/>
    <col min="11" max="11" width="12.42578125" bestFit="1" customWidth="1"/>
    <col min="12" max="12" width="8.85546875" bestFit="1" customWidth="1"/>
    <col min="13" max="13" width="7.42578125" bestFit="1" customWidth="1"/>
    <col min="14" max="14" width="6.28515625" bestFit="1" customWidth="1"/>
    <col min="15" max="15" width="27.7109375" bestFit="1" customWidth="1"/>
    <col min="16" max="16" width="34.28515625" bestFit="1" customWidth="1"/>
  </cols>
  <sheetData>
    <row r="1" spans="1:16" ht="25.5" x14ac:dyDescent="0.35">
      <c r="A1" s="28" t="s">
        <v>27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31.5" x14ac:dyDescent="0.25">
      <c r="A2" s="4" t="s">
        <v>2</v>
      </c>
      <c r="B2" s="7" t="s">
        <v>9</v>
      </c>
      <c r="C2" s="8" t="s">
        <v>10</v>
      </c>
      <c r="D2" s="8" t="s">
        <v>15</v>
      </c>
      <c r="E2" s="8" t="s">
        <v>11</v>
      </c>
      <c r="F2" s="4" t="s">
        <v>12</v>
      </c>
      <c r="G2" s="4" t="s">
        <v>16</v>
      </c>
      <c r="H2" s="4" t="s">
        <v>13</v>
      </c>
      <c r="I2" s="4" t="s">
        <v>14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</row>
    <row r="3" spans="1:16" ht="15.75" x14ac:dyDescent="0.25">
      <c r="A3" s="9" t="s">
        <v>34</v>
      </c>
      <c r="B3" s="19">
        <v>2440</v>
      </c>
      <c r="C3" s="19">
        <v>1</v>
      </c>
      <c r="D3" s="16"/>
      <c r="E3" s="14"/>
      <c r="F3" s="1"/>
      <c r="G3" s="16"/>
      <c r="H3" s="2"/>
      <c r="I3" s="2"/>
      <c r="J3" s="1"/>
      <c r="K3" s="2"/>
      <c r="L3" s="2"/>
      <c r="M3" s="2"/>
      <c r="N3" s="1"/>
      <c r="O3" s="2"/>
      <c r="P3" s="2"/>
    </row>
    <row r="4" spans="1:16" ht="15.75" x14ac:dyDescent="0.25">
      <c r="A4" s="9" t="s">
        <v>35</v>
      </c>
      <c r="B4" s="19">
        <v>6592</v>
      </c>
      <c r="C4" s="19">
        <v>3</v>
      </c>
      <c r="D4" s="16"/>
      <c r="E4" s="14"/>
      <c r="F4" s="1"/>
      <c r="G4" s="16"/>
      <c r="H4" s="2"/>
      <c r="I4" s="2"/>
      <c r="J4" s="1"/>
      <c r="K4" s="2"/>
      <c r="L4" s="2"/>
      <c r="M4" s="2"/>
      <c r="N4" s="1"/>
      <c r="O4" s="2"/>
      <c r="P4" s="2"/>
    </row>
    <row r="5" spans="1:16" ht="15.75" x14ac:dyDescent="0.25">
      <c r="A5" s="9" t="s">
        <v>36</v>
      </c>
      <c r="B5" s="19">
        <v>1920</v>
      </c>
      <c r="C5" s="19">
        <v>1</v>
      </c>
      <c r="D5" s="16"/>
      <c r="E5" s="14"/>
      <c r="F5" s="1"/>
      <c r="G5" s="16"/>
      <c r="H5" s="2"/>
      <c r="I5" s="2"/>
      <c r="J5" s="1"/>
      <c r="K5" s="2"/>
      <c r="L5" s="2"/>
      <c r="M5" s="2"/>
      <c r="N5" s="1"/>
      <c r="O5" s="2"/>
      <c r="P5" s="2"/>
    </row>
    <row r="6" spans="1:16" ht="15.75" x14ac:dyDescent="0.25">
      <c r="A6" s="9" t="s">
        <v>37</v>
      </c>
      <c r="B6" s="19">
        <v>1920</v>
      </c>
      <c r="C6" s="19">
        <v>1</v>
      </c>
      <c r="D6" s="16"/>
      <c r="E6" s="14"/>
      <c r="F6" s="1"/>
      <c r="G6" s="16"/>
      <c r="H6" s="2"/>
      <c r="I6" s="2"/>
      <c r="J6" s="1"/>
      <c r="K6" s="2"/>
      <c r="L6" s="2"/>
      <c r="M6" s="2"/>
      <c r="N6" s="1"/>
      <c r="O6" s="2"/>
      <c r="P6" s="2"/>
    </row>
    <row r="7" spans="1:16" ht="15.75" x14ac:dyDescent="0.25">
      <c r="A7" s="9" t="s">
        <v>38</v>
      </c>
      <c r="B7" s="19">
        <v>11784</v>
      </c>
      <c r="C7" s="19">
        <v>5</v>
      </c>
      <c r="D7" s="16"/>
      <c r="E7" s="14"/>
      <c r="F7" s="1"/>
      <c r="G7" s="16"/>
      <c r="H7" s="2"/>
      <c r="I7" s="2"/>
      <c r="J7" s="1"/>
      <c r="K7" s="2"/>
      <c r="L7" s="2"/>
      <c r="M7" s="2"/>
      <c r="N7" s="1"/>
      <c r="O7" s="2"/>
      <c r="P7" s="2"/>
    </row>
    <row r="8" spans="1:16" ht="15.75" x14ac:dyDescent="0.25">
      <c r="A8" s="9" t="s">
        <v>39</v>
      </c>
      <c r="B8" s="19">
        <v>4672</v>
      </c>
      <c r="C8" s="19">
        <v>2</v>
      </c>
      <c r="D8" s="17"/>
      <c r="E8" s="15"/>
      <c r="F8" s="2"/>
      <c r="G8" s="17"/>
      <c r="H8" s="13"/>
      <c r="I8" s="9"/>
      <c r="J8" s="2"/>
      <c r="K8" s="13"/>
      <c r="L8" s="13"/>
      <c r="M8" s="9"/>
      <c r="N8" s="2"/>
      <c r="O8" s="13"/>
      <c r="P8" s="13"/>
    </row>
    <row r="9" spans="1:16" ht="15.75" x14ac:dyDescent="0.25">
      <c r="A9" s="9" t="s">
        <v>40</v>
      </c>
      <c r="B9" s="19">
        <v>7112</v>
      </c>
      <c r="C9" s="19">
        <v>3</v>
      </c>
      <c r="D9" s="17"/>
      <c r="E9" s="15"/>
      <c r="F9" s="2"/>
      <c r="G9" s="17"/>
      <c r="H9" s="13"/>
      <c r="I9" s="9"/>
      <c r="J9" s="2"/>
      <c r="K9" s="13"/>
      <c r="L9" s="13"/>
      <c r="M9" s="9"/>
      <c r="N9" s="2"/>
      <c r="O9" s="13"/>
      <c r="P9" s="13"/>
    </row>
    <row r="10" spans="1:16" ht="15.75" x14ac:dyDescent="0.25">
      <c r="A10" s="9" t="s">
        <v>41</v>
      </c>
      <c r="B10" s="19">
        <v>11784</v>
      </c>
      <c r="C10" s="19">
        <v>5</v>
      </c>
      <c r="D10" s="17"/>
      <c r="E10" s="15"/>
      <c r="F10" s="2"/>
      <c r="G10" s="17"/>
      <c r="H10" s="13"/>
      <c r="I10" s="9"/>
      <c r="J10" s="2"/>
      <c r="K10" s="13"/>
      <c r="L10" s="13"/>
      <c r="M10" s="9"/>
      <c r="N10" s="2"/>
      <c r="O10" s="13"/>
      <c r="P10" s="13"/>
    </row>
    <row r="11" spans="1:16" ht="15.75" x14ac:dyDescent="0.25">
      <c r="A11" s="9" t="s">
        <v>42</v>
      </c>
      <c r="B11" s="19">
        <v>9448</v>
      </c>
      <c r="C11" s="19">
        <v>4</v>
      </c>
      <c r="D11" s="17"/>
      <c r="E11" s="15"/>
      <c r="F11" s="2"/>
      <c r="G11" s="17"/>
      <c r="H11" s="13"/>
      <c r="I11" s="9"/>
      <c r="J11" s="2"/>
      <c r="K11" s="13"/>
      <c r="L11" s="13"/>
      <c r="M11" s="9"/>
      <c r="N11" s="2"/>
      <c r="O11" s="13"/>
      <c r="P11" s="13"/>
    </row>
    <row r="12" spans="1:16" x14ac:dyDescent="0.25">
      <c r="A12" s="9" t="s">
        <v>43</v>
      </c>
      <c r="B12" s="19">
        <v>4360</v>
      </c>
      <c r="C12" s="19">
        <v>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25">
      <c r="A13" s="9" t="s">
        <v>44</v>
      </c>
      <c r="B13" s="19">
        <v>7112</v>
      </c>
      <c r="C13" s="19">
        <v>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25">
      <c r="A14" s="9" t="s">
        <v>45</v>
      </c>
      <c r="B14" s="19">
        <v>7112</v>
      </c>
      <c r="C14" s="19">
        <v>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25">
      <c r="A15" s="9" t="s">
        <v>46</v>
      </c>
      <c r="B15" s="19">
        <v>7112</v>
      </c>
      <c r="C15" s="19">
        <v>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25">
      <c r="A16" s="9" t="s">
        <v>47</v>
      </c>
      <c r="B16" s="19">
        <v>4360</v>
      </c>
      <c r="C16" s="19">
        <v>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25">
      <c r="A17" s="9" t="s">
        <v>48</v>
      </c>
      <c r="B17" s="19">
        <v>9448</v>
      </c>
      <c r="C17" s="19">
        <v>4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31.5" x14ac:dyDescent="0.25">
      <c r="A19" s="4" t="s">
        <v>2</v>
      </c>
      <c r="B19" s="7" t="s">
        <v>9</v>
      </c>
      <c r="C19" s="8" t="s">
        <v>10</v>
      </c>
      <c r="D19" s="8" t="s">
        <v>15</v>
      </c>
      <c r="E19" s="8" t="s">
        <v>11</v>
      </c>
      <c r="F19" s="4" t="s">
        <v>12</v>
      </c>
      <c r="G19" s="4" t="s">
        <v>16</v>
      </c>
      <c r="H19" s="4" t="s">
        <v>13</v>
      </c>
      <c r="I19" s="4" t="s">
        <v>14</v>
      </c>
      <c r="J19" s="4" t="s">
        <v>17</v>
      </c>
      <c r="K19" s="4" t="s">
        <v>18</v>
      </c>
      <c r="L19" s="4" t="s">
        <v>19</v>
      </c>
      <c r="M19" s="4" t="s">
        <v>20</v>
      </c>
      <c r="N19" s="4" t="s">
        <v>21</v>
      </c>
      <c r="O19" s="4" t="s">
        <v>22</v>
      </c>
      <c r="P19" s="4" t="s">
        <v>23</v>
      </c>
    </row>
    <row r="20" spans="1:16" ht="15.75" x14ac:dyDescent="0.25">
      <c r="A20" s="10"/>
      <c r="B20" s="2"/>
      <c r="C20" s="2"/>
      <c r="D20" s="1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5.75" x14ac:dyDescent="0.25">
      <c r="A21" s="10"/>
      <c r="B21" s="1"/>
      <c r="C21" s="2"/>
      <c r="D21" s="16"/>
      <c r="E21" s="2"/>
      <c r="F21" s="1"/>
      <c r="G21" s="2"/>
      <c r="H21" s="2"/>
      <c r="I21" s="2"/>
      <c r="J21" s="1"/>
      <c r="K21" s="2"/>
      <c r="L21" s="2"/>
      <c r="M21" s="2"/>
      <c r="N21" s="1"/>
      <c r="O21" s="2"/>
      <c r="P21" s="2"/>
    </row>
    <row r="22" spans="1:16" ht="15.75" x14ac:dyDescent="0.25">
      <c r="A22" s="10"/>
      <c r="B22" s="1"/>
      <c r="C22" s="2"/>
      <c r="D22" s="16"/>
      <c r="E22" s="2"/>
      <c r="F22" s="1"/>
      <c r="G22" s="2"/>
      <c r="H22" s="2"/>
      <c r="I22" s="2"/>
      <c r="J22" s="1"/>
      <c r="K22" s="2"/>
      <c r="L22" s="2"/>
      <c r="M22" s="2"/>
      <c r="N22" s="1"/>
      <c r="O22" s="2"/>
      <c r="P22" s="2"/>
    </row>
    <row r="23" spans="1:16" ht="15.75" x14ac:dyDescent="0.25">
      <c r="A23" s="10"/>
      <c r="B23" s="1"/>
      <c r="C23" s="2"/>
      <c r="D23" s="16"/>
      <c r="E23" s="2"/>
      <c r="F23" s="1"/>
      <c r="G23" s="2"/>
      <c r="H23" s="2"/>
      <c r="I23" s="2"/>
      <c r="J23" s="1"/>
      <c r="K23" s="2"/>
      <c r="L23" s="2"/>
      <c r="M23" s="2"/>
      <c r="N23" s="1"/>
      <c r="O23" s="2"/>
      <c r="P23" s="2"/>
    </row>
    <row r="24" spans="1:16" ht="15.75" x14ac:dyDescent="0.25">
      <c r="A24" s="11"/>
      <c r="B24" s="2"/>
      <c r="C24" s="2"/>
      <c r="D24" s="17"/>
      <c r="E24" s="9"/>
      <c r="F24" s="2"/>
      <c r="G24" s="13"/>
      <c r="H24" s="13"/>
      <c r="I24" s="9"/>
      <c r="J24" s="2"/>
      <c r="K24" s="13"/>
      <c r="L24" s="13"/>
      <c r="M24" s="9"/>
      <c r="N24" s="2"/>
      <c r="O24" s="13"/>
      <c r="P24" s="13"/>
    </row>
    <row r="25" spans="1:16" ht="15.75" x14ac:dyDescent="0.25">
      <c r="A25" s="12"/>
      <c r="B25" s="2"/>
      <c r="C25" s="2"/>
      <c r="D25" s="17"/>
      <c r="E25" s="9"/>
      <c r="F25" s="2"/>
      <c r="G25" s="13"/>
      <c r="H25" s="13"/>
      <c r="I25" s="9"/>
      <c r="J25" s="2"/>
      <c r="K25" s="13" t="s">
        <v>3</v>
      </c>
      <c r="L25" s="13"/>
      <c r="M25" s="9"/>
      <c r="N25" s="2"/>
      <c r="O25" s="13"/>
      <c r="P25" s="13"/>
    </row>
    <row r="26" spans="1:16" ht="15.75" x14ac:dyDescent="0.25">
      <c r="A26" s="10"/>
      <c r="B26" s="2"/>
      <c r="C26" s="2"/>
      <c r="D26" s="17"/>
      <c r="E26" s="9"/>
      <c r="F26" s="2"/>
      <c r="G26" s="13"/>
      <c r="H26" s="13"/>
      <c r="I26" s="9"/>
      <c r="J26" s="2"/>
      <c r="K26" s="13"/>
      <c r="L26" s="13"/>
      <c r="M26" s="9"/>
      <c r="N26" s="2"/>
      <c r="O26" s="13"/>
      <c r="P26" s="13"/>
    </row>
    <row r="27" spans="1:16" ht="15.75" x14ac:dyDescent="0.25">
      <c r="A27" s="10"/>
      <c r="B27" s="2"/>
      <c r="C27" s="2"/>
      <c r="D27" s="17"/>
      <c r="E27" s="9"/>
      <c r="F27" s="2"/>
      <c r="G27" s="13"/>
      <c r="H27" s="13"/>
      <c r="I27" s="9"/>
      <c r="J27" s="2"/>
      <c r="K27" s="13"/>
      <c r="L27" s="13"/>
      <c r="M27" s="9"/>
      <c r="N27" s="2"/>
      <c r="O27" s="13"/>
      <c r="P27" s="13"/>
    </row>
    <row r="28" spans="1:16" ht="15.75" x14ac:dyDescent="0.25">
      <c r="A28" s="10"/>
      <c r="B28" s="2"/>
      <c r="C28" s="2"/>
      <c r="D28" s="18"/>
      <c r="E28" s="9"/>
      <c r="F28" s="2"/>
      <c r="G28" s="9"/>
      <c r="H28" s="9"/>
      <c r="I28" s="9"/>
      <c r="J28" s="2"/>
      <c r="K28" s="9"/>
      <c r="L28" s="9"/>
      <c r="M28" s="9"/>
      <c r="N28" s="2"/>
      <c r="O28" s="9"/>
      <c r="P28" s="9"/>
    </row>
  </sheetData>
  <mergeCells count="1">
    <mergeCell ref="A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1657-40D3-4BBA-91DF-343554FE4F1B}">
  <dimension ref="A1:P28"/>
  <sheetViews>
    <sheetView workbookViewId="0">
      <selection sqref="A1:P1"/>
    </sheetView>
  </sheetViews>
  <sheetFormatPr defaultRowHeight="15" x14ac:dyDescent="0.25"/>
  <cols>
    <col min="1" max="1" width="56.7109375" customWidth="1"/>
    <col min="2" max="2" width="18.140625" customWidth="1"/>
    <col min="3" max="3" width="5.140625" bestFit="1" customWidth="1"/>
    <col min="4" max="4" width="18.85546875" bestFit="1" customWidth="1"/>
    <col min="5" max="5" width="10" bestFit="1" customWidth="1"/>
    <col min="6" max="6" width="8.85546875" bestFit="1" customWidth="1"/>
    <col min="7" max="7" width="12.7109375" bestFit="1" customWidth="1"/>
    <col min="8" max="8" width="13.42578125" bestFit="1" customWidth="1"/>
    <col min="9" max="9" width="12.140625" bestFit="1" customWidth="1"/>
    <col min="10" max="10" width="9" bestFit="1" customWidth="1"/>
    <col min="11" max="11" width="12.42578125" bestFit="1" customWidth="1"/>
    <col min="12" max="12" width="8.85546875" bestFit="1" customWidth="1"/>
    <col min="13" max="13" width="7.42578125" bestFit="1" customWidth="1"/>
    <col min="14" max="14" width="6.28515625" bestFit="1" customWidth="1"/>
    <col min="15" max="15" width="27.7109375" bestFit="1" customWidth="1"/>
    <col min="16" max="16" width="34.28515625" bestFit="1" customWidth="1"/>
  </cols>
  <sheetData>
    <row r="1" spans="1:16" ht="25.5" x14ac:dyDescent="0.35">
      <c r="A1" s="28" t="s">
        <v>72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15.75" x14ac:dyDescent="0.25">
      <c r="A2" s="4" t="s">
        <v>2</v>
      </c>
      <c r="B2" s="7" t="s">
        <v>9</v>
      </c>
      <c r="C2" s="8" t="s">
        <v>10</v>
      </c>
      <c r="D2" s="8" t="s">
        <v>15</v>
      </c>
      <c r="E2" s="8" t="s">
        <v>11</v>
      </c>
      <c r="F2" s="4" t="s">
        <v>12</v>
      </c>
      <c r="G2" s="4" t="s">
        <v>16</v>
      </c>
      <c r="H2" s="4" t="s">
        <v>13</v>
      </c>
      <c r="I2" s="4" t="s">
        <v>14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</row>
    <row r="3" spans="1:16" ht="15.75" x14ac:dyDescent="0.25">
      <c r="A3" s="9" t="s">
        <v>34</v>
      </c>
      <c r="B3" s="19">
        <v>2440</v>
      </c>
      <c r="C3" s="19">
        <v>1</v>
      </c>
      <c r="D3" s="16"/>
      <c r="E3" s="14"/>
      <c r="F3" s="1"/>
      <c r="G3" s="16"/>
      <c r="H3" s="2"/>
      <c r="I3" s="2"/>
      <c r="J3" s="1"/>
      <c r="K3" s="2"/>
      <c r="L3" s="2"/>
      <c r="M3" s="2"/>
      <c r="N3" s="1"/>
      <c r="O3" s="2"/>
      <c r="P3" s="2"/>
    </row>
    <row r="4" spans="1:16" ht="15.75" x14ac:dyDescent="0.25">
      <c r="A4" s="9" t="s">
        <v>35</v>
      </c>
      <c r="B4" s="19">
        <v>6592</v>
      </c>
      <c r="C4" s="19">
        <v>3</v>
      </c>
      <c r="D4" s="16"/>
      <c r="E4" s="14"/>
      <c r="F4" s="1"/>
      <c r="G4" s="16"/>
      <c r="H4" s="2"/>
      <c r="I4" s="2"/>
      <c r="J4" s="1"/>
      <c r="K4" s="2"/>
      <c r="L4" s="2"/>
      <c r="M4" s="2"/>
      <c r="N4" s="1"/>
      <c r="O4" s="2"/>
      <c r="P4" s="2"/>
    </row>
    <row r="5" spans="1:16" ht="15.75" x14ac:dyDescent="0.25">
      <c r="A5" s="9" t="s">
        <v>36</v>
      </c>
      <c r="B5" s="19">
        <v>1920</v>
      </c>
      <c r="C5" s="19">
        <v>1</v>
      </c>
      <c r="D5" s="16"/>
      <c r="E5" s="14"/>
      <c r="F5" s="1"/>
      <c r="G5" s="16"/>
      <c r="H5" s="2"/>
      <c r="I5" s="2"/>
      <c r="J5" s="1"/>
      <c r="K5" s="2"/>
      <c r="L5" s="2"/>
      <c r="M5" s="2"/>
      <c r="N5" s="1"/>
      <c r="O5" s="2"/>
      <c r="P5" s="2"/>
    </row>
    <row r="6" spans="1:16" ht="15.75" x14ac:dyDescent="0.25">
      <c r="A6" s="9" t="s">
        <v>37</v>
      </c>
      <c r="B6" s="19">
        <v>1920</v>
      </c>
      <c r="C6" s="19">
        <v>1</v>
      </c>
      <c r="D6" s="16"/>
      <c r="E6" s="14"/>
      <c r="F6" s="1"/>
      <c r="G6" s="16"/>
      <c r="H6" s="2"/>
      <c r="I6" s="2"/>
      <c r="J6" s="1"/>
      <c r="K6" s="2"/>
      <c r="L6" s="2"/>
      <c r="M6" s="2"/>
      <c r="N6" s="1"/>
      <c r="O6" s="2"/>
      <c r="P6" s="2"/>
    </row>
    <row r="7" spans="1:16" ht="15.75" x14ac:dyDescent="0.25">
      <c r="A7" s="9" t="s">
        <v>38</v>
      </c>
      <c r="B7" s="19">
        <v>11784</v>
      </c>
      <c r="C7" s="19">
        <v>5</v>
      </c>
      <c r="D7" s="16"/>
      <c r="E7" s="14"/>
      <c r="F7" s="1"/>
      <c r="G7" s="16"/>
      <c r="H7" s="2"/>
      <c r="I7" s="2"/>
      <c r="J7" s="1"/>
      <c r="K7" s="2"/>
      <c r="L7" s="2"/>
      <c r="M7" s="2"/>
      <c r="N7" s="1"/>
      <c r="O7" s="2"/>
      <c r="P7" s="2"/>
    </row>
    <row r="8" spans="1:16" ht="15.75" x14ac:dyDescent="0.25">
      <c r="A8" s="9" t="s">
        <v>39</v>
      </c>
      <c r="B8" s="19">
        <v>4672</v>
      </c>
      <c r="C8" s="19">
        <v>2</v>
      </c>
      <c r="D8" s="17"/>
      <c r="E8" s="15"/>
      <c r="F8" s="2"/>
      <c r="G8" s="17"/>
      <c r="H8" s="13"/>
      <c r="I8" s="9"/>
      <c r="J8" s="2"/>
      <c r="K8" s="13"/>
      <c r="L8" s="13"/>
      <c r="M8" s="9"/>
      <c r="N8" s="2"/>
      <c r="O8" s="13"/>
      <c r="P8" s="13"/>
    </row>
    <row r="9" spans="1:16" ht="15.75" x14ac:dyDescent="0.25">
      <c r="A9" s="9" t="s">
        <v>40</v>
      </c>
      <c r="B9" s="19">
        <v>7112</v>
      </c>
      <c r="C9" s="19">
        <v>3</v>
      </c>
      <c r="D9" s="17"/>
      <c r="E9" s="15"/>
      <c r="F9" s="2"/>
      <c r="G9" s="17"/>
      <c r="H9" s="13"/>
      <c r="I9" s="9"/>
      <c r="J9" s="2"/>
      <c r="K9" s="13"/>
      <c r="L9" s="13"/>
      <c r="M9" s="9"/>
      <c r="N9" s="2"/>
      <c r="O9" s="13"/>
      <c r="P9" s="13"/>
    </row>
    <row r="10" spans="1:16" ht="15.75" x14ac:dyDescent="0.25">
      <c r="A10" s="9" t="s">
        <v>41</v>
      </c>
      <c r="B10" s="19">
        <v>11784</v>
      </c>
      <c r="C10" s="19">
        <v>5</v>
      </c>
      <c r="D10" s="17"/>
      <c r="E10" s="15"/>
      <c r="F10" s="2"/>
      <c r="G10" s="17"/>
      <c r="H10" s="13"/>
      <c r="I10" s="9"/>
      <c r="J10" s="2"/>
      <c r="K10" s="13"/>
      <c r="L10" s="13"/>
      <c r="M10" s="9"/>
      <c r="N10" s="2"/>
      <c r="O10" s="13"/>
      <c r="P10" s="13"/>
    </row>
    <row r="11" spans="1:16" ht="15.75" x14ac:dyDescent="0.25">
      <c r="A11" s="9" t="s">
        <v>42</v>
      </c>
      <c r="B11" s="19">
        <v>9448</v>
      </c>
      <c r="C11" s="19">
        <v>4</v>
      </c>
      <c r="D11" s="17"/>
      <c r="E11" s="15"/>
      <c r="F11" s="2"/>
      <c r="G11" s="17"/>
      <c r="H11" s="13"/>
      <c r="I11" s="9"/>
      <c r="J11" s="2"/>
      <c r="K11" s="13"/>
      <c r="L11" s="13"/>
      <c r="M11" s="9"/>
      <c r="N11" s="2"/>
      <c r="O11" s="13"/>
      <c r="P11" s="13"/>
    </row>
    <row r="12" spans="1:16" x14ac:dyDescent="0.25">
      <c r="A12" s="9" t="s">
        <v>43</v>
      </c>
      <c r="B12" s="19">
        <v>4360</v>
      </c>
      <c r="C12" s="19">
        <v>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25">
      <c r="A13" s="9" t="s">
        <v>44</v>
      </c>
      <c r="B13" s="19">
        <v>7112</v>
      </c>
      <c r="C13" s="19">
        <v>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25">
      <c r="A14" s="9" t="s">
        <v>45</v>
      </c>
      <c r="B14" s="19">
        <v>7112</v>
      </c>
      <c r="C14" s="19">
        <v>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25">
      <c r="A15" s="9" t="s">
        <v>46</v>
      </c>
      <c r="B15" s="19">
        <v>7112</v>
      </c>
      <c r="C15" s="19">
        <v>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25">
      <c r="A16" s="9" t="s">
        <v>47</v>
      </c>
      <c r="B16" s="19">
        <v>4360</v>
      </c>
      <c r="C16" s="19">
        <v>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25">
      <c r="A17" s="9" t="s">
        <v>48</v>
      </c>
      <c r="B17" s="19">
        <v>9448</v>
      </c>
      <c r="C17" s="19">
        <v>4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5.75" x14ac:dyDescent="0.25">
      <c r="A19" s="4" t="s">
        <v>2</v>
      </c>
      <c r="B19" s="7" t="s">
        <v>9</v>
      </c>
      <c r="C19" s="8" t="s">
        <v>10</v>
      </c>
      <c r="D19" s="8" t="s">
        <v>15</v>
      </c>
      <c r="E19" s="8" t="s">
        <v>11</v>
      </c>
      <c r="F19" s="4" t="s">
        <v>12</v>
      </c>
      <c r="G19" s="4" t="s">
        <v>16</v>
      </c>
      <c r="H19" s="4" t="s">
        <v>13</v>
      </c>
      <c r="I19" s="4" t="s">
        <v>14</v>
      </c>
      <c r="J19" s="4" t="s">
        <v>17</v>
      </c>
      <c r="K19" s="4" t="s">
        <v>18</v>
      </c>
      <c r="L19" s="4" t="s">
        <v>19</v>
      </c>
      <c r="M19" s="4" t="s">
        <v>20</v>
      </c>
      <c r="N19" s="4" t="s">
        <v>21</v>
      </c>
      <c r="O19" s="4" t="s">
        <v>22</v>
      </c>
      <c r="P19" s="4" t="s">
        <v>23</v>
      </c>
    </row>
    <row r="20" spans="1:16" ht="15.75" x14ac:dyDescent="0.25">
      <c r="A20" s="10"/>
      <c r="B20" s="2"/>
      <c r="C20" s="2"/>
      <c r="D20" s="1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5.75" x14ac:dyDescent="0.25">
      <c r="A21" s="10"/>
      <c r="B21" s="1"/>
      <c r="C21" s="2"/>
      <c r="D21" s="16"/>
      <c r="E21" s="2"/>
      <c r="F21" s="1"/>
      <c r="G21" s="2"/>
      <c r="H21" s="2"/>
      <c r="I21" s="2"/>
      <c r="J21" s="1"/>
      <c r="K21" s="2"/>
      <c r="L21" s="2"/>
      <c r="M21" s="2"/>
      <c r="N21" s="1"/>
      <c r="O21" s="2"/>
      <c r="P21" s="2"/>
    </row>
    <row r="22" spans="1:16" ht="15.75" x14ac:dyDescent="0.25">
      <c r="A22" s="10"/>
      <c r="B22" s="1"/>
      <c r="C22" s="2"/>
      <c r="D22" s="16"/>
      <c r="E22" s="2"/>
      <c r="F22" s="1"/>
      <c r="G22" s="2"/>
      <c r="H22" s="2"/>
      <c r="I22" s="2"/>
      <c r="J22" s="1"/>
      <c r="K22" s="2"/>
      <c r="L22" s="2"/>
      <c r="M22" s="2"/>
      <c r="N22" s="1"/>
      <c r="O22" s="2"/>
      <c r="P22" s="2"/>
    </row>
    <row r="23" spans="1:16" ht="15.75" x14ac:dyDescent="0.25">
      <c r="A23" s="10"/>
      <c r="B23" s="1"/>
      <c r="C23" s="2"/>
      <c r="D23" s="16"/>
      <c r="E23" s="2"/>
      <c r="F23" s="1"/>
      <c r="G23" s="2"/>
      <c r="H23" s="2"/>
      <c r="I23" s="2"/>
      <c r="J23" s="1"/>
      <c r="K23" s="2"/>
      <c r="L23" s="2"/>
      <c r="M23" s="2"/>
      <c r="N23" s="1"/>
      <c r="O23" s="2"/>
      <c r="P23" s="2"/>
    </row>
    <row r="24" spans="1:16" ht="15.75" x14ac:dyDescent="0.25">
      <c r="A24" s="11"/>
      <c r="B24" s="2"/>
      <c r="C24" s="2"/>
      <c r="D24" s="17"/>
      <c r="E24" s="9"/>
      <c r="F24" s="2"/>
      <c r="G24" s="13"/>
      <c r="H24" s="13"/>
      <c r="I24" s="9"/>
      <c r="J24" s="2"/>
      <c r="K24" s="13"/>
      <c r="L24" s="13"/>
      <c r="M24" s="9"/>
      <c r="N24" s="2"/>
      <c r="O24" s="13"/>
      <c r="P24" s="13"/>
    </row>
    <row r="25" spans="1:16" ht="15.75" x14ac:dyDescent="0.25">
      <c r="A25" s="12"/>
      <c r="B25" s="2"/>
      <c r="C25" s="2"/>
      <c r="D25" s="17"/>
      <c r="E25" s="9"/>
      <c r="F25" s="2"/>
      <c r="G25" s="13"/>
      <c r="H25" s="13"/>
      <c r="I25" s="9"/>
      <c r="J25" s="2"/>
      <c r="K25" s="13" t="s">
        <v>3</v>
      </c>
      <c r="L25" s="13"/>
      <c r="M25" s="9"/>
      <c r="N25" s="2"/>
      <c r="O25" s="13"/>
      <c r="P25" s="13"/>
    </row>
    <row r="26" spans="1:16" ht="15.75" x14ac:dyDescent="0.25">
      <c r="A26" s="10"/>
      <c r="B26" s="2"/>
      <c r="C26" s="2"/>
      <c r="D26" s="17"/>
      <c r="E26" s="9"/>
      <c r="F26" s="2"/>
      <c r="G26" s="13"/>
      <c r="H26" s="13"/>
      <c r="I26" s="9"/>
      <c r="J26" s="2"/>
      <c r="K26" s="13"/>
      <c r="L26" s="13"/>
      <c r="M26" s="9"/>
      <c r="N26" s="2"/>
      <c r="O26" s="13"/>
      <c r="P26" s="13"/>
    </row>
    <row r="27" spans="1:16" ht="15.75" x14ac:dyDescent="0.25">
      <c r="A27" s="10"/>
      <c r="B27" s="2"/>
      <c r="C27" s="2"/>
      <c r="D27" s="17"/>
      <c r="E27" s="9"/>
      <c r="F27" s="2"/>
      <c r="G27" s="13"/>
      <c r="H27" s="13"/>
      <c r="I27" s="9"/>
      <c r="J27" s="2"/>
      <c r="K27" s="13"/>
      <c r="L27" s="13"/>
      <c r="M27" s="9"/>
      <c r="N27" s="2"/>
      <c r="O27" s="13"/>
      <c r="P27" s="13"/>
    </row>
    <row r="28" spans="1:16" ht="15.75" x14ac:dyDescent="0.25">
      <c r="A28" s="10"/>
      <c r="B28" s="2"/>
      <c r="C28" s="2"/>
      <c r="D28" s="18"/>
      <c r="E28" s="9"/>
      <c r="F28" s="2"/>
      <c r="G28" s="9"/>
      <c r="H28" s="9"/>
      <c r="I28" s="9"/>
      <c r="J28" s="2"/>
      <c r="K28" s="9"/>
      <c r="L28" s="9"/>
      <c r="M28" s="9"/>
      <c r="N28" s="2"/>
      <c r="O28" s="9"/>
      <c r="P28" s="9"/>
    </row>
  </sheetData>
  <mergeCells count="1">
    <mergeCell ref="A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39E3-94AD-4DCC-BD9A-6B9E1E6AFD23}">
  <dimension ref="A1:P28"/>
  <sheetViews>
    <sheetView workbookViewId="0">
      <selection sqref="A1:P1"/>
    </sheetView>
  </sheetViews>
  <sheetFormatPr defaultRowHeight="15" x14ac:dyDescent="0.25"/>
  <cols>
    <col min="1" max="1" width="56.7109375" customWidth="1"/>
    <col min="2" max="2" width="18.140625" customWidth="1"/>
    <col min="3" max="3" width="5.140625" bestFit="1" customWidth="1"/>
    <col min="4" max="4" width="18.85546875" bestFit="1" customWidth="1"/>
    <col min="5" max="5" width="10" bestFit="1" customWidth="1"/>
    <col min="6" max="6" width="8.85546875" bestFit="1" customWidth="1"/>
    <col min="7" max="7" width="12.7109375" bestFit="1" customWidth="1"/>
    <col min="8" max="8" width="13.42578125" bestFit="1" customWidth="1"/>
    <col min="9" max="9" width="12.140625" bestFit="1" customWidth="1"/>
    <col min="10" max="10" width="9" bestFit="1" customWidth="1"/>
    <col min="11" max="11" width="12.42578125" bestFit="1" customWidth="1"/>
    <col min="12" max="12" width="8.85546875" bestFit="1" customWidth="1"/>
    <col min="13" max="13" width="7.42578125" bestFit="1" customWidth="1"/>
    <col min="14" max="14" width="6.28515625" bestFit="1" customWidth="1"/>
    <col min="15" max="15" width="27.7109375" bestFit="1" customWidth="1"/>
    <col min="16" max="16" width="34.28515625" bestFit="1" customWidth="1"/>
  </cols>
  <sheetData>
    <row r="1" spans="1:16" ht="25.5" x14ac:dyDescent="0.35">
      <c r="A1" s="28" t="s">
        <v>73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15.75" x14ac:dyDescent="0.25">
      <c r="A2" s="4" t="s">
        <v>2</v>
      </c>
      <c r="B2" s="7" t="s">
        <v>9</v>
      </c>
      <c r="C2" s="8" t="s">
        <v>10</v>
      </c>
      <c r="D2" s="8" t="s">
        <v>15</v>
      </c>
      <c r="E2" s="8" t="s">
        <v>11</v>
      </c>
      <c r="F2" s="4" t="s">
        <v>12</v>
      </c>
      <c r="G2" s="4" t="s">
        <v>16</v>
      </c>
      <c r="H2" s="4" t="s">
        <v>13</v>
      </c>
      <c r="I2" s="4" t="s">
        <v>14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</row>
    <row r="3" spans="1:16" ht="15.75" x14ac:dyDescent="0.25">
      <c r="A3" s="9" t="s">
        <v>34</v>
      </c>
      <c r="B3" s="19">
        <v>2440</v>
      </c>
      <c r="C3" s="19">
        <v>1</v>
      </c>
      <c r="D3" s="16"/>
      <c r="E3" s="14"/>
      <c r="F3" s="1"/>
      <c r="G3" s="16"/>
      <c r="H3" s="2"/>
      <c r="I3" s="2"/>
      <c r="J3" s="1"/>
      <c r="K3" s="2"/>
      <c r="L3" s="2"/>
      <c r="M3" s="2"/>
      <c r="N3" s="1"/>
      <c r="O3" s="2"/>
      <c r="P3" s="2"/>
    </row>
    <row r="4" spans="1:16" ht="15.75" x14ac:dyDescent="0.25">
      <c r="A4" s="9" t="s">
        <v>35</v>
      </c>
      <c r="B4" s="19">
        <v>6592</v>
      </c>
      <c r="C4" s="19">
        <v>3</v>
      </c>
      <c r="D4" s="16"/>
      <c r="E4" s="14"/>
      <c r="F4" s="1"/>
      <c r="G4" s="16"/>
      <c r="H4" s="2"/>
      <c r="I4" s="2"/>
      <c r="J4" s="1"/>
      <c r="K4" s="2"/>
      <c r="L4" s="2"/>
      <c r="M4" s="2"/>
      <c r="N4" s="1"/>
      <c r="O4" s="2"/>
      <c r="P4" s="2"/>
    </row>
    <row r="5" spans="1:16" ht="15.75" x14ac:dyDescent="0.25">
      <c r="A5" s="9" t="s">
        <v>36</v>
      </c>
      <c r="B5" s="19">
        <v>1920</v>
      </c>
      <c r="C5" s="19">
        <v>1</v>
      </c>
      <c r="D5" s="16"/>
      <c r="E5" s="14"/>
      <c r="F5" s="1"/>
      <c r="G5" s="16"/>
      <c r="H5" s="2"/>
      <c r="I5" s="2"/>
      <c r="J5" s="1"/>
      <c r="K5" s="2"/>
      <c r="L5" s="2"/>
      <c r="M5" s="2"/>
      <c r="N5" s="1"/>
      <c r="O5" s="2"/>
      <c r="P5" s="2"/>
    </row>
    <row r="6" spans="1:16" ht="15.75" x14ac:dyDescent="0.25">
      <c r="A6" s="9" t="s">
        <v>37</v>
      </c>
      <c r="B6" s="19">
        <v>1920</v>
      </c>
      <c r="C6" s="19">
        <v>1</v>
      </c>
      <c r="D6" s="16"/>
      <c r="E6" s="14"/>
      <c r="F6" s="1"/>
      <c r="G6" s="16"/>
      <c r="H6" s="2"/>
      <c r="I6" s="2"/>
      <c r="J6" s="1"/>
      <c r="K6" s="2"/>
      <c r="L6" s="2"/>
      <c r="M6" s="2"/>
      <c r="N6" s="1"/>
      <c r="O6" s="2"/>
      <c r="P6" s="2"/>
    </row>
    <row r="7" spans="1:16" ht="15.75" x14ac:dyDescent="0.25">
      <c r="A7" s="9" t="s">
        <v>38</v>
      </c>
      <c r="B7" s="19">
        <v>11784</v>
      </c>
      <c r="C7" s="19">
        <v>5</v>
      </c>
      <c r="D7" s="16"/>
      <c r="E7" s="14"/>
      <c r="F7" s="1"/>
      <c r="G7" s="16"/>
      <c r="H7" s="2"/>
      <c r="I7" s="2"/>
      <c r="J7" s="1"/>
      <c r="K7" s="2"/>
      <c r="L7" s="2"/>
      <c r="M7" s="2"/>
      <c r="N7" s="1"/>
      <c r="O7" s="2"/>
      <c r="P7" s="2"/>
    </row>
    <row r="8" spans="1:16" ht="15.75" x14ac:dyDescent="0.25">
      <c r="A8" s="9" t="s">
        <v>39</v>
      </c>
      <c r="B8" s="19">
        <v>4672</v>
      </c>
      <c r="C8" s="19">
        <v>2</v>
      </c>
      <c r="D8" s="17"/>
      <c r="E8" s="15"/>
      <c r="F8" s="2"/>
      <c r="G8" s="17"/>
      <c r="H8" s="13"/>
      <c r="I8" s="9"/>
      <c r="J8" s="2"/>
      <c r="K8" s="13"/>
      <c r="L8" s="13"/>
      <c r="M8" s="9"/>
      <c r="N8" s="2"/>
      <c r="O8" s="13"/>
      <c r="P8" s="13"/>
    </row>
    <row r="9" spans="1:16" ht="15.75" x14ac:dyDescent="0.25">
      <c r="A9" s="9" t="s">
        <v>40</v>
      </c>
      <c r="B9" s="19">
        <v>7112</v>
      </c>
      <c r="C9" s="19">
        <v>3</v>
      </c>
      <c r="D9" s="17"/>
      <c r="E9" s="15"/>
      <c r="F9" s="2"/>
      <c r="G9" s="17"/>
      <c r="H9" s="13"/>
      <c r="I9" s="9"/>
      <c r="J9" s="2"/>
      <c r="K9" s="13"/>
      <c r="L9" s="13"/>
      <c r="M9" s="9"/>
      <c r="N9" s="2"/>
      <c r="O9" s="13"/>
      <c r="P9" s="13"/>
    </row>
    <row r="10" spans="1:16" ht="15.75" x14ac:dyDescent="0.25">
      <c r="A10" s="9" t="s">
        <v>41</v>
      </c>
      <c r="B10" s="19">
        <v>11784</v>
      </c>
      <c r="C10" s="19">
        <v>5</v>
      </c>
      <c r="D10" s="17"/>
      <c r="E10" s="15"/>
      <c r="F10" s="2"/>
      <c r="G10" s="17"/>
      <c r="H10" s="13"/>
      <c r="I10" s="9"/>
      <c r="J10" s="2"/>
      <c r="K10" s="13"/>
      <c r="L10" s="13"/>
      <c r="M10" s="9"/>
      <c r="N10" s="2"/>
      <c r="O10" s="13"/>
      <c r="P10" s="13"/>
    </row>
    <row r="11" spans="1:16" ht="15.75" x14ac:dyDescent="0.25">
      <c r="A11" s="9" t="s">
        <v>42</v>
      </c>
      <c r="B11" s="19">
        <v>9448</v>
      </c>
      <c r="C11" s="19">
        <v>4</v>
      </c>
      <c r="D11" s="17"/>
      <c r="E11" s="15"/>
      <c r="F11" s="2"/>
      <c r="G11" s="17"/>
      <c r="H11" s="13"/>
      <c r="I11" s="9"/>
      <c r="J11" s="2"/>
      <c r="K11" s="13"/>
      <c r="L11" s="13"/>
      <c r="M11" s="9"/>
      <c r="N11" s="2"/>
      <c r="O11" s="13"/>
      <c r="P11" s="13"/>
    </row>
    <row r="12" spans="1:16" x14ac:dyDescent="0.25">
      <c r="A12" s="9" t="s">
        <v>43</v>
      </c>
      <c r="B12" s="19">
        <v>4360</v>
      </c>
      <c r="C12" s="19">
        <v>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25">
      <c r="A13" s="9" t="s">
        <v>44</v>
      </c>
      <c r="B13" s="19">
        <v>7112</v>
      </c>
      <c r="C13" s="19">
        <v>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25">
      <c r="A14" s="9" t="s">
        <v>45</v>
      </c>
      <c r="B14" s="19">
        <v>7112</v>
      </c>
      <c r="C14" s="19">
        <v>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25">
      <c r="A15" s="9" t="s">
        <v>46</v>
      </c>
      <c r="B15" s="19">
        <v>7112</v>
      </c>
      <c r="C15" s="19">
        <v>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25">
      <c r="A16" s="9" t="s">
        <v>47</v>
      </c>
      <c r="B16" s="19">
        <v>4360</v>
      </c>
      <c r="C16" s="19">
        <v>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25">
      <c r="A17" s="9" t="s">
        <v>48</v>
      </c>
      <c r="B17" s="19">
        <v>9448</v>
      </c>
      <c r="C17" s="19">
        <v>4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5.75" x14ac:dyDescent="0.25">
      <c r="A19" s="4" t="s">
        <v>2</v>
      </c>
      <c r="B19" s="7" t="s">
        <v>9</v>
      </c>
      <c r="C19" s="8" t="s">
        <v>10</v>
      </c>
      <c r="D19" s="8" t="s">
        <v>15</v>
      </c>
      <c r="E19" s="8" t="s">
        <v>11</v>
      </c>
      <c r="F19" s="4" t="s">
        <v>12</v>
      </c>
      <c r="G19" s="4" t="s">
        <v>16</v>
      </c>
      <c r="H19" s="4" t="s">
        <v>13</v>
      </c>
      <c r="I19" s="4" t="s">
        <v>14</v>
      </c>
      <c r="J19" s="4" t="s">
        <v>17</v>
      </c>
      <c r="K19" s="4" t="s">
        <v>18</v>
      </c>
      <c r="L19" s="4" t="s">
        <v>19</v>
      </c>
      <c r="M19" s="4" t="s">
        <v>20</v>
      </c>
      <c r="N19" s="4" t="s">
        <v>21</v>
      </c>
      <c r="O19" s="4" t="s">
        <v>22</v>
      </c>
      <c r="P19" s="4" t="s">
        <v>23</v>
      </c>
    </row>
    <row r="20" spans="1:16" ht="15.75" x14ac:dyDescent="0.25">
      <c r="A20" s="10"/>
      <c r="B20" s="2"/>
      <c r="C20" s="2"/>
      <c r="D20" s="1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5.75" x14ac:dyDescent="0.25">
      <c r="A21" s="10"/>
      <c r="B21" s="1"/>
      <c r="C21" s="2"/>
      <c r="D21" s="16"/>
      <c r="E21" s="2"/>
      <c r="F21" s="1"/>
      <c r="G21" s="2"/>
      <c r="H21" s="2"/>
      <c r="I21" s="2"/>
      <c r="J21" s="1"/>
      <c r="K21" s="2"/>
      <c r="L21" s="2"/>
      <c r="M21" s="2"/>
      <c r="N21" s="1"/>
      <c r="O21" s="2"/>
      <c r="P21" s="2"/>
    </row>
    <row r="22" spans="1:16" ht="15.75" x14ac:dyDescent="0.25">
      <c r="A22" s="10"/>
      <c r="B22" s="1"/>
      <c r="C22" s="2"/>
      <c r="D22" s="16"/>
      <c r="E22" s="2"/>
      <c r="F22" s="1"/>
      <c r="G22" s="2"/>
      <c r="H22" s="2"/>
      <c r="I22" s="2"/>
      <c r="J22" s="1"/>
      <c r="K22" s="2"/>
      <c r="L22" s="2"/>
      <c r="M22" s="2"/>
      <c r="N22" s="1"/>
      <c r="O22" s="2"/>
      <c r="P22" s="2"/>
    </row>
    <row r="23" spans="1:16" ht="15.75" x14ac:dyDescent="0.25">
      <c r="A23" s="10"/>
      <c r="B23" s="1"/>
      <c r="C23" s="2"/>
      <c r="D23" s="16"/>
      <c r="E23" s="2"/>
      <c r="F23" s="1"/>
      <c r="G23" s="2"/>
      <c r="H23" s="2"/>
      <c r="I23" s="2"/>
      <c r="J23" s="1"/>
      <c r="K23" s="2"/>
      <c r="L23" s="2"/>
      <c r="M23" s="2"/>
      <c r="N23" s="1"/>
      <c r="O23" s="2"/>
      <c r="P23" s="2"/>
    </row>
    <row r="24" spans="1:16" ht="15.75" x14ac:dyDescent="0.25">
      <c r="A24" s="11"/>
      <c r="B24" s="2"/>
      <c r="C24" s="2"/>
      <c r="D24" s="17"/>
      <c r="E24" s="9"/>
      <c r="F24" s="2"/>
      <c r="G24" s="13"/>
      <c r="H24" s="13"/>
      <c r="I24" s="9"/>
      <c r="J24" s="2"/>
      <c r="K24" s="13"/>
      <c r="L24" s="13"/>
      <c r="M24" s="9"/>
      <c r="N24" s="2"/>
      <c r="O24" s="13"/>
      <c r="P24" s="13"/>
    </row>
    <row r="25" spans="1:16" ht="15.75" x14ac:dyDescent="0.25">
      <c r="A25" s="12"/>
      <c r="B25" s="2"/>
      <c r="C25" s="2"/>
      <c r="D25" s="17"/>
      <c r="E25" s="9"/>
      <c r="F25" s="2"/>
      <c r="G25" s="13"/>
      <c r="H25" s="13"/>
      <c r="I25" s="9"/>
      <c r="J25" s="2"/>
      <c r="K25" s="13" t="s">
        <v>3</v>
      </c>
      <c r="L25" s="13"/>
      <c r="M25" s="9"/>
      <c r="N25" s="2"/>
      <c r="O25" s="13"/>
      <c r="P25" s="13"/>
    </row>
    <row r="26" spans="1:16" ht="15.75" x14ac:dyDescent="0.25">
      <c r="A26" s="10"/>
      <c r="B26" s="2"/>
      <c r="C26" s="2"/>
      <c r="D26" s="17"/>
      <c r="E26" s="9"/>
      <c r="F26" s="2"/>
      <c r="G26" s="13"/>
      <c r="H26" s="13"/>
      <c r="I26" s="9"/>
      <c r="J26" s="2"/>
      <c r="K26" s="13"/>
      <c r="L26" s="13"/>
      <c r="M26" s="9"/>
      <c r="N26" s="2"/>
      <c r="O26" s="13"/>
      <c r="P26" s="13"/>
    </row>
    <row r="27" spans="1:16" ht="15.75" x14ac:dyDescent="0.25">
      <c r="A27" s="10"/>
      <c r="B27" s="2"/>
      <c r="C27" s="2"/>
      <c r="D27" s="17"/>
      <c r="E27" s="9"/>
      <c r="F27" s="2"/>
      <c r="G27" s="13"/>
      <c r="H27" s="13"/>
      <c r="I27" s="9"/>
      <c r="J27" s="2"/>
      <c r="K27" s="13"/>
      <c r="L27" s="13"/>
      <c r="M27" s="9"/>
      <c r="N27" s="2"/>
      <c r="O27" s="13"/>
      <c r="P27" s="13"/>
    </row>
    <row r="28" spans="1:16" ht="15.75" x14ac:dyDescent="0.25">
      <c r="A28" s="10"/>
      <c r="B28" s="2"/>
      <c r="C28" s="2"/>
      <c r="D28" s="18"/>
      <c r="E28" s="9"/>
      <c r="F28" s="2"/>
      <c r="G28" s="9"/>
      <c r="H28" s="9"/>
      <c r="I28" s="9"/>
      <c r="J28" s="2"/>
      <c r="K28" s="9"/>
      <c r="L28" s="9"/>
      <c r="M28" s="9"/>
      <c r="N28" s="2"/>
      <c r="O28" s="9"/>
      <c r="P28" s="9"/>
    </row>
  </sheetData>
  <mergeCells count="1">
    <mergeCell ref="A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3E148-720A-473E-839F-D7770C9077F4}">
  <dimension ref="A1:P28"/>
  <sheetViews>
    <sheetView workbookViewId="0">
      <selection sqref="A1:P1"/>
    </sheetView>
  </sheetViews>
  <sheetFormatPr defaultRowHeight="15" x14ac:dyDescent="0.25"/>
  <cols>
    <col min="1" max="1" width="56.7109375" customWidth="1"/>
    <col min="2" max="2" width="18.140625" customWidth="1"/>
    <col min="3" max="3" width="5.140625" bestFit="1" customWidth="1"/>
    <col min="4" max="4" width="18.85546875" bestFit="1" customWidth="1"/>
    <col min="5" max="5" width="10" bestFit="1" customWidth="1"/>
    <col min="6" max="6" width="8.85546875" bestFit="1" customWidth="1"/>
    <col min="7" max="7" width="12.7109375" bestFit="1" customWidth="1"/>
    <col min="8" max="8" width="13.42578125" bestFit="1" customWidth="1"/>
    <col min="9" max="9" width="12.140625" bestFit="1" customWidth="1"/>
    <col min="10" max="10" width="9" bestFit="1" customWidth="1"/>
    <col min="11" max="11" width="12.42578125" bestFit="1" customWidth="1"/>
    <col min="12" max="12" width="8.85546875" bestFit="1" customWidth="1"/>
    <col min="13" max="13" width="7.42578125" bestFit="1" customWidth="1"/>
    <col min="14" max="14" width="6.28515625" bestFit="1" customWidth="1"/>
    <col min="15" max="15" width="27.7109375" bestFit="1" customWidth="1"/>
    <col min="16" max="16" width="34.28515625" bestFit="1" customWidth="1"/>
  </cols>
  <sheetData>
    <row r="1" spans="1:16" ht="25.5" x14ac:dyDescent="0.35">
      <c r="A1" s="28" t="s">
        <v>74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15.75" x14ac:dyDescent="0.25">
      <c r="A2" s="4" t="s">
        <v>2</v>
      </c>
      <c r="B2" s="7" t="s">
        <v>9</v>
      </c>
      <c r="C2" s="8" t="s">
        <v>10</v>
      </c>
      <c r="D2" s="8" t="s">
        <v>15</v>
      </c>
      <c r="E2" s="8" t="s">
        <v>11</v>
      </c>
      <c r="F2" s="4" t="s">
        <v>12</v>
      </c>
      <c r="G2" s="4" t="s">
        <v>16</v>
      </c>
      <c r="H2" s="4" t="s">
        <v>13</v>
      </c>
      <c r="I2" s="4" t="s">
        <v>14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</row>
    <row r="3" spans="1:16" ht="15.75" x14ac:dyDescent="0.25">
      <c r="A3" s="9" t="s">
        <v>34</v>
      </c>
      <c r="B3" s="19">
        <v>2440</v>
      </c>
      <c r="C3" s="19">
        <v>1</v>
      </c>
      <c r="D3" s="16"/>
      <c r="E3" s="14"/>
      <c r="F3" s="1"/>
      <c r="G3" s="16"/>
      <c r="H3" s="2"/>
      <c r="I3" s="2"/>
      <c r="J3" s="1"/>
      <c r="K3" s="2"/>
      <c r="L3" s="2"/>
      <c r="M3" s="2"/>
      <c r="N3" s="1"/>
      <c r="O3" s="2"/>
      <c r="P3" s="2"/>
    </row>
    <row r="4" spans="1:16" ht="15.75" x14ac:dyDescent="0.25">
      <c r="A4" s="9" t="s">
        <v>35</v>
      </c>
      <c r="B4" s="19">
        <v>6592</v>
      </c>
      <c r="C4" s="19">
        <v>3</v>
      </c>
      <c r="D4" s="16"/>
      <c r="E4" s="14"/>
      <c r="F4" s="1"/>
      <c r="G4" s="16"/>
      <c r="H4" s="2"/>
      <c r="I4" s="2"/>
      <c r="J4" s="1"/>
      <c r="K4" s="2"/>
      <c r="L4" s="2"/>
      <c r="M4" s="2"/>
      <c r="N4" s="1"/>
      <c r="O4" s="2"/>
      <c r="P4" s="2"/>
    </row>
    <row r="5" spans="1:16" ht="15.75" x14ac:dyDescent="0.25">
      <c r="A5" s="9" t="s">
        <v>36</v>
      </c>
      <c r="B5" s="19">
        <v>1920</v>
      </c>
      <c r="C5" s="19">
        <v>1</v>
      </c>
      <c r="D5" s="16"/>
      <c r="E5" s="14"/>
      <c r="F5" s="1"/>
      <c r="G5" s="16"/>
      <c r="H5" s="2"/>
      <c r="I5" s="2"/>
      <c r="J5" s="1"/>
      <c r="K5" s="2"/>
      <c r="L5" s="2"/>
      <c r="M5" s="2"/>
      <c r="N5" s="1"/>
      <c r="O5" s="2"/>
      <c r="P5" s="2"/>
    </row>
    <row r="6" spans="1:16" ht="15.75" x14ac:dyDescent="0.25">
      <c r="A6" s="9" t="s">
        <v>37</v>
      </c>
      <c r="B6" s="19">
        <v>1920</v>
      </c>
      <c r="C6" s="19">
        <v>1</v>
      </c>
      <c r="D6" s="16"/>
      <c r="E6" s="14"/>
      <c r="F6" s="1"/>
      <c r="G6" s="16"/>
      <c r="H6" s="2"/>
      <c r="I6" s="2"/>
      <c r="J6" s="1"/>
      <c r="K6" s="2"/>
      <c r="L6" s="2"/>
      <c r="M6" s="2"/>
      <c r="N6" s="1"/>
      <c r="O6" s="2"/>
      <c r="P6" s="2"/>
    </row>
    <row r="7" spans="1:16" ht="15.75" x14ac:dyDescent="0.25">
      <c r="A7" s="9" t="s">
        <v>38</v>
      </c>
      <c r="B7" s="19">
        <v>11784</v>
      </c>
      <c r="C7" s="19">
        <v>5</v>
      </c>
      <c r="D7" s="16"/>
      <c r="E7" s="14"/>
      <c r="F7" s="1"/>
      <c r="G7" s="16"/>
      <c r="H7" s="2"/>
      <c r="I7" s="2"/>
      <c r="J7" s="1"/>
      <c r="K7" s="2"/>
      <c r="L7" s="2"/>
      <c r="M7" s="2"/>
      <c r="N7" s="1"/>
      <c r="O7" s="2"/>
      <c r="P7" s="2"/>
    </row>
    <row r="8" spans="1:16" ht="15.75" x14ac:dyDescent="0.25">
      <c r="A8" s="9" t="s">
        <v>39</v>
      </c>
      <c r="B8" s="19">
        <v>4672</v>
      </c>
      <c r="C8" s="19">
        <v>2</v>
      </c>
      <c r="D8" s="17"/>
      <c r="E8" s="15"/>
      <c r="F8" s="2"/>
      <c r="G8" s="17"/>
      <c r="H8" s="13"/>
      <c r="I8" s="9"/>
      <c r="J8" s="2"/>
      <c r="K8" s="13"/>
      <c r="L8" s="13"/>
      <c r="M8" s="9"/>
      <c r="N8" s="2"/>
      <c r="O8" s="13"/>
      <c r="P8" s="13"/>
    </row>
    <row r="9" spans="1:16" ht="15.75" x14ac:dyDescent="0.25">
      <c r="A9" s="9" t="s">
        <v>40</v>
      </c>
      <c r="B9" s="19">
        <v>7112</v>
      </c>
      <c r="C9" s="19">
        <v>3</v>
      </c>
      <c r="D9" s="17"/>
      <c r="E9" s="15"/>
      <c r="F9" s="2"/>
      <c r="G9" s="17"/>
      <c r="H9" s="13"/>
      <c r="I9" s="9"/>
      <c r="J9" s="2"/>
      <c r="K9" s="13"/>
      <c r="L9" s="13"/>
      <c r="M9" s="9"/>
      <c r="N9" s="2"/>
      <c r="O9" s="13"/>
      <c r="P9" s="13"/>
    </row>
    <row r="10" spans="1:16" ht="15.75" x14ac:dyDescent="0.25">
      <c r="A10" s="9" t="s">
        <v>41</v>
      </c>
      <c r="B10" s="19">
        <v>11784</v>
      </c>
      <c r="C10" s="19">
        <v>5</v>
      </c>
      <c r="D10" s="17"/>
      <c r="E10" s="15"/>
      <c r="F10" s="2"/>
      <c r="G10" s="17"/>
      <c r="H10" s="13"/>
      <c r="I10" s="9"/>
      <c r="J10" s="2"/>
      <c r="K10" s="13"/>
      <c r="L10" s="13"/>
      <c r="M10" s="9"/>
      <c r="N10" s="2"/>
      <c r="O10" s="13"/>
      <c r="P10" s="13"/>
    </row>
    <row r="11" spans="1:16" ht="15.75" x14ac:dyDescent="0.25">
      <c r="A11" s="9" t="s">
        <v>42</v>
      </c>
      <c r="B11" s="19">
        <v>9448</v>
      </c>
      <c r="C11" s="19">
        <v>4</v>
      </c>
      <c r="D11" s="17"/>
      <c r="E11" s="15"/>
      <c r="F11" s="2"/>
      <c r="G11" s="17"/>
      <c r="H11" s="13"/>
      <c r="I11" s="9"/>
      <c r="J11" s="2"/>
      <c r="K11" s="13"/>
      <c r="L11" s="13"/>
      <c r="M11" s="9"/>
      <c r="N11" s="2"/>
      <c r="O11" s="13"/>
      <c r="P11" s="13"/>
    </row>
    <row r="12" spans="1:16" x14ac:dyDescent="0.25">
      <c r="A12" s="9" t="s">
        <v>43</v>
      </c>
      <c r="B12" s="19">
        <v>4360</v>
      </c>
      <c r="C12" s="19">
        <v>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25">
      <c r="A13" s="9" t="s">
        <v>44</v>
      </c>
      <c r="B13" s="19">
        <v>7112</v>
      </c>
      <c r="C13" s="19">
        <v>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25">
      <c r="A14" s="9" t="s">
        <v>45</v>
      </c>
      <c r="B14" s="19">
        <v>7112</v>
      </c>
      <c r="C14" s="19">
        <v>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25">
      <c r="A15" s="9" t="s">
        <v>46</v>
      </c>
      <c r="B15" s="19">
        <v>7112</v>
      </c>
      <c r="C15" s="19">
        <v>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25">
      <c r="A16" s="9" t="s">
        <v>47</v>
      </c>
      <c r="B16" s="19">
        <v>4360</v>
      </c>
      <c r="C16" s="19">
        <v>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25">
      <c r="A17" s="9" t="s">
        <v>48</v>
      </c>
      <c r="B17" s="19">
        <v>9448</v>
      </c>
      <c r="C17" s="19">
        <v>4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5.75" x14ac:dyDescent="0.25">
      <c r="A19" s="4" t="s">
        <v>2</v>
      </c>
      <c r="B19" s="7" t="s">
        <v>9</v>
      </c>
      <c r="C19" s="8" t="s">
        <v>10</v>
      </c>
      <c r="D19" s="8" t="s">
        <v>15</v>
      </c>
      <c r="E19" s="8" t="s">
        <v>11</v>
      </c>
      <c r="F19" s="4" t="s">
        <v>12</v>
      </c>
      <c r="G19" s="4" t="s">
        <v>16</v>
      </c>
      <c r="H19" s="4" t="s">
        <v>13</v>
      </c>
      <c r="I19" s="4" t="s">
        <v>14</v>
      </c>
      <c r="J19" s="4" t="s">
        <v>17</v>
      </c>
      <c r="K19" s="4" t="s">
        <v>18</v>
      </c>
      <c r="L19" s="4" t="s">
        <v>19</v>
      </c>
      <c r="M19" s="4" t="s">
        <v>20</v>
      </c>
      <c r="N19" s="4" t="s">
        <v>21</v>
      </c>
      <c r="O19" s="4" t="s">
        <v>22</v>
      </c>
      <c r="P19" s="4" t="s">
        <v>23</v>
      </c>
    </row>
    <row r="20" spans="1:16" ht="15.75" x14ac:dyDescent="0.25">
      <c r="A20" s="10"/>
      <c r="B20" s="2"/>
      <c r="C20" s="2"/>
      <c r="D20" s="1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5.75" x14ac:dyDescent="0.25">
      <c r="A21" s="10"/>
      <c r="B21" s="1"/>
      <c r="C21" s="2"/>
      <c r="D21" s="16"/>
      <c r="E21" s="2"/>
      <c r="F21" s="1"/>
      <c r="G21" s="2"/>
      <c r="H21" s="2"/>
      <c r="I21" s="2"/>
      <c r="J21" s="1"/>
      <c r="K21" s="2"/>
      <c r="L21" s="2"/>
      <c r="M21" s="2"/>
      <c r="N21" s="1"/>
      <c r="O21" s="2"/>
      <c r="P21" s="2"/>
    </row>
    <row r="22" spans="1:16" ht="15.75" x14ac:dyDescent="0.25">
      <c r="A22" s="10"/>
      <c r="B22" s="1"/>
      <c r="C22" s="2"/>
      <c r="D22" s="16"/>
      <c r="E22" s="2"/>
      <c r="F22" s="1"/>
      <c r="G22" s="2"/>
      <c r="H22" s="2"/>
      <c r="I22" s="2"/>
      <c r="J22" s="1"/>
      <c r="K22" s="2"/>
      <c r="L22" s="2"/>
      <c r="M22" s="2"/>
      <c r="N22" s="1"/>
      <c r="O22" s="2"/>
      <c r="P22" s="2"/>
    </row>
    <row r="23" spans="1:16" ht="15.75" x14ac:dyDescent="0.25">
      <c r="A23" s="10"/>
      <c r="B23" s="1"/>
      <c r="C23" s="2"/>
      <c r="D23" s="16"/>
      <c r="E23" s="2"/>
      <c r="F23" s="1"/>
      <c r="G23" s="2"/>
      <c r="H23" s="2"/>
      <c r="I23" s="2"/>
      <c r="J23" s="1"/>
      <c r="K23" s="2"/>
      <c r="L23" s="2"/>
      <c r="M23" s="2"/>
      <c r="N23" s="1"/>
      <c r="O23" s="2"/>
      <c r="P23" s="2"/>
    </row>
    <row r="24" spans="1:16" ht="15.75" x14ac:dyDescent="0.25">
      <c r="A24" s="11"/>
      <c r="B24" s="2"/>
      <c r="C24" s="2"/>
      <c r="D24" s="17"/>
      <c r="E24" s="9"/>
      <c r="F24" s="2"/>
      <c r="G24" s="13"/>
      <c r="H24" s="13"/>
      <c r="I24" s="9"/>
      <c r="J24" s="2"/>
      <c r="K24" s="13"/>
      <c r="L24" s="13"/>
      <c r="M24" s="9"/>
      <c r="N24" s="2"/>
      <c r="O24" s="13"/>
      <c r="P24" s="13"/>
    </row>
    <row r="25" spans="1:16" ht="15.75" x14ac:dyDescent="0.25">
      <c r="A25" s="12"/>
      <c r="B25" s="2"/>
      <c r="C25" s="2"/>
      <c r="D25" s="17"/>
      <c r="E25" s="9"/>
      <c r="F25" s="2"/>
      <c r="G25" s="13"/>
      <c r="H25" s="13"/>
      <c r="I25" s="9"/>
      <c r="J25" s="2"/>
      <c r="K25" s="13" t="s">
        <v>3</v>
      </c>
      <c r="L25" s="13"/>
      <c r="M25" s="9"/>
      <c r="N25" s="2"/>
      <c r="O25" s="13"/>
      <c r="P25" s="13"/>
    </row>
    <row r="26" spans="1:16" ht="15.75" x14ac:dyDescent="0.25">
      <c r="A26" s="10"/>
      <c r="B26" s="2"/>
      <c r="C26" s="2"/>
      <c r="D26" s="17"/>
      <c r="E26" s="9"/>
      <c r="F26" s="2"/>
      <c r="G26" s="13"/>
      <c r="H26" s="13"/>
      <c r="I26" s="9"/>
      <c r="J26" s="2"/>
      <c r="K26" s="13"/>
      <c r="L26" s="13"/>
      <c r="M26" s="9"/>
      <c r="N26" s="2"/>
      <c r="O26" s="13"/>
      <c r="P26" s="13"/>
    </row>
    <row r="27" spans="1:16" ht="15.75" x14ac:dyDescent="0.25">
      <c r="A27" s="10"/>
      <c r="B27" s="2"/>
      <c r="C27" s="2"/>
      <c r="D27" s="17"/>
      <c r="E27" s="9"/>
      <c r="F27" s="2"/>
      <c r="G27" s="13"/>
      <c r="H27" s="13"/>
      <c r="I27" s="9"/>
      <c r="J27" s="2"/>
      <c r="K27" s="13"/>
      <c r="L27" s="13"/>
      <c r="M27" s="9"/>
      <c r="N27" s="2"/>
      <c r="O27" s="13"/>
      <c r="P27" s="13"/>
    </row>
    <row r="28" spans="1:16" ht="15.75" x14ac:dyDescent="0.25">
      <c r="A28" s="10"/>
      <c r="B28" s="2"/>
      <c r="C28" s="2"/>
      <c r="D28" s="18"/>
      <c r="E28" s="9"/>
      <c r="F28" s="2"/>
      <c r="G28" s="9"/>
      <c r="H28" s="9"/>
      <c r="I28" s="9"/>
      <c r="J28" s="2"/>
      <c r="K28" s="9"/>
      <c r="L28" s="9"/>
      <c r="M28" s="9"/>
      <c r="N28" s="2"/>
      <c r="O28" s="9"/>
      <c r="P28" s="9"/>
    </row>
  </sheetData>
  <mergeCells count="1">
    <mergeCell ref="A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BD93-7E9D-4FCB-9F0F-47C24F8969FD}">
  <dimension ref="A1:P28"/>
  <sheetViews>
    <sheetView workbookViewId="0">
      <selection sqref="A1:P1"/>
    </sheetView>
  </sheetViews>
  <sheetFormatPr defaultRowHeight="15" x14ac:dyDescent="0.25"/>
  <cols>
    <col min="1" max="1" width="56.7109375" customWidth="1"/>
    <col min="2" max="2" width="18.140625" customWidth="1"/>
    <col min="3" max="3" width="5.140625" bestFit="1" customWidth="1"/>
    <col min="4" max="4" width="18.85546875" bestFit="1" customWidth="1"/>
    <col min="5" max="5" width="10" bestFit="1" customWidth="1"/>
    <col min="6" max="6" width="8.85546875" bestFit="1" customWidth="1"/>
    <col min="7" max="7" width="12.7109375" bestFit="1" customWidth="1"/>
    <col min="8" max="8" width="13.42578125" bestFit="1" customWidth="1"/>
    <col min="9" max="9" width="12.140625" bestFit="1" customWidth="1"/>
    <col min="10" max="10" width="9" bestFit="1" customWidth="1"/>
    <col min="11" max="11" width="12.42578125" bestFit="1" customWidth="1"/>
    <col min="12" max="12" width="8.85546875" bestFit="1" customWidth="1"/>
    <col min="13" max="13" width="7.42578125" bestFit="1" customWidth="1"/>
    <col min="14" max="14" width="6.28515625" bestFit="1" customWidth="1"/>
    <col min="15" max="15" width="27.7109375" bestFit="1" customWidth="1"/>
    <col min="16" max="16" width="34.28515625" bestFit="1" customWidth="1"/>
  </cols>
  <sheetData>
    <row r="1" spans="1:16" ht="25.5" x14ac:dyDescent="0.35">
      <c r="A1" s="28" t="s">
        <v>75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15.75" x14ac:dyDescent="0.25">
      <c r="A2" s="4" t="s">
        <v>2</v>
      </c>
      <c r="B2" s="7" t="s">
        <v>9</v>
      </c>
      <c r="C2" s="8" t="s">
        <v>10</v>
      </c>
      <c r="D2" s="8" t="s">
        <v>15</v>
      </c>
      <c r="E2" s="8" t="s">
        <v>11</v>
      </c>
      <c r="F2" s="4" t="s">
        <v>12</v>
      </c>
      <c r="G2" s="4" t="s">
        <v>16</v>
      </c>
      <c r="H2" s="4" t="s">
        <v>13</v>
      </c>
      <c r="I2" s="4" t="s">
        <v>14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</row>
    <row r="3" spans="1:16" ht="15.75" x14ac:dyDescent="0.25">
      <c r="A3" s="9" t="s">
        <v>34</v>
      </c>
      <c r="B3" s="19">
        <v>2440</v>
      </c>
      <c r="C3" s="19">
        <v>1</v>
      </c>
      <c r="D3" s="16"/>
      <c r="E3" s="14"/>
      <c r="F3" s="1"/>
      <c r="G3" s="16"/>
      <c r="H3" s="2"/>
      <c r="I3" s="2"/>
      <c r="J3" s="1"/>
      <c r="K3" s="2"/>
      <c r="L3" s="2"/>
      <c r="M3" s="2"/>
      <c r="N3" s="1"/>
      <c r="O3" s="2"/>
      <c r="P3" s="2"/>
    </row>
    <row r="4" spans="1:16" ht="15.75" x14ac:dyDescent="0.25">
      <c r="A4" s="9" t="s">
        <v>35</v>
      </c>
      <c r="B4" s="19">
        <v>6592</v>
      </c>
      <c r="C4" s="19">
        <v>3</v>
      </c>
      <c r="D4" s="16"/>
      <c r="E4" s="14"/>
      <c r="F4" s="1"/>
      <c r="G4" s="16"/>
      <c r="H4" s="2"/>
      <c r="I4" s="2"/>
      <c r="J4" s="1"/>
      <c r="K4" s="2"/>
      <c r="L4" s="2"/>
      <c r="M4" s="2"/>
      <c r="N4" s="1"/>
      <c r="O4" s="2"/>
      <c r="P4" s="2"/>
    </row>
    <row r="5" spans="1:16" ht="15.75" x14ac:dyDescent="0.25">
      <c r="A5" s="9" t="s">
        <v>36</v>
      </c>
      <c r="B5" s="19">
        <v>1920</v>
      </c>
      <c r="C5" s="19">
        <v>1</v>
      </c>
      <c r="D5" s="16"/>
      <c r="E5" s="14"/>
      <c r="F5" s="1"/>
      <c r="G5" s="16"/>
      <c r="H5" s="2"/>
      <c r="I5" s="2"/>
      <c r="J5" s="1"/>
      <c r="K5" s="2"/>
      <c r="L5" s="2"/>
      <c r="M5" s="2"/>
      <c r="N5" s="1"/>
      <c r="O5" s="2"/>
      <c r="P5" s="2"/>
    </row>
    <row r="6" spans="1:16" ht="15.75" x14ac:dyDescent="0.25">
      <c r="A6" s="9" t="s">
        <v>37</v>
      </c>
      <c r="B6" s="19">
        <v>1920</v>
      </c>
      <c r="C6" s="19">
        <v>1</v>
      </c>
      <c r="D6" s="16"/>
      <c r="E6" s="14"/>
      <c r="F6" s="1"/>
      <c r="G6" s="16"/>
      <c r="H6" s="2"/>
      <c r="I6" s="2"/>
      <c r="J6" s="1"/>
      <c r="K6" s="2"/>
      <c r="L6" s="2"/>
      <c r="M6" s="2"/>
      <c r="N6" s="1"/>
      <c r="O6" s="2"/>
      <c r="P6" s="2"/>
    </row>
    <row r="7" spans="1:16" ht="15.75" x14ac:dyDescent="0.25">
      <c r="A7" s="9" t="s">
        <v>38</v>
      </c>
      <c r="B7" s="19">
        <v>11784</v>
      </c>
      <c r="C7" s="19">
        <v>5</v>
      </c>
      <c r="D7" s="16"/>
      <c r="E7" s="14"/>
      <c r="F7" s="1"/>
      <c r="G7" s="16"/>
      <c r="H7" s="2"/>
      <c r="I7" s="2"/>
      <c r="J7" s="1"/>
      <c r="K7" s="2"/>
      <c r="L7" s="2"/>
      <c r="M7" s="2"/>
      <c r="N7" s="1"/>
      <c r="O7" s="2"/>
      <c r="P7" s="2"/>
    </row>
    <row r="8" spans="1:16" ht="15.75" x14ac:dyDescent="0.25">
      <c r="A8" s="9" t="s">
        <v>39</v>
      </c>
      <c r="B8" s="19">
        <v>4672</v>
      </c>
      <c r="C8" s="19">
        <v>2</v>
      </c>
      <c r="D8" s="17"/>
      <c r="E8" s="15"/>
      <c r="F8" s="2"/>
      <c r="G8" s="17"/>
      <c r="H8" s="13"/>
      <c r="I8" s="9"/>
      <c r="J8" s="2"/>
      <c r="K8" s="13"/>
      <c r="L8" s="13"/>
      <c r="M8" s="9"/>
      <c r="N8" s="2"/>
      <c r="O8" s="13"/>
      <c r="P8" s="13"/>
    </row>
    <row r="9" spans="1:16" ht="15.75" x14ac:dyDescent="0.25">
      <c r="A9" s="9" t="s">
        <v>40</v>
      </c>
      <c r="B9" s="19">
        <v>7112</v>
      </c>
      <c r="C9" s="19">
        <v>3</v>
      </c>
      <c r="D9" s="17"/>
      <c r="E9" s="15"/>
      <c r="F9" s="2"/>
      <c r="G9" s="17"/>
      <c r="H9" s="13"/>
      <c r="I9" s="9"/>
      <c r="J9" s="2"/>
      <c r="K9" s="13"/>
      <c r="L9" s="13"/>
      <c r="M9" s="9"/>
      <c r="N9" s="2"/>
      <c r="O9" s="13"/>
      <c r="P9" s="13"/>
    </row>
    <row r="10" spans="1:16" ht="15.75" x14ac:dyDescent="0.25">
      <c r="A10" s="9" t="s">
        <v>41</v>
      </c>
      <c r="B10" s="19">
        <v>11784</v>
      </c>
      <c r="C10" s="19">
        <v>5</v>
      </c>
      <c r="D10" s="17"/>
      <c r="E10" s="15"/>
      <c r="F10" s="2"/>
      <c r="G10" s="17"/>
      <c r="H10" s="13"/>
      <c r="I10" s="9"/>
      <c r="J10" s="2"/>
      <c r="K10" s="13"/>
      <c r="L10" s="13"/>
      <c r="M10" s="9"/>
      <c r="N10" s="2"/>
      <c r="O10" s="13"/>
      <c r="P10" s="13"/>
    </row>
    <row r="11" spans="1:16" ht="15.75" x14ac:dyDescent="0.25">
      <c r="A11" s="9" t="s">
        <v>42</v>
      </c>
      <c r="B11" s="19">
        <v>9448</v>
      </c>
      <c r="C11" s="19">
        <v>4</v>
      </c>
      <c r="D11" s="17"/>
      <c r="E11" s="15"/>
      <c r="F11" s="2"/>
      <c r="G11" s="17"/>
      <c r="H11" s="13"/>
      <c r="I11" s="9"/>
      <c r="J11" s="2"/>
      <c r="K11" s="13"/>
      <c r="L11" s="13"/>
      <c r="M11" s="9"/>
      <c r="N11" s="2"/>
      <c r="O11" s="13"/>
      <c r="P11" s="13"/>
    </row>
    <row r="12" spans="1:16" x14ac:dyDescent="0.25">
      <c r="A12" s="9" t="s">
        <v>43</v>
      </c>
      <c r="B12" s="19">
        <v>4360</v>
      </c>
      <c r="C12" s="19">
        <v>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25">
      <c r="A13" s="9" t="s">
        <v>44</v>
      </c>
      <c r="B13" s="19">
        <v>7112</v>
      </c>
      <c r="C13" s="19">
        <v>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25">
      <c r="A14" s="9" t="s">
        <v>45</v>
      </c>
      <c r="B14" s="19">
        <v>7112</v>
      </c>
      <c r="C14" s="19">
        <v>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25">
      <c r="A15" s="9" t="s">
        <v>46</v>
      </c>
      <c r="B15" s="19">
        <v>7112</v>
      </c>
      <c r="C15" s="19">
        <v>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25">
      <c r="A16" s="9" t="s">
        <v>47</v>
      </c>
      <c r="B16" s="19">
        <v>4360</v>
      </c>
      <c r="C16" s="19">
        <v>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25">
      <c r="A17" s="9" t="s">
        <v>48</v>
      </c>
      <c r="B17" s="19">
        <v>9448</v>
      </c>
      <c r="C17" s="19">
        <v>4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5.75" x14ac:dyDescent="0.25">
      <c r="A19" s="4" t="s">
        <v>2</v>
      </c>
      <c r="B19" s="7" t="s">
        <v>9</v>
      </c>
      <c r="C19" s="8" t="s">
        <v>10</v>
      </c>
      <c r="D19" s="8" t="s">
        <v>15</v>
      </c>
      <c r="E19" s="8" t="s">
        <v>11</v>
      </c>
      <c r="F19" s="4" t="s">
        <v>12</v>
      </c>
      <c r="G19" s="4" t="s">
        <v>16</v>
      </c>
      <c r="H19" s="4" t="s">
        <v>13</v>
      </c>
      <c r="I19" s="4" t="s">
        <v>14</v>
      </c>
      <c r="J19" s="4" t="s">
        <v>17</v>
      </c>
      <c r="K19" s="4" t="s">
        <v>18</v>
      </c>
      <c r="L19" s="4" t="s">
        <v>19</v>
      </c>
      <c r="M19" s="4" t="s">
        <v>20</v>
      </c>
      <c r="N19" s="4" t="s">
        <v>21</v>
      </c>
      <c r="O19" s="4" t="s">
        <v>22</v>
      </c>
      <c r="P19" s="4" t="s">
        <v>23</v>
      </c>
    </row>
    <row r="20" spans="1:16" ht="15.75" x14ac:dyDescent="0.25">
      <c r="A20" s="10"/>
      <c r="B20" s="2"/>
      <c r="C20" s="2"/>
      <c r="D20" s="1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5.75" x14ac:dyDescent="0.25">
      <c r="A21" s="10"/>
      <c r="B21" s="1"/>
      <c r="C21" s="2"/>
      <c r="D21" s="16"/>
      <c r="E21" s="2"/>
      <c r="F21" s="1"/>
      <c r="G21" s="2"/>
      <c r="H21" s="2"/>
      <c r="I21" s="2"/>
      <c r="J21" s="1"/>
      <c r="K21" s="2"/>
      <c r="L21" s="2"/>
      <c r="M21" s="2"/>
      <c r="N21" s="1"/>
      <c r="O21" s="2"/>
      <c r="P21" s="2"/>
    </row>
    <row r="22" spans="1:16" ht="15.75" x14ac:dyDescent="0.25">
      <c r="A22" s="10"/>
      <c r="B22" s="1"/>
      <c r="C22" s="2"/>
      <c r="D22" s="16"/>
      <c r="E22" s="2"/>
      <c r="F22" s="1"/>
      <c r="G22" s="2"/>
      <c r="H22" s="2"/>
      <c r="I22" s="2"/>
      <c r="J22" s="1"/>
      <c r="K22" s="2"/>
      <c r="L22" s="2"/>
      <c r="M22" s="2"/>
      <c r="N22" s="1"/>
      <c r="O22" s="2"/>
      <c r="P22" s="2"/>
    </row>
    <row r="23" spans="1:16" ht="15.75" x14ac:dyDescent="0.25">
      <c r="A23" s="10"/>
      <c r="B23" s="1"/>
      <c r="C23" s="2"/>
      <c r="D23" s="16"/>
      <c r="E23" s="2"/>
      <c r="F23" s="1"/>
      <c r="G23" s="2"/>
      <c r="H23" s="2"/>
      <c r="I23" s="2"/>
      <c r="J23" s="1"/>
      <c r="K23" s="2"/>
      <c r="L23" s="2"/>
      <c r="M23" s="2"/>
      <c r="N23" s="1"/>
      <c r="O23" s="2"/>
      <c r="P23" s="2"/>
    </row>
    <row r="24" spans="1:16" ht="15.75" x14ac:dyDescent="0.25">
      <c r="A24" s="11"/>
      <c r="B24" s="2"/>
      <c r="C24" s="2"/>
      <c r="D24" s="17"/>
      <c r="E24" s="9"/>
      <c r="F24" s="2"/>
      <c r="G24" s="13"/>
      <c r="H24" s="13"/>
      <c r="I24" s="9"/>
      <c r="J24" s="2"/>
      <c r="K24" s="13"/>
      <c r="L24" s="13"/>
      <c r="M24" s="9"/>
      <c r="N24" s="2"/>
      <c r="O24" s="13"/>
      <c r="P24" s="13"/>
    </row>
    <row r="25" spans="1:16" ht="15.75" x14ac:dyDescent="0.25">
      <c r="A25" s="12"/>
      <c r="B25" s="2"/>
      <c r="C25" s="2"/>
      <c r="D25" s="17"/>
      <c r="E25" s="9"/>
      <c r="F25" s="2"/>
      <c r="G25" s="13"/>
      <c r="H25" s="13"/>
      <c r="I25" s="9"/>
      <c r="J25" s="2"/>
      <c r="K25" s="13" t="s">
        <v>3</v>
      </c>
      <c r="L25" s="13"/>
      <c r="M25" s="9"/>
      <c r="N25" s="2"/>
      <c r="O25" s="13"/>
      <c r="P25" s="13"/>
    </row>
    <row r="26" spans="1:16" ht="15.75" x14ac:dyDescent="0.25">
      <c r="A26" s="10"/>
      <c r="B26" s="2"/>
      <c r="C26" s="2"/>
      <c r="D26" s="17"/>
      <c r="E26" s="9"/>
      <c r="F26" s="2"/>
      <c r="G26" s="13"/>
      <c r="H26" s="13"/>
      <c r="I26" s="9"/>
      <c r="J26" s="2"/>
      <c r="K26" s="13"/>
      <c r="L26" s="13"/>
      <c r="M26" s="9"/>
      <c r="N26" s="2"/>
      <c r="O26" s="13"/>
      <c r="P26" s="13"/>
    </row>
    <row r="27" spans="1:16" ht="15.75" x14ac:dyDescent="0.25">
      <c r="A27" s="10"/>
      <c r="B27" s="2"/>
      <c r="C27" s="2"/>
      <c r="D27" s="17"/>
      <c r="E27" s="9"/>
      <c r="F27" s="2"/>
      <c r="G27" s="13"/>
      <c r="H27" s="13"/>
      <c r="I27" s="9"/>
      <c r="J27" s="2"/>
      <c r="K27" s="13"/>
      <c r="L27" s="13"/>
      <c r="M27" s="9"/>
      <c r="N27" s="2"/>
      <c r="O27" s="13"/>
      <c r="P27" s="13"/>
    </row>
    <row r="28" spans="1:16" ht="15.75" x14ac:dyDescent="0.25">
      <c r="A28" s="10"/>
      <c r="B28" s="2"/>
      <c r="C28" s="2"/>
      <c r="D28" s="18"/>
      <c r="E28" s="9"/>
      <c r="F28" s="2"/>
      <c r="G28" s="9"/>
      <c r="H28" s="9"/>
      <c r="I28" s="9"/>
      <c r="J28" s="2"/>
      <c r="K28" s="9"/>
      <c r="L28" s="9"/>
      <c r="M28" s="9"/>
      <c r="N28" s="2"/>
      <c r="O28" s="9"/>
      <c r="P28" s="9"/>
    </row>
  </sheetData>
  <mergeCells count="1">
    <mergeCell ref="A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1EA5-1C15-4368-A949-28A34960CB19}">
  <dimension ref="A1:P28"/>
  <sheetViews>
    <sheetView workbookViewId="0">
      <selection activeCell="E23" sqref="E23"/>
    </sheetView>
  </sheetViews>
  <sheetFormatPr defaultRowHeight="15" x14ac:dyDescent="0.25"/>
  <cols>
    <col min="1" max="1" width="56.7109375" customWidth="1"/>
    <col min="2" max="2" width="18.140625" customWidth="1"/>
    <col min="3" max="3" width="5.140625" bestFit="1" customWidth="1"/>
    <col min="4" max="4" width="18.85546875" bestFit="1" customWidth="1"/>
    <col min="5" max="5" width="10" bestFit="1" customWidth="1"/>
    <col min="6" max="6" width="8.85546875" bestFit="1" customWidth="1"/>
    <col min="7" max="7" width="12.7109375" bestFit="1" customWidth="1"/>
    <col min="8" max="8" width="13.42578125" bestFit="1" customWidth="1"/>
    <col min="9" max="9" width="12.140625" bestFit="1" customWidth="1"/>
    <col min="10" max="10" width="9" bestFit="1" customWidth="1"/>
    <col min="11" max="11" width="12.42578125" bestFit="1" customWidth="1"/>
    <col min="12" max="12" width="8.85546875" bestFit="1" customWidth="1"/>
    <col min="13" max="13" width="7.42578125" bestFit="1" customWidth="1"/>
    <col min="14" max="14" width="6.28515625" bestFit="1" customWidth="1"/>
    <col min="15" max="15" width="27.7109375" bestFit="1" customWidth="1"/>
    <col min="16" max="16" width="34.28515625" bestFit="1" customWidth="1"/>
  </cols>
  <sheetData>
    <row r="1" spans="1:16" ht="25.5" x14ac:dyDescent="0.35">
      <c r="A1" s="28" t="s">
        <v>76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15.75" x14ac:dyDescent="0.25">
      <c r="A2" s="4" t="s">
        <v>2</v>
      </c>
      <c r="B2" s="7" t="s">
        <v>9</v>
      </c>
      <c r="C2" s="8" t="s">
        <v>10</v>
      </c>
      <c r="D2" s="8" t="s">
        <v>15</v>
      </c>
      <c r="E2" s="8" t="s">
        <v>11</v>
      </c>
      <c r="F2" s="4" t="s">
        <v>12</v>
      </c>
      <c r="G2" s="4" t="s">
        <v>16</v>
      </c>
      <c r="H2" s="4" t="s">
        <v>13</v>
      </c>
      <c r="I2" s="4" t="s">
        <v>14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</row>
    <row r="3" spans="1:16" ht="15.75" x14ac:dyDescent="0.25">
      <c r="A3" s="9" t="s">
        <v>34</v>
      </c>
      <c r="B3" s="19">
        <v>1220</v>
      </c>
      <c r="C3" s="19">
        <v>1</v>
      </c>
      <c r="D3" s="16"/>
      <c r="E3" s="14"/>
      <c r="F3" s="1"/>
      <c r="G3" s="16"/>
      <c r="H3" s="2"/>
      <c r="I3" s="2"/>
      <c r="J3" s="1"/>
      <c r="K3" s="2"/>
      <c r="L3" s="2"/>
      <c r="M3" s="2"/>
      <c r="N3" s="1"/>
      <c r="O3" s="2"/>
      <c r="P3" s="2"/>
    </row>
    <row r="4" spans="1:16" ht="15.75" x14ac:dyDescent="0.25">
      <c r="A4" s="9" t="s">
        <v>35</v>
      </c>
      <c r="B4" s="19">
        <v>3296</v>
      </c>
      <c r="C4" s="19">
        <v>3</v>
      </c>
      <c r="D4" s="16"/>
      <c r="E4" s="14"/>
      <c r="F4" s="1"/>
      <c r="G4" s="16"/>
      <c r="H4" s="2"/>
      <c r="I4" s="2"/>
      <c r="J4" s="1"/>
      <c r="K4" s="2"/>
      <c r="L4" s="2"/>
      <c r="M4" s="2"/>
      <c r="N4" s="1"/>
      <c r="O4" s="2"/>
      <c r="P4" s="2"/>
    </row>
    <row r="5" spans="1:16" ht="15.75" x14ac:dyDescent="0.25">
      <c r="A5" s="9" t="s">
        <v>36</v>
      </c>
      <c r="B5" s="19">
        <v>960</v>
      </c>
      <c r="C5" s="19">
        <v>1</v>
      </c>
      <c r="D5" s="16"/>
      <c r="E5" s="14"/>
      <c r="F5" s="1"/>
      <c r="G5" s="16"/>
      <c r="H5" s="2"/>
      <c r="I5" s="2"/>
      <c r="J5" s="1"/>
      <c r="K5" s="2"/>
      <c r="L5" s="2"/>
      <c r="M5" s="2"/>
      <c r="N5" s="1"/>
      <c r="O5" s="2"/>
      <c r="P5" s="2"/>
    </row>
    <row r="6" spans="1:16" ht="15.75" x14ac:dyDescent="0.25">
      <c r="A6" s="9" t="s">
        <v>37</v>
      </c>
      <c r="B6" s="25">
        <v>960</v>
      </c>
      <c r="C6" s="19">
        <v>1</v>
      </c>
      <c r="D6" s="16"/>
      <c r="E6" s="14"/>
      <c r="F6" s="1"/>
      <c r="G6" s="16"/>
      <c r="H6" s="2"/>
      <c r="I6" s="2"/>
      <c r="J6" s="1"/>
      <c r="K6" s="2"/>
      <c r="L6" s="2"/>
      <c r="M6" s="2"/>
      <c r="N6" s="1"/>
      <c r="O6" s="2"/>
      <c r="P6" s="2"/>
    </row>
    <row r="7" spans="1:16" ht="15.75" x14ac:dyDescent="0.25">
      <c r="A7" s="9" t="s">
        <v>38</v>
      </c>
      <c r="B7" s="19">
        <v>5892</v>
      </c>
      <c r="C7" s="19">
        <v>5</v>
      </c>
      <c r="D7" s="16"/>
      <c r="E7" s="14"/>
      <c r="F7" s="1"/>
      <c r="G7" s="16"/>
      <c r="H7" s="2"/>
      <c r="I7" s="2"/>
      <c r="J7" s="1"/>
      <c r="K7" s="2"/>
      <c r="L7" s="2"/>
      <c r="M7" s="2"/>
      <c r="N7" s="1"/>
      <c r="O7" s="2"/>
      <c r="P7" s="2"/>
    </row>
    <row r="8" spans="1:16" ht="15.75" x14ac:dyDescent="0.25">
      <c r="A8" s="9" t="s">
        <v>39</v>
      </c>
      <c r="B8" s="19">
        <v>2336</v>
      </c>
      <c r="C8" s="19">
        <v>2</v>
      </c>
      <c r="D8" s="17"/>
      <c r="E8" s="15"/>
      <c r="F8" s="2"/>
      <c r="G8" s="17"/>
      <c r="H8" s="13"/>
      <c r="I8" s="9"/>
      <c r="J8" s="2"/>
      <c r="K8" s="13"/>
      <c r="L8" s="13"/>
      <c r="M8" s="9"/>
      <c r="N8" s="2"/>
      <c r="O8" s="13"/>
      <c r="P8" s="13"/>
    </row>
    <row r="9" spans="1:16" ht="15.75" x14ac:dyDescent="0.25">
      <c r="A9" s="9" t="s">
        <v>40</v>
      </c>
      <c r="B9" s="19">
        <v>3556</v>
      </c>
      <c r="C9" s="19">
        <v>3</v>
      </c>
      <c r="D9" s="17"/>
      <c r="E9" s="15"/>
      <c r="F9" s="2"/>
      <c r="G9" s="17"/>
      <c r="H9" s="13"/>
      <c r="I9" s="9"/>
      <c r="J9" s="2"/>
      <c r="K9" s="13"/>
      <c r="L9" s="13"/>
      <c r="M9" s="9"/>
      <c r="N9" s="2"/>
      <c r="O9" s="13"/>
      <c r="P9" s="13"/>
    </row>
    <row r="10" spans="1:16" ht="15.75" x14ac:dyDescent="0.25">
      <c r="A10" s="9" t="s">
        <v>41</v>
      </c>
      <c r="B10" s="19">
        <v>5892</v>
      </c>
      <c r="C10" s="19">
        <v>5</v>
      </c>
      <c r="D10" s="17"/>
      <c r="E10" s="15"/>
      <c r="F10" s="2"/>
      <c r="G10" s="17"/>
      <c r="H10" s="13"/>
      <c r="I10" s="9"/>
      <c r="J10" s="2"/>
      <c r="K10" s="13"/>
      <c r="L10" s="13"/>
      <c r="M10" s="9"/>
      <c r="N10" s="2"/>
      <c r="O10" s="13"/>
      <c r="P10" s="13"/>
    </row>
    <row r="11" spans="1:16" ht="15.75" x14ac:dyDescent="0.25">
      <c r="A11" s="9" t="s">
        <v>42</v>
      </c>
      <c r="B11" s="19">
        <v>4724</v>
      </c>
      <c r="C11" s="19">
        <v>4</v>
      </c>
      <c r="D11" s="17"/>
      <c r="E11" s="15"/>
      <c r="F11" s="2"/>
      <c r="G11" s="17"/>
      <c r="H11" s="13"/>
      <c r="I11" s="9"/>
      <c r="J11" s="2"/>
      <c r="K11" s="13"/>
      <c r="L11" s="13"/>
      <c r="M11" s="9"/>
      <c r="N11" s="2"/>
      <c r="O11" s="13"/>
      <c r="P11" s="13"/>
    </row>
    <row r="12" spans="1:16" x14ac:dyDescent="0.25">
      <c r="A12" s="9" t="s">
        <v>43</v>
      </c>
      <c r="B12" s="19">
        <v>2180</v>
      </c>
      <c r="C12" s="19">
        <v>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25">
      <c r="A13" s="9" t="s">
        <v>44</v>
      </c>
      <c r="B13" s="19">
        <v>3556</v>
      </c>
      <c r="C13" s="19">
        <v>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25">
      <c r="A14" s="9" t="s">
        <v>45</v>
      </c>
      <c r="B14" s="19">
        <v>3556</v>
      </c>
      <c r="C14" s="19">
        <v>3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25">
      <c r="A15" s="9" t="s">
        <v>46</v>
      </c>
      <c r="B15" s="19">
        <v>3556</v>
      </c>
      <c r="C15" s="19">
        <v>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25">
      <c r="A16" s="9" t="s">
        <v>47</v>
      </c>
      <c r="B16" s="19">
        <v>2180</v>
      </c>
      <c r="C16" s="19">
        <v>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25">
      <c r="A17" s="9" t="s">
        <v>48</v>
      </c>
      <c r="B17" s="19">
        <v>4724</v>
      </c>
      <c r="C17" s="19">
        <v>4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5.75" x14ac:dyDescent="0.25">
      <c r="A19" s="4" t="s">
        <v>2</v>
      </c>
      <c r="B19" s="7" t="s">
        <v>9</v>
      </c>
      <c r="C19" s="8" t="s">
        <v>10</v>
      </c>
      <c r="D19" s="8" t="s">
        <v>15</v>
      </c>
      <c r="E19" s="8" t="s">
        <v>11</v>
      </c>
      <c r="F19" s="4" t="s">
        <v>12</v>
      </c>
      <c r="G19" s="4" t="s">
        <v>16</v>
      </c>
      <c r="H19" s="4" t="s">
        <v>13</v>
      </c>
      <c r="I19" s="4" t="s">
        <v>14</v>
      </c>
      <c r="J19" s="4" t="s">
        <v>17</v>
      </c>
      <c r="K19" s="4" t="s">
        <v>18</v>
      </c>
      <c r="L19" s="4" t="s">
        <v>19</v>
      </c>
      <c r="M19" s="4" t="s">
        <v>20</v>
      </c>
      <c r="N19" s="4" t="s">
        <v>21</v>
      </c>
      <c r="O19" s="4" t="s">
        <v>22</v>
      </c>
      <c r="P19" s="4" t="s">
        <v>23</v>
      </c>
    </row>
    <row r="20" spans="1:16" ht="15.75" x14ac:dyDescent="0.25">
      <c r="A20" s="10"/>
      <c r="B20" s="2"/>
      <c r="C20" s="2"/>
      <c r="D20" s="1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5.75" x14ac:dyDescent="0.25">
      <c r="A21" s="10"/>
      <c r="B21" s="1"/>
      <c r="C21" s="2"/>
      <c r="D21" s="16"/>
      <c r="E21" s="2"/>
      <c r="F21" s="1"/>
      <c r="G21" s="2"/>
      <c r="H21" s="2"/>
      <c r="I21" s="2"/>
      <c r="J21" s="1"/>
      <c r="K21" s="2"/>
      <c r="L21" s="2"/>
      <c r="M21" s="2"/>
      <c r="N21" s="1"/>
      <c r="O21" s="2"/>
      <c r="P21" s="2"/>
    </row>
    <row r="22" spans="1:16" ht="15.75" x14ac:dyDescent="0.25">
      <c r="A22" s="10"/>
      <c r="B22" s="1"/>
      <c r="C22" s="2"/>
      <c r="D22" s="16"/>
      <c r="E22" s="2"/>
      <c r="F22" s="1"/>
      <c r="G22" s="2"/>
      <c r="H22" s="2"/>
      <c r="I22" s="2"/>
      <c r="J22" s="1"/>
      <c r="K22" s="2"/>
      <c r="L22" s="2"/>
      <c r="M22" s="2"/>
      <c r="N22" s="1"/>
      <c r="O22" s="2"/>
      <c r="P22" s="2"/>
    </row>
    <row r="23" spans="1:16" ht="15.75" x14ac:dyDescent="0.25">
      <c r="A23" s="10"/>
      <c r="B23" s="1"/>
      <c r="C23" s="2"/>
      <c r="D23" s="16"/>
      <c r="E23" s="2"/>
      <c r="F23" s="1"/>
      <c r="G23" s="2"/>
      <c r="H23" s="2"/>
      <c r="I23" s="2"/>
      <c r="J23" s="1"/>
      <c r="K23" s="2"/>
      <c r="L23" s="2"/>
      <c r="M23" s="2"/>
      <c r="N23" s="1"/>
      <c r="O23" s="2"/>
      <c r="P23" s="2"/>
    </row>
    <row r="24" spans="1:16" ht="15.75" x14ac:dyDescent="0.25">
      <c r="A24" s="11"/>
      <c r="B24" s="2"/>
      <c r="C24" s="2"/>
      <c r="D24" s="17"/>
      <c r="E24" s="9"/>
      <c r="F24" s="2"/>
      <c r="G24" s="13"/>
      <c r="H24" s="13"/>
      <c r="I24" s="9"/>
      <c r="J24" s="2"/>
      <c r="K24" s="13"/>
      <c r="L24" s="13"/>
      <c r="M24" s="9"/>
      <c r="N24" s="2"/>
      <c r="O24" s="13"/>
      <c r="P24" s="13"/>
    </row>
    <row r="25" spans="1:16" ht="15.75" x14ac:dyDescent="0.25">
      <c r="A25" s="12"/>
      <c r="B25" s="2"/>
      <c r="C25" s="2"/>
      <c r="D25" s="17"/>
      <c r="E25" s="9"/>
      <c r="F25" s="2"/>
      <c r="G25" s="13"/>
      <c r="H25" s="13"/>
      <c r="I25" s="9"/>
      <c r="J25" s="2"/>
      <c r="K25" s="13" t="s">
        <v>3</v>
      </c>
      <c r="L25" s="13"/>
      <c r="M25" s="9"/>
      <c r="N25" s="2"/>
      <c r="O25" s="13"/>
      <c r="P25" s="13"/>
    </row>
    <row r="26" spans="1:16" ht="15.75" x14ac:dyDescent="0.25">
      <c r="A26" s="10"/>
      <c r="B26" s="2"/>
      <c r="C26" s="2"/>
      <c r="D26" s="17"/>
      <c r="E26" s="9"/>
      <c r="F26" s="2"/>
      <c r="G26" s="13"/>
      <c r="H26" s="13"/>
      <c r="I26" s="9"/>
      <c r="J26" s="2"/>
      <c r="K26" s="13"/>
      <c r="L26" s="13"/>
      <c r="M26" s="9"/>
      <c r="N26" s="2"/>
      <c r="O26" s="13"/>
      <c r="P26" s="13"/>
    </row>
    <row r="27" spans="1:16" ht="15.75" x14ac:dyDescent="0.25">
      <c r="A27" s="10"/>
      <c r="B27" s="2"/>
      <c r="C27" s="2"/>
      <c r="D27" s="17"/>
      <c r="E27" s="9"/>
      <c r="F27" s="2"/>
      <c r="G27" s="13"/>
      <c r="H27" s="13"/>
      <c r="I27" s="9"/>
      <c r="J27" s="2"/>
      <c r="K27" s="13"/>
      <c r="L27" s="13"/>
      <c r="M27" s="9"/>
      <c r="N27" s="2"/>
      <c r="O27" s="13"/>
      <c r="P27" s="13"/>
    </row>
    <row r="28" spans="1:16" ht="15.75" x14ac:dyDescent="0.25">
      <c r="A28" s="10"/>
      <c r="B28" s="2"/>
      <c r="C28" s="2"/>
      <c r="D28" s="18"/>
      <c r="E28" s="9"/>
      <c r="F28" s="2"/>
      <c r="G28" s="9"/>
      <c r="H28" s="9"/>
      <c r="I28" s="9"/>
      <c r="J28" s="2"/>
      <c r="K28" s="9"/>
      <c r="L28" s="9"/>
      <c r="M28" s="9"/>
      <c r="N28" s="2"/>
      <c r="O28" s="9"/>
      <c r="P28" s="9"/>
    </row>
  </sheetData>
  <mergeCells count="1">
    <mergeCell ref="A1:P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06ac7d-c322-4bfe-b617-ef06d387d177">
      <Terms xmlns="http://schemas.microsoft.com/office/infopath/2007/PartnerControls"/>
    </lcf76f155ced4ddcb4097134ff3c332f>
    <TaxCatchAll xmlns="5730763b-7215-4ed6-8bb9-c13c86676fc2" xsi:nil="true"/>
    <_ip_UnifiedCompliancePolicyUIAction xmlns="http://schemas.microsoft.com/sharepoint/v3" xsi:nil="true"/>
    <_ip_UnifiedCompliancePolicyProperties xmlns="http://schemas.microsoft.com/sharepoint/v3" xsi:nil="true"/>
    <_dlc_DocId xmlns="5730763b-7215-4ed6-8bb9-c13c86676fc2">4M46DH3RNQFE-549379846-845418</_dlc_DocId>
    <_dlc_DocIdUrl xmlns="5730763b-7215-4ed6-8bb9-c13c86676fc2">
      <Url>https://flankspeed.sharepoint-mil.us/sites/NAVSUP_FLCN_C200_eFiles/_layouts/15/DocIdRedir.aspx?ID=4M46DH3RNQFE-549379846-845418</Url>
      <Description>4M46DH3RNQFE-549379846-845418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530DFAC5A464AB51274D2CF24C15D" ma:contentTypeVersion="25" ma:contentTypeDescription="Create a new document." ma:contentTypeScope="" ma:versionID="a279e61a34403a933d72cb9a79424c8a">
  <xsd:schema xmlns:xsd="http://www.w3.org/2001/XMLSchema" xmlns:xs="http://www.w3.org/2001/XMLSchema" xmlns:p="http://schemas.microsoft.com/office/2006/metadata/properties" xmlns:ns1="http://schemas.microsoft.com/sharepoint/v3" xmlns:ns2="5730763b-7215-4ed6-8bb9-c13c86676fc2" xmlns:ns3="0206ac7d-c322-4bfe-b617-ef06d387d177" targetNamespace="http://schemas.microsoft.com/office/2006/metadata/properties" ma:root="true" ma:fieldsID="69b0e8fc801a63a31fe32cf2cfeb84f0" ns1:_="" ns2:_="" ns3:_="">
    <xsd:import namespace="http://schemas.microsoft.com/sharepoint/v3"/>
    <xsd:import namespace="5730763b-7215-4ed6-8bb9-c13c86676fc2"/>
    <xsd:import namespace="0206ac7d-c322-4bfe-b617-ef06d387d17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0763b-7215-4ed6-8bb9-c13c86676fc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1" nillable="true" ma:displayName="Taxonomy Catch All Column" ma:hidden="true" ma:list="{001e0b25-0ed6-4ebf-aec9-2a83a76e26ef}" ma:internalName="TaxCatchAll" ma:showField="CatchAllData" ma:web="5730763b-7215-4ed6-8bb9-c13c86676f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ac7d-c322-4bfe-b617-ef06d387d1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D08DC5-1936-4E2B-A40B-BA378AD5E57E}">
  <ds:schemaRefs>
    <ds:schemaRef ds:uri="http://schemas.microsoft.com/office/2006/metadata/properties"/>
    <ds:schemaRef ds:uri="http://schemas.microsoft.com/office/infopath/2007/PartnerControls"/>
    <ds:schemaRef ds:uri="1fedecc4-d912-458a-b46c-9c9c6b9ea55c"/>
    <ds:schemaRef ds:uri="e21a17e6-2693-415e-94b4-91ffda23e744"/>
    <ds:schemaRef ds:uri="0206ac7d-c322-4bfe-b617-ef06d387d177"/>
    <ds:schemaRef ds:uri="5730763b-7215-4ed6-8bb9-c13c86676fc2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68314386-C7CE-454A-85FB-449EC50E88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30763b-7215-4ed6-8bb9-c13c86676fc2"/>
    <ds:schemaRef ds:uri="0206ac7d-c322-4bfe-b617-ef06d387d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CFC3A9-447F-45FC-8E35-7B839F55161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66778937-CE85-492B-8639-88D2C05C79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6bc4aa7-74d8-4250-baba-236cb8bab60a}" enabled="1" method="Standard" siteId="{c623816e-8448-4b03-a0b0-145b9dab7b91}" removed="0"/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Materials</vt:lpstr>
      <vt:lpstr>Base Year</vt:lpstr>
      <vt:lpstr>Option Year 1</vt:lpstr>
      <vt:lpstr>Option Year 2</vt:lpstr>
      <vt:lpstr>Option Year 3</vt:lpstr>
      <vt:lpstr>Option Year 4</vt:lpstr>
      <vt:lpstr>FAR 52.217-8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Mohney, Lorna D CIV USN NAVSUPFLC NOR VA (USA)</dc:creator>
  <cp:keywords/>
  <dc:description/>
  <cp:lastModifiedBy>Bowman, Zackery L CIV USN NAVSUP FLCN (USA)</cp:lastModifiedBy>
  <cp:revision/>
  <dcterms:created xsi:type="dcterms:W3CDTF">2024-03-06T22:36:44Z</dcterms:created>
  <dcterms:modified xsi:type="dcterms:W3CDTF">2026-04-14T12:40:02Z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0x010100F0A530DFAC5A464AB51274D2CF24C15D</vt:lpwstr>
  </property>
  <property fmtid="{D5CDD505-2E9C-101B-9397-08002B2CF9AE}" pid="3" name="MediaServiceImageTags">
    <vt:lpwstr/>
  </property>
  <property fmtid="{D5CDD505-2E9C-101B-9397-08002B2CF9AE}" pid="4" name="_dlc_DocIdItemGuid">
    <vt:lpwstr>7a9f715d-9f38-40de-bb6f-46a33d35d758</vt:lpwstr>
  </property>
</Properties>
</file>