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rmyeitaas.sharepoint-mil.us/teams/PdSAWSACC-RI/Shared Documents/General/NEW FY27 Contract/I. Pre-Award/B. Solicitation/B08. Draft Solicitation/"/>
    </mc:Choice>
  </mc:AlternateContent>
  <xr:revisionPtr revIDLastSave="1298" documentId="8_{1D06DEA7-C68B-437A-B7DE-75D559DD206B}" xr6:coauthVersionLast="47" xr6:coauthVersionMax="47" xr10:uidLastSave="{9A2ADB70-9BD8-49F7-8480-73F527632C43}"/>
  <bookViews>
    <workbookView xWindow="1380" yWindow="1545" windowWidth="22395" windowHeight="12510" firstSheet="1" activeTab="2" xr2:uid="{00000000-000D-0000-FFFF-FFFF00000000}"/>
  </bookViews>
  <sheets>
    <sheet name="Example Self-Score Instructions" sheetId="3" r:id="rId1"/>
    <sheet name="GO_NO-GO Gate" sheetId="4" r:id="rId2"/>
    <sheet name="Technical Matrix" sheetId="1" r:id="rId3"/>
    <sheet name="XLSX Data Elements" sheetId="5" r:id="rId4"/>
  </sheets>
  <definedNames>
    <definedName name="_xlnm.Print_Area" localSheetId="2">'Technical Matrix'!$B$1:$J$50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H48" i="1" l="1"/>
  <c r="H27" i="1"/>
  <c r="H28" i="1"/>
  <c r="H29" i="1"/>
  <c r="H30" i="1"/>
  <c r="H31" i="1"/>
  <c r="H26" i="1"/>
  <c r="H25" i="1"/>
  <c r="H23" i="1"/>
  <c r="H9" i="1" l="1"/>
  <c r="H43" i="1" l="1"/>
  <c r="H44" i="1"/>
  <c r="H45" i="1"/>
  <c r="H42" i="1"/>
  <c r="H21" i="1"/>
  <c r="H22" i="1"/>
  <c r="H34" i="1"/>
  <c r="H35" i="1"/>
  <c r="H36" i="1"/>
  <c r="H38" i="1"/>
  <c r="H39" i="1"/>
  <c r="H40" i="1"/>
  <c r="H14" i="1"/>
  <c r="H15" i="1"/>
  <c r="H16" i="1"/>
  <c r="H17" i="1"/>
  <c r="H18" i="1"/>
  <c r="H19" i="1"/>
  <c r="H8" i="1"/>
  <c r="H10" i="1"/>
  <c r="H11" i="1"/>
  <c r="H12" i="1"/>
  <c r="H7" i="1"/>
  <c r="D10" i="4" l="1"/>
  <c r="D7" i="4"/>
  <c r="D6" i="4"/>
  <c r="D8" i="4" l="1"/>
  <c r="H33" i="1" l="1"/>
  <c r="H4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5E272B-6B1E-4920-AE35-0EBA8E1FF2DA}" keepAlive="1" name="Query - Self-Score" description="Connection to the 'Self-Score' query in the workbook." type="5" refreshedVersion="0" background="1" saveData="1">
    <dbPr connection="Provider=Microsoft.Mashup.OleDb.1;Data Source=$Workbook$;Location=Self-Score;Extended Properties=&quot;&quot;" command="SELECT * FROM [Self-Score]"/>
  </connection>
</connections>
</file>

<file path=xl/sharedStrings.xml><?xml version="1.0" encoding="utf-8"?>
<sst xmlns="http://schemas.openxmlformats.org/spreadsheetml/2006/main" count="151" uniqueCount="89">
  <si>
    <t>HTRO Scoring Matrix Instructions</t>
  </si>
  <si>
    <t>Total Number of Points Available: TBD</t>
  </si>
  <si>
    <t xml:space="preserve">Minimum Technical Rating Threshold (MTTR): </t>
  </si>
  <si>
    <t>TBD</t>
  </si>
  <si>
    <r>
      <t>1.</t>
    </r>
    <r>
      <rPr>
        <b/>
        <sz val="12"/>
        <color theme="1"/>
        <rFont val="Arial"/>
        <family val="2"/>
      </rPr>
      <t xml:space="preserve"> Factor 1</t>
    </r>
    <r>
      <rPr>
        <sz val="12"/>
        <color theme="1"/>
        <rFont val="Arial"/>
        <family val="2"/>
      </rPr>
      <t>: Offeror will input Company Name in cell B4.</t>
    </r>
  </si>
  <si>
    <r>
      <t xml:space="preserve">2. </t>
    </r>
    <r>
      <rPr>
        <b/>
        <sz val="12"/>
        <color theme="1"/>
        <rFont val="Arial"/>
        <family val="2"/>
      </rPr>
      <t>Factor 1</t>
    </r>
    <r>
      <rPr>
        <sz val="12"/>
        <color theme="1"/>
        <rFont val="Arial"/>
        <family val="2"/>
      </rPr>
      <t xml:space="preserve">: Offeror will indicate if they have (Yes)/have not (No) had xxxxxxx by using the drop down menu in Column C. </t>
    </r>
  </si>
  <si>
    <r>
      <t>3.</t>
    </r>
    <r>
      <rPr>
        <b/>
        <sz val="12"/>
        <color theme="1"/>
        <rFont val="Arial"/>
        <family val="2"/>
      </rPr>
      <t xml:space="preserve"> Factor 2</t>
    </r>
    <r>
      <rPr>
        <sz val="12"/>
        <color theme="1"/>
        <rFont val="Arial"/>
        <family val="2"/>
      </rPr>
      <t>: Offeror will input Company Name in cell B3.</t>
    </r>
  </si>
  <si>
    <r>
      <t xml:space="preserve">4. </t>
    </r>
    <r>
      <rPr>
        <b/>
        <sz val="12"/>
        <color theme="1"/>
        <rFont val="Arial"/>
        <family val="2"/>
      </rPr>
      <t>Factor 2:</t>
    </r>
    <r>
      <rPr>
        <sz val="12"/>
        <color theme="1"/>
        <rFont val="Arial"/>
        <family val="2"/>
      </rPr>
      <t xml:space="preserve"> Offeror will utilize Column D ("</t>
    </r>
    <r>
      <rPr>
        <sz val="12"/>
        <color rgb="FF0000FF"/>
        <rFont val="Arial"/>
        <family val="2"/>
      </rPr>
      <t>Quantity Submitted</t>
    </r>
    <r>
      <rPr>
        <sz val="12"/>
        <color theme="1"/>
        <rFont val="Arial"/>
        <family val="2"/>
      </rPr>
      <t>") to input artifacts for their Self-Score for the Evaluation Categories listed in column B.</t>
    </r>
  </si>
  <si>
    <r>
      <t xml:space="preserve">5. </t>
    </r>
    <r>
      <rPr>
        <b/>
        <sz val="12"/>
        <color theme="1"/>
        <rFont val="Arial"/>
        <family val="2"/>
      </rPr>
      <t xml:space="preserve">Factor 2: </t>
    </r>
    <r>
      <rPr>
        <sz val="12"/>
        <color theme="1"/>
        <rFont val="Arial"/>
        <family val="2"/>
      </rPr>
      <t>Evaluation Categories where the Offeror cannot demonstrate experience shall be loaded with zero (0) and the Offeror will receive zero (0) points.</t>
    </r>
  </si>
  <si>
    <r>
      <t xml:space="preserve">6. </t>
    </r>
    <r>
      <rPr>
        <b/>
        <sz val="12"/>
        <color theme="1"/>
        <rFont val="Arial"/>
        <family val="2"/>
      </rPr>
      <t>Factor 2:</t>
    </r>
    <r>
      <rPr>
        <sz val="12"/>
        <color theme="1"/>
        <rFont val="Arial"/>
        <family val="2"/>
      </rPr>
      <t xml:space="preserve"> Once all scores have been input,</t>
    </r>
    <r>
      <rPr>
        <sz val="12"/>
        <color rgb="FFFF0000"/>
        <rFont val="Arial"/>
        <family val="2"/>
      </rPr>
      <t xml:space="preserve"> cell G58</t>
    </r>
    <r>
      <rPr>
        <sz val="12"/>
        <color theme="1"/>
        <rFont val="Arial"/>
        <family val="2"/>
      </rPr>
      <t xml:space="preserve"> will show the Offeror's Self-Score Total. The cell will show</t>
    </r>
    <r>
      <rPr>
        <sz val="12"/>
        <color rgb="FFFF0000"/>
        <rFont val="Arial"/>
        <family val="2"/>
      </rPr>
      <t xml:space="preserve"> red</t>
    </r>
    <r>
      <rPr>
        <sz val="12"/>
        <color theme="1"/>
        <rFont val="Arial"/>
        <family val="2"/>
      </rPr>
      <t xml:space="preserve"> if the Offeror has not met the MTTR or will show </t>
    </r>
    <r>
      <rPr>
        <sz val="12"/>
        <color theme="9"/>
        <rFont val="Arial"/>
        <family val="2"/>
      </rPr>
      <t>green</t>
    </r>
    <r>
      <rPr>
        <sz val="12"/>
        <color theme="1"/>
        <rFont val="Arial"/>
        <family val="2"/>
      </rPr>
      <t xml:space="preserve"> if the Offeror has met the MTTR. </t>
    </r>
  </si>
  <si>
    <t xml:space="preserve">Offeror Name: </t>
  </si>
  <si>
    <t xml:space="preserve">Answer </t>
  </si>
  <si>
    <t xml:space="preserve">Pass </t>
  </si>
  <si>
    <t>Yes</t>
  </si>
  <si>
    <t>Sec L Ref</t>
  </si>
  <si>
    <t>Quantity Limit</t>
  </si>
  <si>
    <t>Point Value Each</t>
  </si>
  <si>
    <t>Offeror's Raw Score</t>
  </si>
  <si>
    <t>L-3.x.x.x</t>
  </si>
  <si>
    <t>Points Available</t>
  </si>
  <si>
    <t>MTTR</t>
  </si>
  <si>
    <t>For the tables and drop downs</t>
  </si>
  <si>
    <t xml:space="preserve">Go - NoGo Table </t>
  </si>
  <si>
    <t>HTRO Self-Score Matrix</t>
  </si>
  <si>
    <t>No longer used</t>
  </si>
  <si>
    <t>No</t>
  </si>
  <si>
    <t>Offeror's Response</t>
  </si>
  <si>
    <t>Offeror's Self-Score Total</t>
  </si>
  <si>
    <t>Maximum Possible Points</t>
  </si>
  <si>
    <r>
      <rPr>
        <b/>
        <sz val="14"/>
        <color rgb="FF0000FF"/>
        <rFont val="Arial"/>
        <family val="2"/>
      </rPr>
      <t>80%</t>
    </r>
    <r>
      <rPr>
        <b/>
        <sz val="14"/>
        <color theme="1"/>
        <rFont val="Arial"/>
        <family val="2"/>
      </rPr>
      <t xml:space="preserve"> of Possible</t>
    </r>
  </si>
  <si>
    <t>Do you have an active System for Award Management (SAM) registration (with corresponding Commercial and Government Entity (CAGE) Code and Unique Entity Identifier (UEI) Number)?</t>
  </si>
  <si>
    <t xml:space="preserve">2.a.1:  Provide historical, approved, and signed EUCs from past or current contracts. Identify the FSC code each delivery represents.  </t>
  </si>
  <si>
    <t xml:space="preserve">3.a.1:  Provide historical, approved, and signed Export Licenses from past or current contracts. Identify the FSC code each delivery represents. </t>
  </si>
  <si>
    <t>up to 10</t>
  </si>
  <si>
    <t>Category 2.  Demonstrate your ability to obtain End User Certificates (EUCs)</t>
  </si>
  <si>
    <t>Category 5.  Demonstrate your ability to complete Technical Data Packages (TDPs)</t>
  </si>
  <si>
    <t>Category 6.  Demonstrate your ability to complete Lot Acceptance Tests (LATs)</t>
  </si>
  <si>
    <t>2.a.2:  Number of different foreign countries. (Based on submissions for 2.a.1. No additional documentation required)</t>
  </si>
  <si>
    <t>1.b.2:  Number of different foreign manufacturers. (Based on submissions for 1.b.1. No additional documentation required)</t>
  </si>
  <si>
    <t>2.b.2:  Number of different foreign countries. (Based on submissions for 2.b.1. No additional documentation required)</t>
  </si>
  <si>
    <t>Category 3.  Demonstrate your ability to obtain Export Licenses</t>
  </si>
  <si>
    <t>3.a.2:  Number of different foreign countries. (Based on submissions for 3.a.1. No additional documentation required)</t>
  </si>
  <si>
    <t>up to 5</t>
  </si>
  <si>
    <t>up to 4</t>
  </si>
  <si>
    <t>6.a.2:  Number of foreign test sites. (Based on submissions for 6.a.1. No additional documentation required)</t>
  </si>
  <si>
    <t>up to 6</t>
  </si>
  <si>
    <t>up to 7</t>
  </si>
  <si>
    <t>up to 1</t>
  </si>
  <si>
    <t>5.a.2:  Documentation illustrates different types of ammunition and/or components with energetics. Score based on the number of different FSC codes. (Based on submissions for 5.a.1. No additional documentation required)</t>
  </si>
  <si>
    <t>5.b.2:  Documentation illustrates different types of ammunition and/or components with energetics. Score based on the number of different FSC codes. (Based on submissions for 5.b.1. No additional documentation required)</t>
  </si>
  <si>
    <t>6.a.3:  Documentation illustrates different types of ammuniton and/or component with energetics. Score based on the number of different FSC codes. (Based on submissions for 6.a.1. No additional documentation required)</t>
  </si>
  <si>
    <t>1.b.3:  Documentation illustrates different types of ammunition and/or components with energetics. Score based on the number of different FSC codes. (Based on submissions for 1.b.1. No additional documentation required)</t>
  </si>
  <si>
    <t>Possible total of the Categories</t>
  </si>
  <si>
    <t>1.a.3:  Documentation illustrates different types of ammunition and/or components with energetics. Score based on the number of different FSC codes. (Based on submissions for 1.a.1. No additional documentation required)</t>
  </si>
  <si>
    <t>1.a.2:  Number of different foreign manufacturers. (Based on submissions for 1.a.1. No additional documentation required)</t>
  </si>
  <si>
    <t>Are you currently registered with the U.S. Department of State Directorate of Defense Trade Controls (DDTC)?</t>
  </si>
  <si>
    <t xml:space="preserve">1.b.1:  Provide prospective Letters of Commitment (LoC) from foreign or U.S. ammunition and/or components with energetics manufacturers for prospective contracts. Identify the FSC code each delivery represents.  </t>
  </si>
  <si>
    <t xml:space="preserve">2.b.1:  Provide prospective or draft EUCs for prospective contracts. Identify the FSC code each delivery represents. </t>
  </si>
  <si>
    <t>Do you have a current Federal Firearms License (FFL) Type 11– Importer of Destructive Devices, Ammunition for Destructive Devices or Armor Piercing Ammunition?</t>
  </si>
  <si>
    <t>Documentation must be dated and remain valid from January 01, 2019, onward</t>
  </si>
  <si>
    <t xml:space="preserve">5.a.1:  Provide USG-approved TDPs developed from ammunition and/or components with energetics manufacturers. Identify the FSC code each TDP represents. </t>
  </si>
  <si>
    <t>Category 1.  Demonstrate your ability to source and deliver munitions and/or components with energetics.</t>
  </si>
  <si>
    <t xml:space="preserve">STOP HERE.  If Offeror did not PASS any questions in STEP 1 Rows 6, 7, 8, 9, or 10, Offeror may NOT submit a proposal. </t>
  </si>
  <si>
    <t xml:space="preserve"> If Offeror DID PASS all questions in Factor 1 Rows 6, 7, 8,  9, and 10, Offeror may submit a proposal and proceed to Step 2. </t>
  </si>
  <si>
    <r>
      <rPr>
        <b/>
        <sz val="12"/>
        <color theme="1"/>
        <rFont val="Arial"/>
        <family val="2"/>
      </rPr>
      <t>NOTE:</t>
    </r>
    <r>
      <rPr>
        <sz val="12"/>
        <color theme="1"/>
        <rFont val="Arial"/>
        <family val="2"/>
      </rPr>
      <t xml:space="preserve"> Only Offerors who have met or exceeded the MTTR will be considered for award. </t>
    </r>
  </si>
  <si>
    <t>Can you provide the required acknowledgement for Certification of Compliance (Attachment XXXX) for Prohibited Sources, and do you agree that you will not use any of the prohibited sources?</t>
  </si>
  <si>
    <t>3.a.3:  Documentation illustrates different types of ammunition and/or components with energetics. Score based on the number of different FSC codes. (Based on submissions for 3.a.1. No additional documentation required)</t>
  </si>
  <si>
    <t>2.b.3  Documentation illustrates different types of ammunition and/or components with energetics. Score based on the number of different FSC codes. (Based on submissions for 2.b.1. No additional documentation required)</t>
  </si>
  <si>
    <t>2.a.3:  Documentation illustrates different types of ammunition and/or components with energetics. Score based on the number of different FSC codes. (Based on submissions for 2.a.1. No additional documentation required)</t>
  </si>
  <si>
    <t>Category 4.  Demonstrate your ability to complete transport of Arms, Ammunition &amp; Explosives (AA&amp;E)</t>
  </si>
  <si>
    <t>Category 7.  USG contract or contract with U.S. Prime Contractor for Arms, Ammunition, or Explosives.</t>
  </si>
  <si>
    <t xml:space="preserve">4.a.1:  Provide executed Transportation Plans to, from, or between foreign countries supporting the transport of AA&amp;E. </t>
  </si>
  <si>
    <t>4.b.1:  Provide prospective Transportation Plans to, from, or between foreign countries supporting the transport of AA&amp;E.</t>
  </si>
  <si>
    <t>HTRO SELF-SCORING MATRIX (ATTACHMENT 0008)</t>
  </si>
  <si>
    <t xml:space="preserve">Factor 1 HTRO GO/NO-GO Gate </t>
  </si>
  <si>
    <t>Factor 2 HTRO Technical Matrix</t>
  </si>
  <si>
    <t>4.a.2:  Number of different countries shipped from (origin) or shipped to (destination). (Based on submissions for 4.a.1. No additional documentation required)</t>
  </si>
  <si>
    <t>4.a.3:  Number of transportation modes. (Based on submissions for 4.a.1. No additional documentation required)</t>
  </si>
  <si>
    <t xml:space="preserve">4.a.4:  Use of U.S.-Flag Vessels or use of U.S.-Flag Vessel Waiver. (Based on submissions for 4.a.1. No additional documentation required) </t>
  </si>
  <si>
    <t xml:space="preserve">4.b.2:  Number of different countries shipped from (origin) or shipped to (destination). (Based on submissions for 4.b.1. No additional documentation required) </t>
  </si>
  <si>
    <t xml:space="preserve">4.b.3:  Number of transportation modes. (Based on submissions for 4.b.1. No additional documentation required) </t>
  </si>
  <si>
    <t xml:space="preserve">1.a.1:  Provide delivery verification for energetics-based end items or components. This applies to Primes/Subs/Manufacturers supporting USG direct contracts or companies delivering to U.S. Prime Contractors.  Identify the Federal Supply Class (FSC) code each delivery represents.  </t>
  </si>
  <si>
    <t xml:space="preserve">6.a.1:  Provide approved Lot Acceptance Test Reports (LATRs) that demonstrate acceptance of ammunition and/or components with energetics production on a USG contract or a contract with a U.S. Prime Contractor. This applies to Primes/Subs/Manufacturers supporting USG direct contracts or companies delivering to U.S. Prime Contractors.  </t>
  </si>
  <si>
    <t>5.b.1:  Provide other North Atlantic Treaty Organization (NATO) approved TDPs from ammunition and/or components with energetics manufacturers. Identify the FSC code each TDP represents.</t>
  </si>
  <si>
    <t>7.a: Prime Contractor on contract over $250M</t>
  </si>
  <si>
    <t>7.b: Prime Contractor on contract valued between $50M and $249M</t>
  </si>
  <si>
    <t>7.d: Subcontractor on contract valued between $50M and $249M</t>
  </si>
  <si>
    <t>7.c: Subcontractor value over $250M</t>
  </si>
  <si>
    <t>Have you performed as a Prime Contractor or a Subcontractor on an Arms, Ammunition &amp; Explosive (AA&amp;E) contract from January 01, 2019 to present?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</si>
</sst>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6"/>
      <color rgb="FF0000FF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rgb="FF00B050"/>
      <name val="Arial"/>
      <family val="2"/>
    </font>
    <font>
      <sz val="12"/>
      <color rgb="FFFF0000"/>
      <name val="Arial"/>
      <family val="2"/>
    </font>
    <font>
      <sz val="12"/>
      <color theme="9"/>
      <name val="Arial"/>
      <family val="2"/>
    </font>
    <font>
      <b/>
      <sz val="16"/>
      <color rgb="FFFF0000"/>
      <name val="Arial"/>
      <family val="2"/>
    </font>
    <font>
      <sz val="8"/>
      <name val="Calibri"/>
      <family val="2"/>
      <scheme val="minor"/>
    </font>
    <font>
      <sz val="12"/>
      <color rgb="FF0000FF"/>
      <name val="Arial"/>
      <family val="2"/>
    </font>
    <font>
      <sz val="11"/>
      <color theme="7" tint="-0.499984740745262"/>
      <name val="Calibri"/>
      <family val="2"/>
      <scheme val="minor"/>
    </font>
    <font>
      <b/>
      <sz val="14"/>
      <color rgb="FF0000FF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7" tint="-0.499984740745262"/>
      <name val="Arial"/>
      <family val="2"/>
    </font>
    <font>
      <b/>
      <sz val="14"/>
      <color theme="5" tint="-0.499984740745262"/>
      <name val="Arial"/>
      <family val="2"/>
    </font>
    <font>
      <sz val="14"/>
      <color rgb="FF0000FF"/>
      <name val="Arial"/>
      <family val="2"/>
    </font>
    <font>
      <sz val="14"/>
      <color theme="7" tint="-0.499984740745262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theme="5" tint="-0.249977111117893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7" tint="-0.499984740745262"/>
      <name val="Arial"/>
      <family val="2"/>
    </font>
    <font>
      <b/>
      <sz val="16"/>
      <name val="Arial"/>
      <family val="2"/>
    </font>
    <font>
      <sz val="14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gray0625">
        <bgColor theme="0" tint="-0.14996795556505021"/>
      </patternFill>
    </fill>
    <fill>
      <patternFill patternType="gray0625">
        <bgColor theme="0" tint="-0.14993743705557422"/>
      </patternFill>
    </fill>
    <fill>
      <patternFill patternType="gray0625"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24" xfId="0" applyFont="1" applyBorder="1" applyAlignment="1">
      <alignment vertical="center"/>
    </xf>
    <xf numFmtId="0" fontId="4" fillId="3" borderId="24" xfId="0" applyFont="1" applyFill="1" applyBorder="1" applyAlignment="1">
      <alignment horizontal="left" vertical="center" wrapText="1"/>
    </xf>
    <xf numFmtId="0" fontId="4" fillId="3" borderId="26" xfId="0" applyFont="1" applyFill="1" applyBorder="1" applyAlignment="1">
      <alignment horizontal="left" vertical="center" wrapText="1"/>
    </xf>
    <xf numFmtId="0" fontId="5" fillId="0" borderId="0" xfId="0" applyFont="1"/>
    <xf numFmtId="1" fontId="5" fillId="0" borderId="0" xfId="0" applyNumberFormat="1" applyFont="1"/>
    <xf numFmtId="0" fontId="5" fillId="0" borderId="0" xfId="0" applyFont="1" applyProtection="1">
      <protection locked="0"/>
    </xf>
    <xf numFmtId="0" fontId="4" fillId="0" borderId="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0" xfId="0" applyFont="1"/>
    <xf numFmtId="0" fontId="0" fillId="0" borderId="0" xfId="0" applyAlignment="1">
      <alignment vertical="center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5" fillId="0" borderId="25" xfId="0" applyFont="1" applyBorder="1" applyAlignment="1">
      <alignment horizontal="center" vertical="center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4" fillId="0" borderId="28" xfId="0" applyFont="1" applyBorder="1" applyAlignment="1">
      <alignment vertical="center"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17" fillId="0" borderId="0" xfId="0" applyFont="1"/>
    <xf numFmtId="0" fontId="18" fillId="0" borderId="0" xfId="0" applyFont="1" applyAlignment="1">
      <alignment vertical="center" wrapText="1"/>
    </xf>
    <xf numFmtId="0" fontId="19" fillId="0" borderId="50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50" xfId="0" applyFont="1" applyBorder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1" fontId="16" fillId="0" borderId="0" xfId="0" applyNumberFormat="1" applyFont="1"/>
    <xf numFmtId="0" fontId="23" fillId="0" borderId="0" xfId="0" applyFont="1"/>
    <xf numFmtId="0" fontId="22" fillId="0" borderId="3" xfId="0" applyFont="1" applyBorder="1"/>
    <xf numFmtId="0" fontId="22" fillId="0" borderId="0" xfId="0" applyFont="1"/>
    <xf numFmtId="0" fontId="22" fillId="0" borderId="36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1" fillId="11" borderId="3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4" fillId="0" borderId="0" xfId="0" applyFont="1"/>
    <xf numFmtId="0" fontId="11" fillId="0" borderId="0" xfId="0" applyFont="1"/>
    <xf numFmtId="0" fontId="2" fillId="6" borderId="18" xfId="0" applyFont="1" applyFill="1" applyBorder="1" applyAlignment="1">
      <alignment horizontal="left" vertical="center" wrapText="1"/>
    </xf>
    <xf numFmtId="0" fontId="2" fillId="8" borderId="30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left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40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left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/>
    </xf>
    <xf numFmtId="0" fontId="22" fillId="4" borderId="32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" fillId="9" borderId="30" xfId="0" applyFont="1" applyFill="1" applyBorder="1" applyAlignment="1">
      <alignment horizontal="center" vertical="center"/>
    </xf>
    <xf numFmtId="0" fontId="2" fillId="9" borderId="31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2" fillId="9" borderId="37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/>
    </xf>
    <xf numFmtId="0" fontId="22" fillId="4" borderId="40" xfId="0" applyFont="1" applyFill="1" applyBorder="1" applyAlignment="1">
      <alignment horizontal="center" vertical="center"/>
    </xf>
    <xf numFmtId="0" fontId="2" fillId="10" borderId="30" xfId="0" applyFont="1" applyFill="1" applyBorder="1" applyAlignment="1">
      <alignment horizontal="center" vertical="center"/>
    </xf>
    <xf numFmtId="0" fontId="2" fillId="10" borderId="31" xfId="0" applyFont="1" applyFill="1" applyBorder="1" applyAlignment="1">
      <alignment horizontal="center" vertical="center"/>
    </xf>
    <xf numFmtId="0" fontId="2" fillId="10" borderId="38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22" fillId="4" borderId="32" xfId="0" applyFont="1" applyFill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2" fillId="10" borderId="35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/>
    </xf>
    <xf numFmtId="0" fontId="25" fillId="5" borderId="11" xfId="0" applyFont="1" applyFill="1" applyBorder="1" applyAlignment="1">
      <alignment horizontal="left" vertical="center" wrapText="1"/>
    </xf>
    <xf numFmtId="0" fontId="25" fillId="5" borderId="12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/>
    </xf>
    <xf numFmtId="0" fontId="25" fillId="5" borderId="45" xfId="0" applyFont="1" applyFill="1" applyBorder="1" applyAlignment="1">
      <alignment horizontal="center" vertical="center"/>
    </xf>
    <xf numFmtId="0" fontId="22" fillId="5" borderId="44" xfId="0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3" fontId="11" fillId="0" borderId="0" xfId="0" applyNumberFormat="1" applyFont="1" applyAlignment="1">
      <alignment horizontal="left" vertical="center"/>
    </xf>
    <xf numFmtId="0" fontId="22" fillId="2" borderId="48" xfId="0" applyFont="1" applyFill="1" applyBorder="1" applyAlignment="1">
      <alignment horizontal="center" vertical="center"/>
    </xf>
    <xf numFmtId="0" fontId="26" fillId="0" borderId="0" xfId="0" applyFont="1"/>
    <xf numFmtId="0" fontId="22" fillId="0" borderId="8" xfId="0" applyFont="1" applyBorder="1" applyAlignment="1">
      <alignment horizontal="center" vertical="center" wrapText="1"/>
    </xf>
    <xf numFmtId="0" fontId="22" fillId="12" borderId="49" xfId="0" applyFont="1" applyFill="1" applyBorder="1" applyAlignment="1">
      <alignment horizontal="center" vertical="center"/>
    </xf>
    <xf numFmtId="0" fontId="27" fillId="0" borderId="0" xfId="0" applyFont="1" applyAlignment="1">
      <alignment vertical="center" wrapText="1"/>
    </xf>
    <xf numFmtId="0" fontId="22" fillId="2" borderId="8" xfId="0" applyFont="1" applyFill="1" applyBorder="1" applyAlignment="1">
      <alignment vertical="center" wrapText="1"/>
    </xf>
    <xf numFmtId="0" fontId="22" fillId="4" borderId="8" xfId="0" applyFont="1" applyFill="1" applyBorder="1" applyAlignment="1">
      <alignment vertical="center" wrapText="1"/>
    </xf>
    <xf numFmtId="0" fontId="25" fillId="4" borderId="8" xfId="0" applyFont="1" applyFill="1" applyBorder="1" applyAlignment="1">
      <alignment horizontal="left" vertical="center" wrapText="1"/>
    </xf>
    <xf numFmtId="0" fontId="28" fillId="7" borderId="8" xfId="0" applyFont="1" applyFill="1" applyBorder="1" applyAlignment="1">
      <alignment vertical="center" wrapText="1"/>
    </xf>
    <xf numFmtId="1" fontId="1" fillId="11" borderId="6" xfId="0" applyNumberFormat="1" applyFont="1" applyFill="1" applyBorder="1" applyAlignment="1" applyProtection="1">
      <alignment horizontal="center" vertical="center" wrapText="1"/>
      <protection locked="0"/>
    </xf>
    <xf numFmtId="1" fontId="1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wrapText="1"/>
    </xf>
    <xf numFmtId="0" fontId="2" fillId="8" borderId="51" xfId="0" applyFont="1" applyFill="1" applyBorder="1" applyAlignment="1">
      <alignment horizontal="center" vertical="center" wrapText="1"/>
    </xf>
    <xf numFmtId="0" fontId="2" fillId="8" borderId="52" xfId="0" applyFont="1" applyFill="1" applyBorder="1" applyAlignment="1">
      <alignment horizontal="center" vertical="center" wrapText="1"/>
    </xf>
    <xf numFmtId="0" fontId="2" fillId="10" borderId="43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horizontal="left" vertical="center"/>
    </xf>
    <xf numFmtId="0" fontId="2" fillId="0" borderId="54" xfId="0" applyFont="1" applyBorder="1" applyAlignment="1">
      <alignment horizontal="left" vertical="center"/>
    </xf>
    <xf numFmtId="0" fontId="25" fillId="2" borderId="8" xfId="0" applyFont="1" applyFill="1" applyBorder="1" applyAlignment="1">
      <alignment horizontal="left" vertical="center" wrapText="1"/>
    </xf>
    <xf numFmtId="1" fontId="1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/>
    <xf numFmtId="0" fontId="0" fillId="0" borderId="0" xfId="0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 vertical="top" wrapText="1"/>
    </xf>
    <xf numFmtId="0" fontId="2" fillId="0" borderId="19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3" fillId="2" borderId="21" xfId="0" applyFont="1" applyFill="1" applyBorder="1" applyAlignment="1" applyProtection="1">
      <alignment vertical="center"/>
      <protection locked="0"/>
    </xf>
    <xf numFmtId="0" fontId="3" fillId="2" borderId="22" xfId="0" applyFont="1" applyFill="1" applyBorder="1" applyAlignment="1" applyProtection="1">
      <alignment vertical="center"/>
      <protection locked="0"/>
    </xf>
    <xf numFmtId="0" fontId="3" fillId="2" borderId="23" xfId="0" applyFont="1" applyFill="1" applyBorder="1" applyAlignment="1" applyProtection="1">
      <alignment vertical="center"/>
      <protection locked="0"/>
    </xf>
    <xf numFmtId="0" fontId="22" fillId="12" borderId="17" xfId="0" applyFont="1" applyFill="1" applyBorder="1" applyAlignment="1">
      <alignment horizontal="center" vertical="center"/>
    </xf>
    <xf numFmtId="0" fontId="22" fillId="12" borderId="47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6" fillId="0" borderId="5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9" fontId="6" fillId="0" borderId="50" xfId="0" applyNumberFormat="1" applyFont="1" applyBorder="1" applyAlignment="1">
      <alignment horizontal="left" vertical="center"/>
    </xf>
    <xf numFmtId="9" fontId="6" fillId="0" borderId="0" xfId="0" applyNumberFormat="1" applyFont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46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" fillId="11" borderId="1" xfId="0" applyFont="1" applyFill="1" applyBorder="1" applyAlignment="1" applyProtection="1">
      <alignment vertical="center"/>
      <protection locked="0"/>
    </xf>
    <xf numFmtId="0" fontId="2" fillId="13" borderId="36" xfId="0" applyFont="1" applyFill="1" applyBorder="1" applyAlignment="1">
      <alignment horizontal="center" vertical="center" wrapText="1"/>
    </xf>
    <xf numFmtId="0" fontId="22" fillId="13" borderId="4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CC"/>
      <color rgb="FFD60093"/>
      <color rgb="FFCCECFF"/>
      <color rgb="FFFF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DE51-29B3-4D20-BE29-A697E40C2D87}">
  <sheetPr>
    <pageSetUpPr fitToPage="1"/>
  </sheetPr>
  <dimension ref="A1:Q13"/>
  <sheetViews>
    <sheetView workbookViewId="0">
      <selection activeCell="J18" sqref="J18"/>
    </sheetView>
  </sheetViews>
  <sheetFormatPr defaultRowHeight="15" x14ac:dyDescent="0.25"/>
  <cols>
    <col min="1" max="1" width="20.7109375" customWidth="1"/>
    <col min="2" max="2" width="50.7109375" customWidth="1"/>
    <col min="3" max="3" width="20.7109375" customWidth="1"/>
    <col min="4" max="12" width="10.7109375" customWidth="1"/>
  </cols>
  <sheetData>
    <row r="1" spans="1:17" ht="18" x14ac:dyDescent="0.25">
      <c r="A1" s="115" t="s">
        <v>0</v>
      </c>
      <c r="B1" s="115"/>
      <c r="C1" s="115"/>
      <c r="D1" s="115"/>
      <c r="E1" s="115"/>
      <c r="F1" s="115"/>
      <c r="G1" s="115"/>
    </row>
    <row r="2" spans="1:17" ht="47.25" x14ac:dyDescent="0.25">
      <c r="A2" s="2" t="s">
        <v>1</v>
      </c>
      <c r="B2" s="2" t="s">
        <v>2</v>
      </c>
      <c r="C2" s="3" t="s">
        <v>3</v>
      </c>
      <c r="D2" s="4"/>
      <c r="E2" s="4"/>
      <c r="F2" s="4"/>
      <c r="G2" s="4"/>
    </row>
    <row r="3" spans="1:17" x14ac:dyDescent="0.25">
      <c r="A3" s="4"/>
      <c r="B3" s="4"/>
      <c r="C3" s="4"/>
      <c r="D3" s="4"/>
      <c r="E3" s="4"/>
      <c r="F3" s="4"/>
      <c r="G3" s="4"/>
    </row>
    <row r="4" spans="1:17" ht="15.75" x14ac:dyDescent="0.25">
      <c r="A4" s="112" t="s">
        <v>4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</row>
    <row r="5" spans="1:17" ht="15.75" x14ac:dyDescent="0.25">
      <c r="A5" s="114" t="s">
        <v>5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</row>
    <row r="6" spans="1:17" ht="15.75" x14ac:dyDescent="0.25">
      <c r="A6" s="116" t="s">
        <v>62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ht="15.75" x14ac:dyDescent="0.25">
      <c r="A7" s="117" t="s">
        <v>63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</row>
    <row r="8" spans="1:17" ht="15.75" x14ac:dyDescent="0.25">
      <c r="A8" s="112" t="s">
        <v>6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</row>
    <row r="9" spans="1:17" ht="15.75" x14ac:dyDescent="0.25">
      <c r="A9" s="112" t="s">
        <v>7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</row>
    <row r="10" spans="1:17" ht="15.75" x14ac:dyDescent="0.25">
      <c r="A10" s="112" t="s">
        <v>8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15.75" x14ac:dyDescent="0.25">
      <c r="A11" s="8" t="s">
        <v>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ht="15.7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ht="15.75" x14ac:dyDescent="0.25">
      <c r="A13" s="114" t="s">
        <v>64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</row>
  </sheetData>
  <mergeCells count="9">
    <mergeCell ref="A9:Q9"/>
    <mergeCell ref="A10:Q10"/>
    <mergeCell ref="A13:Q13"/>
    <mergeCell ref="A1:G1"/>
    <mergeCell ref="A4:Q4"/>
    <mergeCell ref="A5:Q5"/>
    <mergeCell ref="A6:Q6"/>
    <mergeCell ref="A7:Q7"/>
    <mergeCell ref="A8:Q8"/>
  </mergeCells>
  <pageMargins left="0.7" right="0.7" top="0.75" bottom="0.75" header="0.3" footer="0.3"/>
  <pageSetup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2DB6-C855-4A38-9C00-0D3A5CDB6B57}">
  <dimension ref="B2:K11"/>
  <sheetViews>
    <sheetView zoomScale="80" zoomScaleNormal="80" workbookViewId="0">
      <selection activeCell="B14" sqref="B14"/>
    </sheetView>
  </sheetViews>
  <sheetFormatPr defaultRowHeight="15" x14ac:dyDescent="0.25"/>
  <cols>
    <col min="1" max="1" width="12.7109375" customWidth="1"/>
    <col min="2" max="2" width="82.7109375" customWidth="1"/>
    <col min="3" max="10" width="10.7109375" customWidth="1"/>
  </cols>
  <sheetData>
    <row r="2" spans="2:11" ht="20.25" x14ac:dyDescent="0.25">
      <c r="B2" s="118"/>
      <c r="C2" s="118"/>
      <c r="D2" s="118"/>
    </row>
    <row r="3" spans="2:11" ht="21" thickBot="1" x14ac:dyDescent="0.3">
      <c r="B3" s="119" t="s">
        <v>74</v>
      </c>
      <c r="C3" s="120"/>
      <c r="D3" s="121"/>
    </row>
    <row r="4" spans="2:11" ht="15.75" x14ac:dyDescent="0.25">
      <c r="B4" s="122" t="s">
        <v>10</v>
      </c>
      <c r="C4" s="123"/>
      <c r="D4" s="124"/>
    </row>
    <row r="5" spans="2:11" ht="15.75" x14ac:dyDescent="0.25">
      <c r="B5" s="5"/>
      <c r="C5" s="11" t="s">
        <v>11</v>
      </c>
      <c r="D5" s="12" t="s">
        <v>12</v>
      </c>
      <c r="F5" s="14"/>
      <c r="G5" s="14"/>
      <c r="H5" s="15"/>
      <c r="I5" s="15"/>
      <c r="J5" s="15"/>
      <c r="K5" s="15"/>
    </row>
    <row r="6" spans="2:11" ht="28.5" x14ac:dyDescent="0.25">
      <c r="B6" s="6" t="s">
        <v>55</v>
      </c>
      <c r="C6" s="17" t="s">
        <v>25</v>
      </c>
      <c r="D6" s="18" t="str">
        <f>C6</f>
        <v>No</v>
      </c>
      <c r="F6" s="16"/>
      <c r="G6" s="14"/>
      <c r="H6" s="15"/>
      <c r="I6" s="15"/>
    </row>
    <row r="7" spans="2:11" ht="42.75" x14ac:dyDescent="0.25">
      <c r="B7" s="7" t="s">
        <v>58</v>
      </c>
      <c r="C7" s="19" t="s">
        <v>25</v>
      </c>
      <c r="D7" s="20" t="str">
        <f>C7</f>
        <v>No</v>
      </c>
      <c r="F7" s="16"/>
      <c r="G7" s="16"/>
    </row>
    <row r="8" spans="2:11" ht="42.75" customHeight="1" x14ac:dyDescent="0.25">
      <c r="B8" s="13" t="s">
        <v>30</v>
      </c>
      <c r="C8" s="19" t="s">
        <v>25</v>
      </c>
      <c r="D8" s="20" t="str">
        <f>C8</f>
        <v>No</v>
      </c>
      <c r="F8" s="16"/>
      <c r="G8" s="16"/>
    </row>
    <row r="9" spans="2:11" ht="42.75" customHeight="1" x14ac:dyDescent="0.25">
      <c r="B9" s="13" t="s">
        <v>88</v>
      </c>
      <c r="C9" s="19" t="s">
        <v>25</v>
      </c>
      <c r="D9" s="20" t="s">
        <v>25</v>
      </c>
      <c r="F9" s="16"/>
      <c r="G9" s="16"/>
    </row>
    <row r="10" spans="2:11" ht="46.5" customHeight="1" thickBot="1" x14ac:dyDescent="0.3">
      <c r="B10" s="22" t="s">
        <v>65</v>
      </c>
      <c r="C10" s="103" t="s">
        <v>25</v>
      </c>
      <c r="D10" s="21" t="str">
        <f>C10</f>
        <v>No</v>
      </c>
      <c r="F10" s="16"/>
      <c r="G10" s="16"/>
    </row>
    <row r="11" spans="2:11" x14ac:dyDescent="0.25">
      <c r="F11" s="15"/>
      <c r="G11" s="15"/>
    </row>
  </sheetData>
  <mergeCells count="3">
    <mergeCell ref="B2:D2"/>
    <mergeCell ref="B3:D3"/>
    <mergeCell ref="B4:D4"/>
  </mergeCells>
  <conditionalFormatting sqref="C6:C9">
    <cfRule type="containsText" dxfId="12" priority="7" operator="containsText" text="No">
      <formula>NOT(ISERROR(SEARCH("No",C6)))</formula>
    </cfRule>
    <cfRule type="containsText" dxfId="11" priority="8" operator="containsText" text="Yes">
      <formula>NOT(ISERROR(SEARCH("Yes",C6)))</formula>
    </cfRule>
  </conditionalFormatting>
  <conditionalFormatting sqref="C10">
    <cfRule type="cellIs" dxfId="10" priority="2" operator="equal">
      <formula>"No"</formula>
    </cfRule>
  </conditionalFormatting>
  <conditionalFormatting sqref="C6:D10">
    <cfRule type="cellIs" dxfId="9" priority="1" operator="equal">
      <formula>"Yes"</formula>
    </cfRule>
  </conditionalFormatting>
  <conditionalFormatting sqref="D6">
    <cfRule type="expression" dxfId="8" priority="6">
      <formula>"If C6 = No then D6 = No+$C$6"</formula>
    </cfRule>
  </conditionalFormatting>
  <conditionalFormatting sqref="D6:D10">
    <cfRule type="cellIs" dxfId="7" priority="3" operator="equal">
      <formula>"No"</formula>
    </cfRule>
  </conditionalFormatting>
  <conditionalFormatting sqref="D7">
    <cfRule type="expression" dxfId="6" priority="5">
      <formula>$C$7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77F22E-9661-401A-A5EC-8A9577C6138C}">
          <x14:formula1>
            <xm:f>'XLSX Data Elements'!$C$8:$C$9</xm:f>
          </x14:formula1>
          <xm:sqref>C6 C7:C10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1"/>
  <sheetViews>
    <sheetView tabSelected="1" topLeftCell="A40" zoomScale="60" zoomScaleNormal="60" workbookViewId="0">
      <selection activeCell="D48" sqref="D48"/>
    </sheetView>
  </sheetViews>
  <sheetFormatPr defaultColWidth="9.140625" defaultRowHeight="18.75" x14ac:dyDescent="0.3"/>
  <cols>
    <col min="1" max="2" width="14.85546875" style="23" customWidth="1"/>
    <col min="3" max="3" width="111.28515625" style="23" customWidth="1"/>
    <col min="4" max="4" width="35.7109375" style="23" customWidth="1"/>
    <col min="5" max="7" width="20.7109375" style="23" customWidth="1"/>
    <col min="8" max="8" width="19" style="23" customWidth="1"/>
    <col min="9" max="9" width="14.7109375" style="23" customWidth="1"/>
    <col min="10" max="10" width="12.7109375" style="23" customWidth="1"/>
    <col min="11" max="11" width="11.28515625" style="26" customWidth="1"/>
    <col min="12" max="25" width="10.7109375" style="23" customWidth="1"/>
    <col min="26" max="16384" width="9.140625" style="23"/>
  </cols>
  <sheetData>
    <row r="1" spans="1:11" ht="21.75" thickBot="1" x14ac:dyDescent="0.4">
      <c r="A1" s="42"/>
      <c r="B1" s="42"/>
      <c r="C1" s="127" t="s">
        <v>73</v>
      </c>
      <c r="D1" s="127"/>
      <c r="E1" s="127"/>
      <c r="F1" s="127"/>
      <c r="G1" s="127"/>
      <c r="H1" s="127"/>
      <c r="I1" s="24"/>
      <c r="K1" s="23"/>
    </row>
    <row r="2" spans="1:11" ht="21.75" thickBot="1" x14ac:dyDescent="0.4">
      <c r="A2" s="42"/>
      <c r="B2" s="42"/>
      <c r="C2" s="128" t="s">
        <v>75</v>
      </c>
      <c r="D2" s="129"/>
      <c r="E2" s="129"/>
      <c r="F2" s="129"/>
      <c r="G2" s="129"/>
      <c r="H2" s="130"/>
      <c r="I2" s="25"/>
      <c r="K2" s="23"/>
    </row>
    <row r="3" spans="1:11" ht="24.95" customHeight="1" thickBot="1" x14ac:dyDescent="0.4">
      <c r="A3" s="42"/>
      <c r="B3" s="42"/>
      <c r="C3" s="139" t="s">
        <v>10</v>
      </c>
      <c r="D3" s="43"/>
      <c r="E3" s="44"/>
      <c r="F3" s="44"/>
      <c r="G3" s="44"/>
      <c r="H3" s="45"/>
      <c r="I3" s="25"/>
      <c r="K3" s="23"/>
    </row>
    <row r="4" spans="1:11" ht="61.5" thickBot="1" x14ac:dyDescent="0.35">
      <c r="A4" s="44" t="s">
        <v>14</v>
      </c>
      <c r="B4" s="44"/>
      <c r="C4" s="108"/>
      <c r="D4" s="46" t="s">
        <v>15</v>
      </c>
      <c r="E4" s="47" t="s">
        <v>26</v>
      </c>
      <c r="F4" s="48" t="s">
        <v>16</v>
      </c>
      <c r="G4" s="49" t="s">
        <v>28</v>
      </c>
      <c r="H4" s="140" t="s">
        <v>17</v>
      </c>
      <c r="I4" s="27"/>
      <c r="K4" s="23"/>
    </row>
    <row r="5" spans="1:11" ht="48" customHeight="1" thickBot="1" x14ac:dyDescent="0.35">
      <c r="A5" s="50"/>
      <c r="B5" s="50"/>
      <c r="C5" s="109" t="s">
        <v>59</v>
      </c>
      <c r="D5" s="105"/>
      <c r="E5" s="105"/>
      <c r="F5" s="106"/>
      <c r="G5" s="106"/>
      <c r="H5" s="107"/>
      <c r="I5" s="28"/>
      <c r="J5" s="29"/>
      <c r="K5" s="29"/>
    </row>
    <row r="6" spans="1:11" ht="90" customHeight="1" x14ac:dyDescent="0.3">
      <c r="A6" s="51"/>
      <c r="B6" s="51"/>
      <c r="C6" s="52" t="s">
        <v>61</v>
      </c>
      <c r="D6" s="53"/>
      <c r="E6" s="53"/>
      <c r="F6" s="54"/>
      <c r="G6" s="54"/>
      <c r="H6" s="55"/>
      <c r="I6" s="27"/>
      <c r="K6" s="23"/>
    </row>
    <row r="7" spans="1:11" ht="94.5" customHeight="1" x14ac:dyDescent="0.35">
      <c r="A7" s="42" t="s">
        <v>18</v>
      </c>
      <c r="B7" s="42"/>
      <c r="C7" s="56" t="s">
        <v>81</v>
      </c>
      <c r="D7" s="57" t="s">
        <v>33</v>
      </c>
      <c r="E7" s="101">
        <v>0</v>
      </c>
      <c r="F7" s="58">
        <v>300</v>
      </c>
      <c r="G7" s="59">
        <v>3000</v>
      </c>
      <c r="H7" s="141">
        <f>E7*F7</f>
        <v>0</v>
      </c>
      <c r="I7" s="30"/>
      <c r="K7" s="104"/>
    </row>
    <row r="8" spans="1:11" ht="90" customHeight="1" x14ac:dyDescent="0.35">
      <c r="A8" s="42" t="s">
        <v>18</v>
      </c>
      <c r="B8" s="42"/>
      <c r="C8" s="60" t="s">
        <v>54</v>
      </c>
      <c r="D8" s="61" t="s">
        <v>33</v>
      </c>
      <c r="E8" s="101">
        <v>0</v>
      </c>
      <c r="F8" s="62">
        <v>100</v>
      </c>
      <c r="G8" s="63">
        <v>1000</v>
      </c>
      <c r="H8" s="141">
        <f t="shared" ref="H8:H40" si="0">E8*F8</f>
        <v>0</v>
      </c>
      <c r="I8" s="31"/>
      <c r="K8" s="23"/>
    </row>
    <row r="9" spans="1:11" ht="90" customHeight="1" x14ac:dyDescent="0.35">
      <c r="A9" s="42" t="s">
        <v>18</v>
      </c>
      <c r="B9" s="42"/>
      <c r="C9" s="56" t="s">
        <v>53</v>
      </c>
      <c r="D9" s="57" t="s">
        <v>33</v>
      </c>
      <c r="E9" s="101">
        <v>0</v>
      </c>
      <c r="F9" s="64">
        <v>100</v>
      </c>
      <c r="G9" s="65">
        <v>1000</v>
      </c>
      <c r="H9" s="141">
        <f>E9*F9</f>
        <v>0</v>
      </c>
      <c r="I9" s="31"/>
      <c r="K9" s="23"/>
    </row>
    <row r="10" spans="1:11" ht="90" customHeight="1" x14ac:dyDescent="0.35">
      <c r="A10" s="42" t="s">
        <v>18</v>
      </c>
      <c r="B10" s="42"/>
      <c r="C10" s="60" t="s">
        <v>56</v>
      </c>
      <c r="D10" s="61" t="s">
        <v>33</v>
      </c>
      <c r="E10" s="101">
        <v>0</v>
      </c>
      <c r="F10" s="62">
        <v>100</v>
      </c>
      <c r="G10" s="63">
        <v>1000</v>
      </c>
      <c r="H10" s="141">
        <f t="shared" si="0"/>
        <v>0</v>
      </c>
      <c r="I10" s="31"/>
      <c r="K10" s="23"/>
    </row>
    <row r="11" spans="1:11" ht="90" customHeight="1" x14ac:dyDescent="0.35">
      <c r="A11" s="42" t="s">
        <v>18</v>
      </c>
      <c r="B11" s="42"/>
      <c r="C11" s="56" t="s">
        <v>38</v>
      </c>
      <c r="D11" s="57" t="s">
        <v>33</v>
      </c>
      <c r="E11" s="101">
        <v>0</v>
      </c>
      <c r="F11" s="64">
        <v>25</v>
      </c>
      <c r="G11" s="65">
        <v>250</v>
      </c>
      <c r="H11" s="141">
        <f t="shared" si="0"/>
        <v>0</v>
      </c>
      <c r="I11" s="31"/>
      <c r="K11" s="23"/>
    </row>
    <row r="12" spans="1:11" ht="90" customHeight="1" x14ac:dyDescent="0.35">
      <c r="A12" s="42" t="s">
        <v>18</v>
      </c>
      <c r="B12" s="42"/>
      <c r="C12" s="60" t="s">
        <v>51</v>
      </c>
      <c r="D12" s="61" t="s">
        <v>33</v>
      </c>
      <c r="E12" s="101">
        <v>0</v>
      </c>
      <c r="F12" s="62">
        <v>25</v>
      </c>
      <c r="G12" s="63">
        <v>250</v>
      </c>
      <c r="H12" s="141">
        <f t="shared" si="0"/>
        <v>0</v>
      </c>
      <c r="I12" s="31"/>
      <c r="K12" s="23"/>
    </row>
    <row r="13" spans="1:11" ht="90" customHeight="1" x14ac:dyDescent="0.35">
      <c r="A13" s="42"/>
      <c r="B13" s="42"/>
      <c r="C13" s="52" t="s">
        <v>34</v>
      </c>
      <c r="D13" s="66"/>
      <c r="E13" s="66"/>
      <c r="F13" s="67"/>
      <c r="G13" s="68"/>
      <c r="H13" s="69"/>
      <c r="I13" s="31"/>
      <c r="K13" s="23"/>
    </row>
    <row r="14" spans="1:11" ht="90" customHeight="1" x14ac:dyDescent="0.3">
      <c r="A14" s="44" t="s">
        <v>18</v>
      </c>
      <c r="B14" s="44"/>
      <c r="C14" s="56" t="s">
        <v>31</v>
      </c>
      <c r="D14" s="57" t="s">
        <v>42</v>
      </c>
      <c r="E14" s="101">
        <v>0</v>
      </c>
      <c r="F14" s="57">
        <v>300</v>
      </c>
      <c r="G14" s="70">
        <v>1500</v>
      </c>
      <c r="H14" s="141">
        <f t="shared" si="0"/>
        <v>0</v>
      </c>
      <c r="I14" s="32"/>
      <c r="K14" s="23"/>
    </row>
    <row r="15" spans="1:11" ht="90" customHeight="1" x14ac:dyDescent="0.3">
      <c r="A15" s="44" t="s">
        <v>18</v>
      </c>
      <c r="B15" s="44"/>
      <c r="C15" s="60" t="s">
        <v>37</v>
      </c>
      <c r="D15" s="61" t="s">
        <v>42</v>
      </c>
      <c r="E15" s="101">
        <v>0</v>
      </c>
      <c r="F15" s="62">
        <v>100</v>
      </c>
      <c r="G15" s="63">
        <v>500</v>
      </c>
      <c r="H15" s="141">
        <f t="shared" si="0"/>
        <v>0</v>
      </c>
      <c r="I15" s="32"/>
      <c r="K15" s="23"/>
    </row>
    <row r="16" spans="1:11" ht="90" customHeight="1" x14ac:dyDescent="0.3">
      <c r="A16" s="44" t="s">
        <v>18</v>
      </c>
      <c r="B16" s="44"/>
      <c r="C16" s="56" t="s">
        <v>68</v>
      </c>
      <c r="D16" s="57" t="s">
        <v>42</v>
      </c>
      <c r="E16" s="101">
        <v>0</v>
      </c>
      <c r="F16" s="64">
        <v>100</v>
      </c>
      <c r="G16" s="65">
        <v>500</v>
      </c>
      <c r="H16" s="141">
        <f t="shared" si="0"/>
        <v>0</v>
      </c>
      <c r="I16" s="32"/>
      <c r="K16" s="23"/>
    </row>
    <row r="17" spans="1:11" ht="90" customHeight="1" x14ac:dyDescent="0.3">
      <c r="A17" s="44" t="s">
        <v>18</v>
      </c>
      <c r="B17" s="44"/>
      <c r="C17" s="60" t="s">
        <v>57</v>
      </c>
      <c r="D17" s="61" t="s">
        <v>42</v>
      </c>
      <c r="E17" s="101">
        <v>0</v>
      </c>
      <c r="F17" s="71">
        <v>100</v>
      </c>
      <c r="G17" s="72">
        <v>500</v>
      </c>
      <c r="H17" s="141">
        <f t="shared" si="0"/>
        <v>0</v>
      </c>
      <c r="I17" s="32"/>
      <c r="K17" s="23"/>
    </row>
    <row r="18" spans="1:11" ht="90" customHeight="1" x14ac:dyDescent="0.3">
      <c r="A18" s="44" t="s">
        <v>18</v>
      </c>
      <c r="B18" s="44"/>
      <c r="C18" s="56" t="s">
        <v>39</v>
      </c>
      <c r="D18" s="57" t="s">
        <v>42</v>
      </c>
      <c r="E18" s="101">
        <v>0</v>
      </c>
      <c r="F18" s="64">
        <v>25</v>
      </c>
      <c r="G18" s="65">
        <v>125</v>
      </c>
      <c r="H18" s="141">
        <f t="shared" si="0"/>
        <v>0</v>
      </c>
      <c r="I18" s="32"/>
      <c r="K18" s="23"/>
    </row>
    <row r="19" spans="1:11" ht="90" customHeight="1" x14ac:dyDescent="0.3">
      <c r="A19" s="44" t="s">
        <v>18</v>
      </c>
      <c r="B19" s="44"/>
      <c r="C19" s="60" t="s">
        <v>67</v>
      </c>
      <c r="D19" s="61" t="s">
        <v>42</v>
      </c>
      <c r="E19" s="101">
        <v>0</v>
      </c>
      <c r="F19" s="62">
        <v>25</v>
      </c>
      <c r="G19" s="63">
        <v>125</v>
      </c>
      <c r="H19" s="141">
        <f t="shared" si="0"/>
        <v>0</v>
      </c>
      <c r="I19" s="32"/>
      <c r="K19" s="23"/>
    </row>
    <row r="20" spans="1:11" ht="90" customHeight="1" x14ac:dyDescent="0.3">
      <c r="A20" s="44"/>
      <c r="B20" s="44"/>
      <c r="C20" s="52" t="s">
        <v>40</v>
      </c>
      <c r="D20" s="73"/>
      <c r="E20" s="73"/>
      <c r="F20" s="74"/>
      <c r="G20" s="75"/>
      <c r="H20" s="76"/>
      <c r="I20" s="32"/>
      <c r="K20" s="23"/>
    </row>
    <row r="21" spans="1:11" ht="90" customHeight="1" x14ac:dyDescent="0.3">
      <c r="A21" s="44" t="s">
        <v>18</v>
      </c>
      <c r="B21" s="44"/>
      <c r="C21" s="56" t="s">
        <v>32</v>
      </c>
      <c r="D21" s="57" t="s">
        <v>33</v>
      </c>
      <c r="E21" s="101">
        <v>0</v>
      </c>
      <c r="F21" s="57">
        <v>300</v>
      </c>
      <c r="G21" s="70">
        <v>3000</v>
      </c>
      <c r="H21" s="141">
        <f t="shared" si="0"/>
        <v>0</v>
      </c>
      <c r="I21" s="32"/>
      <c r="K21" s="23"/>
    </row>
    <row r="22" spans="1:11" ht="90" customHeight="1" x14ac:dyDescent="0.3">
      <c r="A22" s="44" t="s">
        <v>18</v>
      </c>
      <c r="B22" s="44"/>
      <c r="C22" s="60" t="s">
        <v>41</v>
      </c>
      <c r="D22" s="61" t="s">
        <v>33</v>
      </c>
      <c r="E22" s="101">
        <v>0</v>
      </c>
      <c r="F22" s="62">
        <v>25</v>
      </c>
      <c r="G22" s="63">
        <v>250</v>
      </c>
      <c r="H22" s="141">
        <f t="shared" si="0"/>
        <v>0</v>
      </c>
      <c r="I22" s="32"/>
      <c r="K22" s="23"/>
    </row>
    <row r="23" spans="1:11" ht="90" customHeight="1" x14ac:dyDescent="0.3">
      <c r="A23" s="44" t="s">
        <v>18</v>
      </c>
      <c r="B23" s="44"/>
      <c r="C23" s="56" t="s">
        <v>66</v>
      </c>
      <c r="D23" s="57" t="s">
        <v>33</v>
      </c>
      <c r="E23" s="101">
        <v>0</v>
      </c>
      <c r="F23" s="64">
        <v>25</v>
      </c>
      <c r="G23" s="65">
        <v>250</v>
      </c>
      <c r="H23" s="141">
        <f>E23*F23</f>
        <v>0</v>
      </c>
      <c r="I23" s="32"/>
      <c r="K23" s="23"/>
    </row>
    <row r="24" spans="1:11" ht="90" customHeight="1" x14ac:dyDescent="0.3">
      <c r="A24" s="44"/>
      <c r="B24" s="44"/>
      <c r="C24" s="52" t="s">
        <v>69</v>
      </c>
      <c r="D24" s="73"/>
      <c r="E24" s="73"/>
      <c r="F24" s="74"/>
      <c r="G24" s="75"/>
      <c r="H24" s="76"/>
      <c r="I24" s="32"/>
      <c r="K24" s="23"/>
    </row>
    <row r="25" spans="1:11" ht="90" customHeight="1" x14ac:dyDescent="0.3">
      <c r="A25" s="44" t="s">
        <v>18</v>
      </c>
      <c r="B25" s="44"/>
      <c r="C25" s="56" t="s">
        <v>71</v>
      </c>
      <c r="D25" s="57" t="s">
        <v>45</v>
      </c>
      <c r="E25" s="101">
        <v>0</v>
      </c>
      <c r="F25" s="57">
        <v>300</v>
      </c>
      <c r="G25" s="70">
        <v>1800</v>
      </c>
      <c r="H25" s="141">
        <f>E25*F25</f>
        <v>0</v>
      </c>
      <c r="I25" s="33"/>
      <c r="K25" s="23"/>
    </row>
    <row r="26" spans="1:11" ht="90" customHeight="1" x14ac:dyDescent="0.3">
      <c r="A26" s="44" t="s">
        <v>18</v>
      </c>
      <c r="B26" s="44"/>
      <c r="C26" s="60" t="s">
        <v>76</v>
      </c>
      <c r="D26" s="61" t="s">
        <v>46</v>
      </c>
      <c r="E26" s="101">
        <v>0</v>
      </c>
      <c r="F26" s="61">
        <v>100</v>
      </c>
      <c r="G26" s="77">
        <v>700</v>
      </c>
      <c r="H26" s="141">
        <f>E26*F26</f>
        <v>0</v>
      </c>
      <c r="I26" s="33"/>
      <c r="K26" s="23"/>
    </row>
    <row r="27" spans="1:11" ht="90" customHeight="1" x14ac:dyDescent="0.3">
      <c r="A27" s="44" t="s">
        <v>18</v>
      </c>
      <c r="B27" s="44"/>
      <c r="C27" s="56" t="s">
        <v>77</v>
      </c>
      <c r="D27" s="57" t="s">
        <v>43</v>
      </c>
      <c r="E27" s="101">
        <v>0</v>
      </c>
      <c r="F27" s="57">
        <v>100</v>
      </c>
      <c r="G27" s="70">
        <v>400</v>
      </c>
      <c r="H27" s="141">
        <f t="shared" ref="H27:H31" si="1">E27*F27</f>
        <v>0</v>
      </c>
      <c r="I27" s="33"/>
      <c r="K27" s="23"/>
    </row>
    <row r="28" spans="1:11" ht="90" customHeight="1" x14ac:dyDescent="0.3">
      <c r="A28" s="44"/>
      <c r="B28" s="44"/>
      <c r="C28" s="60" t="s">
        <v>78</v>
      </c>
      <c r="D28" s="61" t="s">
        <v>47</v>
      </c>
      <c r="E28" s="111">
        <v>0</v>
      </c>
      <c r="F28" s="61">
        <v>100</v>
      </c>
      <c r="G28" s="77">
        <v>100</v>
      </c>
      <c r="H28" s="141">
        <f t="shared" si="1"/>
        <v>0</v>
      </c>
      <c r="I28" s="33"/>
      <c r="K28" s="23"/>
    </row>
    <row r="29" spans="1:11" ht="90" customHeight="1" x14ac:dyDescent="0.3">
      <c r="A29" s="44"/>
      <c r="B29" s="44"/>
      <c r="C29" s="56" t="s">
        <v>72</v>
      </c>
      <c r="D29" s="57" t="s">
        <v>45</v>
      </c>
      <c r="E29" s="111">
        <v>0</v>
      </c>
      <c r="F29" s="57">
        <v>100</v>
      </c>
      <c r="G29" s="70">
        <v>600</v>
      </c>
      <c r="H29" s="141">
        <f t="shared" si="1"/>
        <v>0</v>
      </c>
      <c r="I29" s="33"/>
      <c r="K29" s="23"/>
    </row>
    <row r="30" spans="1:11" ht="90" customHeight="1" x14ac:dyDescent="0.3">
      <c r="A30" s="44"/>
      <c r="B30" s="44"/>
      <c r="C30" s="99" t="s">
        <v>79</v>
      </c>
      <c r="D30" s="61" t="s">
        <v>46</v>
      </c>
      <c r="E30" s="111">
        <v>0</v>
      </c>
      <c r="F30" s="61">
        <v>25</v>
      </c>
      <c r="G30" s="77">
        <v>175</v>
      </c>
      <c r="H30" s="141">
        <f t="shared" si="1"/>
        <v>0</v>
      </c>
      <c r="I30" s="33"/>
      <c r="K30" s="23"/>
    </row>
    <row r="31" spans="1:11" ht="90" customHeight="1" x14ac:dyDescent="0.3">
      <c r="A31" s="44"/>
      <c r="B31" s="44"/>
      <c r="C31" s="110" t="s">
        <v>80</v>
      </c>
      <c r="D31" s="57" t="s">
        <v>43</v>
      </c>
      <c r="E31" s="111">
        <v>0</v>
      </c>
      <c r="F31" s="57">
        <v>25</v>
      </c>
      <c r="G31" s="70">
        <v>100</v>
      </c>
      <c r="H31" s="141">
        <f t="shared" si="1"/>
        <v>0</v>
      </c>
      <c r="I31" s="33"/>
      <c r="K31" s="23"/>
    </row>
    <row r="32" spans="1:11" ht="90" customHeight="1" x14ac:dyDescent="0.3">
      <c r="A32" s="44"/>
      <c r="B32" s="44"/>
      <c r="C32" s="52" t="s">
        <v>35</v>
      </c>
      <c r="D32" s="73"/>
      <c r="E32" s="73"/>
      <c r="F32" s="74"/>
      <c r="G32" s="75"/>
      <c r="H32" s="76"/>
      <c r="I32" s="33"/>
      <c r="K32" s="23"/>
    </row>
    <row r="33" spans="1:11" ht="90" customHeight="1" x14ac:dyDescent="0.3">
      <c r="A33" s="44" t="s">
        <v>18</v>
      </c>
      <c r="B33" s="44"/>
      <c r="C33" s="56" t="s">
        <v>60</v>
      </c>
      <c r="D33" s="57" t="s">
        <v>43</v>
      </c>
      <c r="E33" s="101">
        <v>0</v>
      </c>
      <c r="F33" s="58">
        <v>400</v>
      </c>
      <c r="G33" s="59">
        <v>1600</v>
      </c>
      <c r="H33" s="141">
        <f t="shared" si="0"/>
        <v>0</v>
      </c>
      <c r="I33" s="34"/>
      <c r="K33" s="23"/>
    </row>
    <row r="34" spans="1:11" ht="90" customHeight="1" x14ac:dyDescent="0.3">
      <c r="A34" s="44" t="s">
        <v>18</v>
      </c>
      <c r="B34" s="44"/>
      <c r="C34" s="60" t="s">
        <v>48</v>
      </c>
      <c r="D34" s="61" t="s">
        <v>43</v>
      </c>
      <c r="E34" s="101">
        <v>0</v>
      </c>
      <c r="F34" s="62">
        <v>100</v>
      </c>
      <c r="G34" s="63">
        <v>400</v>
      </c>
      <c r="H34" s="141">
        <f t="shared" si="0"/>
        <v>0</v>
      </c>
      <c r="I34" s="34"/>
      <c r="K34" s="23"/>
    </row>
    <row r="35" spans="1:11" ht="90" customHeight="1" x14ac:dyDescent="0.3">
      <c r="A35" s="44" t="s">
        <v>18</v>
      </c>
      <c r="B35" s="44"/>
      <c r="C35" s="56" t="s">
        <v>83</v>
      </c>
      <c r="D35" s="57" t="s">
        <v>43</v>
      </c>
      <c r="E35" s="101">
        <v>0</v>
      </c>
      <c r="F35" s="57">
        <v>200</v>
      </c>
      <c r="G35" s="70">
        <v>800</v>
      </c>
      <c r="H35" s="141">
        <f t="shared" si="0"/>
        <v>0</v>
      </c>
      <c r="I35" s="34"/>
      <c r="K35" s="23"/>
    </row>
    <row r="36" spans="1:11" ht="90" customHeight="1" x14ac:dyDescent="0.3">
      <c r="A36" s="44" t="s">
        <v>18</v>
      </c>
      <c r="B36" s="44"/>
      <c r="C36" s="60" t="s">
        <v>49</v>
      </c>
      <c r="D36" s="61" t="s">
        <v>43</v>
      </c>
      <c r="E36" s="101">
        <v>0</v>
      </c>
      <c r="F36" s="61">
        <v>50</v>
      </c>
      <c r="G36" s="77">
        <v>200</v>
      </c>
      <c r="H36" s="141">
        <f t="shared" si="0"/>
        <v>0</v>
      </c>
      <c r="I36" s="34"/>
      <c r="K36" s="23"/>
    </row>
    <row r="37" spans="1:11" ht="90" customHeight="1" x14ac:dyDescent="0.3">
      <c r="A37" s="44"/>
      <c r="B37" s="44"/>
      <c r="C37" s="52" t="s">
        <v>36</v>
      </c>
      <c r="D37" s="73"/>
      <c r="E37" s="73"/>
      <c r="F37" s="74"/>
      <c r="G37" s="75"/>
      <c r="H37" s="76"/>
      <c r="I37" s="34"/>
      <c r="K37" s="23"/>
    </row>
    <row r="38" spans="1:11" ht="105.75" customHeight="1" x14ac:dyDescent="0.3">
      <c r="A38" s="44" t="s">
        <v>18</v>
      </c>
      <c r="B38" s="44"/>
      <c r="C38" s="56" t="s">
        <v>82</v>
      </c>
      <c r="D38" s="57" t="s">
        <v>42</v>
      </c>
      <c r="E38" s="101">
        <v>0</v>
      </c>
      <c r="F38" s="58">
        <v>200</v>
      </c>
      <c r="G38" s="59">
        <v>1000</v>
      </c>
      <c r="H38" s="141">
        <f t="shared" si="0"/>
        <v>0</v>
      </c>
      <c r="I38" s="34"/>
      <c r="K38" s="23"/>
    </row>
    <row r="39" spans="1:11" ht="90" customHeight="1" x14ac:dyDescent="0.3">
      <c r="A39" s="44" t="s">
        <v>18</v>
      </c>
      <c r="B39" s="44"/>
      <c r="C39" s="60" t="s">
        <v>44</v>
      </c>
      <c r="D39" s="61" t="s">
        <v>42</v>
      </c>
      <c r="E39" s="101">
        <v>0</v>
      </c>
      <c r="F39" s="61">
        <v>25</v>
      </c>
      <c r="G39" s="77">
        <v>125</v>
      </c>
      <c r="H39" s="141">
        <f t="shared" si="0"/>
        <v>0</v>
      </c>
      <c r="I39" s="34"/>
      <c r="K39" s="23"/>
    </row>
    <row r="40" spans="1:11" ht="90" customHeight="1" x14ac:dyDescent="0.3">
      <c r="A40" s="44" t="s">
        <v>18</v>
      </c>
      <c r="B40" s="44"/>
      <c r="C40" s="56" t="s">
        <v>50</v>
      </c>
      <c r="D40" s="57" t="s">
        <v>42</v>
      </c>
      <c r="E40" s="101">
        <v>0</v>
      </c>
      <c r="F40" s="57">
        <v>25</v>
      </c>
      <c r="G40" s="70">
        <v>125</v>
      </c>
      <c r="H40" s="141">
        <f t="shared" si="0"/>
        <v>0</v>
      </c>
      <c r="I40" s="34"/>
      <c r="K40" s="23"/>
    </row>
    <row r="41" spans="1:11" ht="90" customHeight="1" x14ac:dyDescent="0.35">
      <c r="A41" s="42"/>
      <c r="B41" s="42"/>
      <c r="C41" s="100" t="s">
        <v>70</v>
      </c>
      <c r="D41" s="78"/>
      <c r="E41" s="78"/>
      <c r="F41" s="79"/>
      <c r="G41" s="79"/>
      <c r="H41" s="80"/>
      <c r="I41" s="27"/>
      <c r="J41" s="36"/>
      <c r="K41" s="23"/>
    </row>
    <row r="42" spans="1:11" ht="38.1" customHeight="1" x14ac:dyDescent="0.3">
      <c r="A42" s="44" t="s">
        <v>18</v>
      </c>
      <c r="B42" s="44"/>
      <c r="C42" s="97" t="s">
        <v>84</v>
      </c>
      <c r="D42" s="81" t="s">
        <v>47</v>
      </c>
      <c r="E42" s="102">
        <v>0</v>
      </c>
      <c r="F42" s="82">
        <v>600</v>
      </c>
      <c r="G42" s="82">
        <v>600</v>
      </c>
      <c r="H42" s="141">
        <f>E42*F42</f>
        <v>0</v>
      </c>
      <c r="I42" s="25"/>
      <c r="K42" s="23"/>
    </row>
    <row r="43" spans="1:11" ht="38.1" customHeight="1" x14ac:dyDescent="0.3">
      <c r="A43" s="44" t="s">
        <v>18</v>
      </c>
      <c r="B43" s="44"/>
      <c r="C43" s="98" t="s">
        <v>85</v>
      </c>
      <c r="D43" s="83" t="s">
        <v>47</v>
      </c>
      <c r="E43" s="102">
        <v>0</v>
      </c>
      <c r="F43" s="84">
        <v>300</v>
      </c>
      <c r="G43" s="84">
        <v>300</v>
      </c>
      <c r="H43" s="141">
        <f t="shared" ref="H43:H45" si="2">E43*F43</f>
        <v>0</v>
      </c>
      <c r="I43" s="25"/>
      <c r="K43" s="23"/>
    </row>
    <row r="44" spans="1:11" ht="38.1" customHeight="1" x14ac:dyDescent="0.3">
      <c r="A44" s="44" t="s">
        <v>18</v>
      </c>
      <c r="B44" s="44"/>
      <c r="C44" s="97" t="s">
        <v>87</v>
      </c>
      <c r="D44" s="81" t="s">
        <v>47</v>
      </c>
      <c r="E44" s="102">
        <v>0</v>
      </c>
      <c r="F44" s="82">
        <v>500</v>
      </c>
      <c r="G44" s="82">
        <v>500</v>
      </c>
      <c r="H44" s="141">
        <f t="shared" si="2"/>
        <v>0</v>
      </c>
      <c r="I44" s="25"/>
      <c r="K44" s="23"/>
    </row>
    <row r="45" spans="1:11" ht="38.1" customHeight="1" x14ac:dyDescent="0.3">
      <c r="A45" s="44" t="s">
        <v>18</v>
      </c>
      <c r="B45" s="44"/>
      <c r="C45" s="98" t="s">
        <v>86</v>
      </c>
      <c r="D45" s="83" t="s">
        <v>47</v>
      </c>
      <c r="E45" s="102">
        <v>0</v>
      </c>
      <c r="F45" s="84">
        <v>100</v>
      </c>
      <c r="G45" s="84">
        <v>100</v>
      </c>
      <c r="H45" s="141">
        <f t="shared" si="2"/>
        <v>0</v>
      </c>
      <c r="I45" s="25"/>
      <c r="K45" s="23"/>
    </row>
    <row r="46" spans="1:11" ht="24" customHeight="1" thickBot="1" x14ac:dyDescent="0.35">
      <c r="A46" s="44"/>
      <c r="B46" s="44"/>
      <c r="C46" s="85"/>
      <c r="D46" s="86"/>
      <c r="E46" s="86"/>
      <c r="F46" s="87"/>
      <c r="G46" s="88"/>
      <c r="H46" s="89"/>
      <c r="I46" s="25"/>
      <c r="K46" s="23"/>
    </row>
    <row r="47" spans="1:11" ht="39.950000000000003" customHeight="1" thickTop="1" x14ac:dyDescent="0.35">
      <c r="A47" s="42"/>
      <c r="B47" s="42"/>
      <c r="C47" s="90"/>
      <c r="D47" s="91"/>
      <c r="E47" s="91"/>
      <c r="F47" s="135" t="s">
        <v>19</v>
      </c>
      <c r="G47" s="136"/>
      <c r="H47" s="92">
        <f>SUM(G7:G34,G38:G45)</f>
        <v>21875</v>
      </c>
      <c r="I47" s="131" t="s">
        <v>52</v>
      </c>
      <c r="J47" s="132"/>
    </row>
    <row r="48" spans="1:11" ht="39.950000000000003" customHeight="1" x14ac:dyDescent="0.35">
      <c r="A48" s="42"/>
      <c r="B48" s="42"/>
      <c r="C48" s="44"/>
      <c r="D48" s="93"/>
      <c r="E48" s="93"/>
      <c r="F48" s="137" t="s">
        <v>20</v>
      </c>
      <c r="G48" s="138"/>
      <c r="H48" s="94">
        <f>H47*0.8</f>
        <v>17500</v>
      </c>
      <c r="I48" s="133" t="s">
        <v>29</v>
      </c>
      <c r="J48" s="134"/>
    </row>
    <row r="49" spans="1:11" ht="39.950000000000003" customHeight="1" thickBot="1" x14ac:dyDescent="0.4">
      <c r="A49" s="42"/>
      <c r="B49" s="42"/>
      <c r="C49" s="44"/>
      <c r="D49" s="44"/>
      <c r="E49" s="44"/>
      <c r="F49" s="125" t="s">
        <v>27</v>
      </c>
      <c r="G49" s="126"/>
      <c r="H49" s="95">
        <f>SUM(H7:H45)</f>
        <v>0</v>
      </c>
      <c r="I49" s="37"/>
      <c r="J49" s="35"/>
      <c r="K49" s="38"/>
    </row>
    <row r="50" spans="1:11" ht="21.75" thickTop="1" x14ac:dyDescent="0.35">
      <c r="A50" s="42"/>
      <c r="B50" s="42"/>
      <c r="C50" s="42"/>
      <c r="D50" s="42"/>
      <c r="E50" s="42"/>
      <c r="F50" s="42"/>
      <c r="G50" s="42"/>
      <c r="H50" s="42"/>
    </row>
    <row r="51" spans="1:11" ht="21" x14ac:dyDescent="0.35">
      <c r="A51" s="42"/>
      <c r="B51" s="42"/>
      <c r="C51" s="96"/>
      <c r="D51" s="96"/>
      <c r="E51" s="96"/>
      <c r="F51" s="96"/>
      <c r="G51" s="42"/>
      <c r="H51" s="42"/>
    </row>
    <row r="52" spans="1:11" ht="21" x14ac:dyDescent="0.35">
      <c r="A52" s="42"/>
      <c r="B52" s="42"/>
      <c r="C52" s="96"/>
      <c r="D52" s="96"/>
      <c r="E52" s="96"/>
      <c r="F52" s="96"/>
      <c r="G52" s="42"/>
      <c r="H52" s="42"/>
      <c r="K52" s="40"/>
    </row>
    <row r="53" spans="1:11" ht="21" x14ac:dyDescent="0.35">
      <c r="A53" s="42"/>
      <c r="B53" s="42"/>
      <c r="C53" s="96"/>
      <c r="D53" s="96"/>
      <c r="E53" s="96"/>
      <c r="F53" s="96"/>
      <c r="G53" s="42"/>
      <c r="H53" s="42"/>
      <c r="K53" s="40"/>
    </row>
    <row r="54" spans="1:11" x14ac:dyDescent="0.3">
      <c r="C54" s="39"/>
      <c r="D54" s="39"/>
      <c r="E54" s="39"/>
      <c r="F54" s="39"/>
      <c r="I54" s="41"/>
      <c r="J54" s="41"/>
      <c r="K54" s="35"/>
    </row>
    <row r="55" spans="1:11" x14ac:dyDescent="0.3">
      <c r="I55" s="41"/>
      <c r="J55" s="41"/>
      <c r="K55" s="35"/>
    </row>
    <row r="56" spans="1:11" x14ac:dyDescent="0.3">
      <c r="I56" s="41"/>
      <c r="J56" s="41"/>
    </row>
    <row r="57" spans="1:11" x14ac:dyDescent="0.3">
      <c r="I57" s="41"/>
      <c r="J57" s="41"/>
    </row>
    <row r="58" spans="1:11" x14ac:dyDescent="0.3">
      <c r="I58" s="41"/>
      <c r="J58" s="41"/>
    </row>
    <row r="59" spans="1:11" x14ac:dyDescent="0.3">
      <c r="I59" s="41"/>
      <c r="J59" s="41"/>
    </row>
    <row r="60" spans="1:11" x14ac:dyDescent="0.3">
      <c r="I60" s="41"/>
      <c r="J60" s="41"/>
    </row>
    <row r="61" spans="1:11" x14ac:dyDescent="0.3">
      <c r="I61" s="41"/>
      <c r="J61" s="41"/>
    </row>
    <row r="62" spans="1:11" x14ac:dyDescent="0.3">
      <c r="I62" s="41"/>
      <c r="J62" s="41"/>
    </row>
    <row r="63" spans="1:11" x14ac:dyDescent="0.3">
      <c r="I63" s="41"/>
      <c r="J63" s="41"/>
    </row>
    <row r="64" spans="1:11" x14ac:dyDescent="0.3">
      <c r="I64" s="41"/>
      <c r="J64" s="41"/>
    </row>
    <row r="65" spans="9:10" x14ac:dyDescent="0.3">
      <c r="I65" s="41"/>
      <c r="J65" s="41"/>
    </row>
    <row r="66" spans="9:10" x14ac:dyDescent="0.3">
      <c r="I66" s="41"/>
      <c r="J66" s="41"/>
    </row>
    <row r="67" spans="9:10" x14ac:dyDescent="0.3">
      <c r="I67" s="41"/>
      <c r="J67" s="41"/>
    </row>
    <row r="68" spans="9:10" x14ac:dyDescent="0.3">
      <c r="I68" s="41"/>
      <c r="J68" s="41"/>
    </row>
    <row r="69" spans="9:10" x14ac:dyDescent="0.3">
      <c r="I69" s="41"/>
      <c r="J69" s="41"/>
    </row>
    <row r="70" spans="9:10" x14ac:dyDescent="0.3">
      <c r="I70" s="41"/>
      <c r="J70" s="41"/>
    </row>
    <row r="71" spans="9:10" x14ac:dyDescent="0.3">
      <c r="I71" s="41"/>
      <c r="J71" s="41"/>
    </row>
  </sheetData>
  <scenarios current="0" show="0">
    <scenario name="Limit" count="6" user="German, Eric R CIV USARMY JPEO AA (USA)" comment="Created by German, Eric R CIV USARMY JPEO AA (USA) on 3/2/2026">
      <inputCells r="E7" val="0,1,2,3,4,5,6,7,8,9,10" numFmtId="1"/>
      <inputCells r="E8" val="0,1,2,3,4,5,6,7,8,9,10" numFmtId="1"/>
      <inputCells r="E9" val="0,1,2,3,4,5,6,7,8,9,10" numFmtId="1"/>
      <inputCells r="E10" val="0,1,2,3,4,5,6,7,8,9,10" numFmtId="1"/>
      <inputCells r="E11" val="0,1,2,3,4,5,6,7,8,9,10" numFmtId="1"/>
      <inputCells r="E12" val="0,1,2,3,4,5,6,7,8,9,10" numFmtId="1"/>
    </scenario>
    <scenario name="Limit 2" count="6" user="German, Eric R CIV USARMY JPEO AA (USA)" comment="Created by German, Eric R CIV USARMY JPEO AA (USA) on 3/2/2026">
      <inputCells r="E14" val="0,1,2,3,4,5,6,7,8,9,10" numFmtId="1"/>
      <inputCells r="E15" val="0,1,2,3,4,5,6,7,8,9,10" numFmtId="1"/>
      <inputCells r="E16" val="0,1,2,3,4,5,6,7,8,9,10" numFmtId="1"/>
      <inputCells r="E17" val="0,1,2,3,4,5,6,7,8,9,10" numFmtId="1"/>
      <inputCells r="E18" val="0,1,2,3,4,5,6,7,8,9,10" numFmtId="1"/>
      <inputCells r="E19" val="0,1,2,3,4,5,6,7,8,9,10" numFmtId="1"/>
    </scenario>
    <scenario name="Limit 3" count="10" user="German, Eric R CIV USARMY JPEO AA (USA)" comment="Created by German, Eric R CIV USARMY JPEO AA (USA) on 3/2/2026">
      <inputCells r="E14" val="0,1,2,3,4,5,6,7,8,9,10" numFmtId="1"/>
      <inputCells r="E15" val="0,1,2,3,4,5,6,7,8,9,10" numFmtId="1"/>
      <inputCells r="E16" val="0,1,2,3,4,5,6,7,8,9,10" numFmtId="1"/>
      <inputCells r="E17" val="0,1,2,3,4,5,6,7,8,9,10" numFmtId="1"/>
      <inputCells r="E18" val="0,1,2,3,4,5,6,7,8,9,10" numFmtId="1"/>
      <inputCells r="E19" val="0,1,2,3,4,5,6,7,8,9,10" numFmtId="1"/>
      <inputCells r="E20" val="0,1,2,3,4,5,6,7,8,9,10"/>
      <inputCells r="E21" val="0,1,2,3,4,5,6,7,8,9,10" numFmtId="1"/>
      <inputCells r="E22" val="0,1,2,3,4,5,6,7,8,9,10" numFmtId="1"/>
      <inputCells r="E23" val="0,1,2,3,4,5,6,7,8,9,10" numFmtId="1"/>
    </scenario>
  </scenarios>
  <mergeCells count="7">
    <mergeCell ref="F49:G49"/>
    <mergeCell ref="C1:H1"/>
    <mergeCell ref="C2:H2"/>
    <mergeCell ref="I47:J47"/>
    <mergeCell ref="I48:J48"/>
    <mergeCell ref="F47:G47"/>
    <mergeCell ref="F48:G48"/>
  </mergeCells>
  <phoneticPr fontId="12" type="noConversion"/>
  <conditionalFormatting sqref="H49">
    <cfRule type="cellIs" dxfId="5" priority="1" operator="lessThan">
      <formula>$H$48</formula>
    </cfRule>
    <cfRule type="cellIs" dxfId="4" priority="2" operator="equal">
      <formula>$H$48</formula>
    </cfRule>
    <cfRule type="cellIs" dxfId="3" priority="3" operator="greaterThan">
      <formula>$H$48</formula>
    </cfRule>
    <cfRule type="cellIs" dxfId="2" priority="4" operator="greaterThan">
      <formula>"G57"</formula>
    </cfRule>
    <cfRule type="cellIs" dxfId="1" priority="5" operator="lessThan">
      <formula>"G57"</formula>
    </cfRule>
    <cfRule type="cellIs" dxfId="0" priority="6" operator="equal">
      <formula>"G57"</formula>
    </cfRule>
  </conditionalFormatting>
  <dataValidations count="13">
    <dataValidation type="whole" allowBlank="1" showInputMessage="1" showErrorMessage="1" errorTitle="Invalid Entry" error="Please enter a number from 0 -5." sqref="E38:E40" xr:uid="{8D312ED3-43FA-4400-B1A6-0AEB30E7876D}">
      <formula1>0</formula1>
      <formula2>5</formula2>
    </dataValidation>
    <dataValidation type="whole" allowBlank="1" showInputMessage="1" showErrorMessage="1" errorTitle="Invalid Entry" error="Please enter either 0 or 1." sqref="E42:E45" xr:uid="{FE019EA5-A9A0-45F7-9BD8-9CDBD6F228A2}">
      <formula1>0</formula1>
      <formula2>1</formula2>
    </dataValidation>
    <dataValidation type="whole" allowBlank="1" showInputMessage="1" showErrorMessage="1" errorTitle="Invalid Entry" error="Please enter a number from 0 - 10." sqref="E7:E12 E21:E23" xr:uid="{6F1E0588-0D5F-4C6D-94BA-506A341A7061}">
      <formula1>0</formula1>
      <formula2>10</formula2>
    </dataValidation>
    <dataValidation allowBlank="1" showInputMessage="1" showErrorMessage="1" errorTitle="Error" error="You may only submit a maximum of 4 total TDPs across both USG and NATO categories." sqref="M34" xr:uid="{69F62744-AC57-40B7-BCA6-8FA22C717B8F}"/>
    <dataValidation type="whole" allowBlank="1" showInputMessage="1" showErrorMessage="1" errorTitle="Invalid Entry" error="Please enter a number from 0 - 7." sqref="E26 E30" xr:uid="{85A365F7-CBD6-4464-8826-451232199E23}">
      <formula1>0</formula1>
      <formula2>7</formula2>
    </dataValidation>
    <dataValidation type="whole" allowBlank="1" showInputMessage="1" showErrorMessage="1" errorTitle="Invalid Entry" error="Please enter a number from 0 - 4." sqref="E27" xr:uid="{C5F661EB-E780-4231-A3EF-68764E65F402}">
      <formula1>0</formula1>
      <formula2>4</formula2>
    </dataValidation>
    <dataValidation type="whole" allowBlank="1" showInputMessage="1" showErrorMessage="1" errorTitle="Invalid Entry" error="Please enter a number from 0 - 6." sqref="E25" xr:uid="{3962D951-C8BA-432D-86E0-B02DC49D30A6}">
      <formula1>0</formula1>
      <formula2>6</formula2>
    </dataValidation>
    <dataValidation type="whole" allowBlank="1" showInputMessage="1" showErrorMessage="1" errorTitle="Invalid Entry" error="Please enter either 0 or 1." sqref="E28" xr:uid="{A37B1F40-4278-447D-B32C-7064305B89F1}">
      <formula1>0</formula1>
      <formula2>1</formula2>
    </dataValidation>
    <dataValidation type="whole" allowBlank="1" showInputMessage="1" showErrorMessage="1" errorTitle="Invalid Entry" error="Please enter a number from 0 - 6." sqref="E29" xr:uid="{4849730A-3711-403D-9D4A-7BDA8A07B13C}">
      <formula1>0</formula1>
      <formula2>6</formula2>
    </dataValidation>
    <dataValidation type="whole" allowBlank="1" showInputMessage="1" showErrorMessage="1" errorTitle="Invalid Entry" error="Please enter a number from 0 -4." sqref="E31" xr:uid="{A9227517-0332-439D-A01B-C5F5AFE6E421}">
      <formula1>0</formula1>
      <formula2>4</formula2>
    </dataValidation>
    <dataValidation type="custom" allowBlank="1" showInputMessage="1" showErrorMessage="1" errorTitle="Over the Limit" error="Work Samples provided for 5.a.2 + 5.b.2 cannot be greater than 4." sqref="E34 E36" xr:uid="{C6F0F81A-910D-4020-BEDD-B23F21E1DF6A}">
      <formula1>E32+E34&lt;=4</formula1>
    </dataValidation>
    <dataValidation type="custom" allowBlank="1" showInputMessage="1" showErrorMessage="1" errorTitle="Over the Limit" error="Work Samples provided for 5.a.1 + 5.b.1 cannot be greater than 4." sqref="E33 E35" xr:uid="{8B20C9F3-B9AA-478D-8B84-AC29A43DE6AB}">
      <formula1>E31+E33&lt;=4</formula1>
    </dataValidation>
    <dataValidation type="whole" allowBlank="1" showInputMessage="1" showErrorMessage="1" errorTitle="Invalid Entry" error="Please enter a number from 0 - 5." sqref="E14:E19" xr:uid="{D7638BF5-C02F-4D8A-B231-D3C90D60DD3C}">
      <formula1>0</formula1>
      <formula2>5</formula2>
    </dataValidation>
  </dataValidations>
  <pageMargins left="0.25" right="0.25" top="0.75" bottom="0.75" header="0.3" footer="0.3"/>
  <pageSetup scale="3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51B4-FAEC-4DBB-831F-4E875C9D92F0}">
  <dimension ref="A1:W98"/>
  <sheetViews>
    <sheetView workbookViewId="0">
      <selection activeCell="H35" sqref="H35"/>
    </sheetView>
  </sheetViews>
  <sheetFormatPr defaultRowHeight="15" x14ac:dyDescent="0.25"/>
  <sheetData>
    <row r="1" spans="1:23" ht="15.75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5.75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s="8" customFormat="1" ht="15.75" x14ac:dyDescent="0.25">
      <c r="B3" s="1" t="s">
        <v>21</v>
      </c>
    </row>
    <row r="4" spans="1:23" ht="15.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5.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5.75" x14ac:dyDescent="0.25">
      <c r="A6" s="8"/>
      <c r="B6" s="8" t="s">
        <v>22</v>
      </c>
      <c r="C6" s="8"/>
      <c r="D6" s="8"/>
      <c r="E6" s="8"/>
      <c r="F6" s="8" t="s">
        <v>23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5.75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ht="15.75" x14ac:dyDescent="0.25">
      <c r="A8" s="8"/>
      <c r="B8" s="8"/>
      <c r="C8" s="8" t="s">
        <v>13</v>
      </c>
      <c r="D8" s="8"/>
      <c r="E8" s="8"/>
      <c r="F8" s="9"/>
      <c r="G8" s="9" t="s">
        <v>24</v>
      </c>
      <c r="H8" s="10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5.75" x14ac:dyDescent="0.25">
      <c r="A9" s="8"/>
      <c r="B9" s="8"/>
      <c r="C9" s="8" t="s">
        <v>25</v>
      </c>
      <c r="D9" s="8"/>
      <c r="E9" s="8"/>
      <c r="F9" s="9"/>
      <c r="G9" s="9"/>
      <c r="H9" s="10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5.75" x14ac:dyDescent="0.25">
      <c r="A10" s="8"/>
      <c r="B10" s="8"/>
      <c r="C10" s="8"/>
      <c r="D10" s="8"/>
      <c r="E10" s="8"/>
      <c r="F10" s="9"/>
      <c r="G10" s="9"/>
      <c r="H10" s="10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5.75" x14ac:dyDescent="0.25">
      <c r="A11" s="8"/>
      <c r="B11" s="8"/>
      <c r="C11" s="8"/>
      <c r="D11" s="8"/>
      <c r="E11" s="8"/>
      <c r="F11" s="9"/>
      <c r="G11" s="9"/>
      <c r="H11" s="10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5.75" x14ac:dyDescent="0.25">
      <c r="A12" s="8"/>
      <c r="B12" s="8"/>
      <c r="C12" s="8"/>
      <c r="D12" s="8"/>
      <c r="E12" s="8"/>
      <c r="F12" s="9"/>
      <c r="G12" s="9"/>
      <c r="H12" s="10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5.75" x14ac:dyDescent="0.25">
      <c r="A13" s="8"/>
      <c r="B13" s="8"/>
      <c r="C13" s="8"/>
      <c r="D13" s="8"/>
      <c r="E13" s="8"/>
      <c r="F13" s="9"/>
      <c r="G13" s="9"/>
      <c r="H13" s="1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15.75" x14ac:dyDescent="0.25">
      <c r="A14" s="8"/>
      <c r="B14" s="8"/>
      <c r="C14" s="8"/>
      <c r="D14" s="8"/>
      <c r="E14" s="8"/>
      <c r="F14" s="9"/>
      <c r="G14" s="9"/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15.75" x14ac:dyDescent="0.25">
      <c r="A15" s="8"/>
      <c r="B15" s="8"/>
      <c r="C15" s="8"/>
      <c r="D15" s="8"/>
      <c r="E15" s="8"/>
      <c r="F15" s="9"/>
      <c r="G15" s="9"/>
      <c r="H15" s="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t="15.75" x14ac:dyDescent="0.25">
      <c r="A16" s="8"/>
      <c r="B16" s="8"/>
      <c r="C16" s="8"/>
      <c r="D16" s="8"/>
      <c r="E16" s="8"/>
      <c r="F16" s="9"/>
      <c r="G16" s="9"/>
      <c r="H16" s="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15.75" x14ac:dyDescent="0.25">
      <c r="A17" s="8"/>
      <c r="B17" s="8"/>
      <c r="C17" s="8"/>
      <c r="D17" s="8"/>
      <c r="E17" s="8"/>
      <c r="F17" s="9"/>
      <c r="G17" s="9"/>
      <c r="H17" s="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5.75" x14ac:dyDescent="0.25">
      <c r="A18" s="8"/>
      <c r="B18" s="8"/>
      <c r="C18" s="8"/>
      <c r="D18" s="8"/>
      <c r="E18" s="8"/>
      <c r="F18" s="9"/>
      <c r="G18" s="9"/>
      <c r="H18" s="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15.75" x14ac:dyDescent="0.25">
      <c r="A19" s="8"/>
      <c r="B19" s="8"/>
      <c r="C19" s="8"/>
      <c r="D19" s="8"/>
      <c r="E19" s="8"/>
      <c r="F19" s="9"/>
      <c r="G19" s="9"/>
      <c r="H19" s="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15.75" x14ac:dyDescent="0.25">
      <c r="A20" s="8"/>
      <c r="B20" s="8"/>
      <c r="C20" s="8"/>
      <c r="D20" s="8"/>
      <c r="E20" s="8"/>
      <c r="F20" s="9"/>
      <c r="G20" s="9"/>
      <c r="H20" s="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5.75" x14ac:dyDescent="0.25">
      <c r="A21" s="8"/>
      <c r="B21" s="8"/>
      <c r="C21" s="8"/>
      <c r="D21" s="8"/>
      <c r="E21" s="8"/>
      <c r="F21" s="9"/>
      <c r="G21" s="9"/>
      <c r="H21" s="9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5.75" x14ac:dyDescent="0.25">
      <c r="A22" s="8"/>
      <c r="B22" s="8"/>
      <c r="C22" s="8"/>
      <c r="D22" s="8"/>
      <c r="E22" s="8"/>
      <c r="F22" s="9"/>
      <c r="G22" s="9"/>
      <c r="H22" s="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5.75" x14ac:dyDescent="0.25">
      <c r="A23" s="8"/>
      <c r="B23" s="8"/>
      <c r="C23" s="8"/>
      <c r="D23" s="8"/>
      <c r="E23" s="8"/>
      <c r="F23" s="9"/>
      <c r="G23" s="9"/>
      <c r="H23" s="9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5.75" x14ac:dyDescent="0.25">
      <c r="A24" s="8"/>
      <c r="B24" s="8"/>
      <c r="C24" s="8"/>
      <c r="D24" s="8"/>
      <c r="E24" s="8"/>
      <c r="F24" s="9"/>
      <c r="G24" s="9"/>
      <c r="H24" s="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5.75" x14ac:dyDescent="0.25">
      <c r="A25" s="8"/>
      <c r="B25" s="8"/>
      <c r="C25" s="8"/>
      <c r="D25" s="8"/>
      <c r="E25" s="8"/>
      <c r="F25" s="9"/>
      <c r="G25" s="9"/>
      <c r="H25" s="9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5.75" x14ac:dyDescent="0.25">
      <c r="A26" s="8"/>
      <c r="B26" s="8"/>
      <c r="C26" s="8"/>
      <c r="D26" s="8"/>
      <c r="E26" s="8"/>
      <c r="F26" s="8"/>
      <c r="G26" s="8"/>
      <c r="H26" s="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15.75" x14ac:dyDescent="0.25">
      <c r="A27" s="8"/>
      <c r="B27" s="8"/>
      <c r="C27" s="8"/>
      <c r="D27" s="8"/>
      <c r="E27" s="8"/>
      <c r="F27" s="8"/>
      <c r="G27" s="8"/>
      <c r="H27" s="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15.75" x14ac:dyDescent="0.25">
      <c r="A28" s="8"/>
      <c r="B28" s="8"/>
      <c r="C28" s="8"/>
      <c r="D28" s="8"/>
      <c r="E28" s="8"/>
      <c r="F28" s="8"/>
      <c r="G28" s="8"/>
      <c r="H28" s="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15.75" x14ac:dyDescent="0.25">
      <c r="A29" s="8"/>
      <c r="B29" s="8"/>
      <c r="C29" s="8"/>
      <c r="D29" s="8"/>
      <c r="E29" s="8"/>
      <c r="F29" s="8"/>
      <c r="G29" s="8"/>
      <c r="H29" s="9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15.75" x14ac:dyDescent="0.25">
      <c r="A30" s="8"/>
      <c r="B30" s="8"/>
      <c r="C30" s="8"/>
      <c r="D30" s="8"/>
      <c r="E30" s="8"/>
      <c r="F30" s="8"/>
      <c r="G30" s="8"/>
      <c r="H30" s="9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5.75" x14ac:dyDescent="0.25">
      <c r="A31" s="8"/>
      <c r="B31" s="8"/>
      <c r="C31" s="8"/>
      <c r="D31" s="8"/>
      <c r="E31" s="8"/>
      <c r="F31" s="8"/>
      <c r="G31" s="8"/>
      <c r="H31" s="9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5.75" x14ac:dyDescent="0.25">
      <c r="A32" s="8"/>
      <c r="B32" s="8"/>
      <c r="C32" s="8"/>
      <c r="D32" s="8"/>
      <c r="E32" s="8"/>
      <c r="F32" s="8"/>
      <c r="G32" s="8"/>
      <c r="H32" s="9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5.75" x14ac:dyDescent="0.25">
      <c r="A33" s="8"/>
      <c r="B33" s="8"/>
      <c r="C33" s="8"/>
      <c r="D33" s="8"/>
      <c r="E33" s="8"/>
      <c r="F33" s="8"/>
      <c r="G33" s="8"/>
      <c r="H33" s="9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5.75" x14ac:dyDescent="0.25">
      <c r="A34" s="8"/>
      <c r="B34" s="8"/>
      <c r="C34" s="8"/>
      <c r="D34" s="8"/>
      <c r="E34" s="8"/>
      <c r="F34" s="8"/>
      <c r="G34" s="8"/>
      <c r="H34" s="9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5.75" x14ac:dyDescent="0.25">
      <c r="A35" s="8"/>
      <c r="B35" s="8"/>
      <c r="C35" s="8"/>
      <c r="D35" s="8"/>
      <c r="E35" s="8"/>
      <c r="F35" s="8"/>
      <c r="G35" s="8"/>
      <c r="H35" s="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5.75" x14ac:dyDescent="0.25">
      <c r="A36" s="8"/>
      <c r="B36" s="8"/>
      <c r="C36" s="8"/>
      <c r="D36" s="8"/>
      <c r="E36" s="8"/>
      <c r="F36" s="8"/>
      <c r="G36" s="8"/>
      <c r="H36" s="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5.75" x14ac:dyDescent="0.25">
      <c r="A37" s="8"/>
      <c r="B37" s="8"/>
      <c r="C37" s="8"/>
      <c r="D37" s="8"/>
      <c r="E37" s="8"/>
      <c r="F37" s="8"/>
      <c r="G37" s="8"/>
      <c r="H37" s="9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5.75" x14ac:dyDescent="0.25">
      <c r="A38" s="8"/>
      <c r="B38" s="8"/>
      <c r="C38" s="8"/>
      <c r="D38" s="8"/>
      <c r="E38" s="8"/>
      <c r="F38" s="8"/>
      <c r="G38" s="8"/>
      <c r="H38" s="9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5.75" x14ac:dyDescent="0.25">
      <c r="A39" s="8"/>
      <c r="B39" s="8"/>
      <c r="C39" s="8"/>
      <c r="D39" s="8"/>
      <c r="E39" s="8"/>
      <c r="F39" s="8"/>
      <c r="G39" s="8"/>
      <c r="H39" s="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5.75" x14ac:dyDescent="0.25">
      <c r="A40" s="8"/>
      <c r="B40" s="8"/>
      <c r="C40" s="8"/>
      <c r="D40" s="8"/>
      <c r="E40" s="8"/>
      <c r="F40" s="8"/>
      <c r="G40" s="8"/>
      <c r="H40" s="9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5.75" x14ac:dyDescent="0.25">
      <c r="A41" s="8"/>
      <c r="B41" s="8"/>
      <c r="C41" s="8"/>
      <c r="D41" s="8"/>
      <c r="E41" s="8"/>
      <c r="F41" s="8"/>
      <c r="G41" s="8"/>
      <c r="H41" s="9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5.75" x14ac:dyDescent="0.25">
      <c r="A42" s="8"/>
      <c r="B42" s="8"/>
      <c r="C42" s="8"/>
      <c r="D42" s="8"/>
      <c r="E42" s="8"/>
      <c r="F42" s="8"/>
      <c r="G42" s="8"/>
      <c r="H42" s="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5.75" x14ac:dyDescent="0.25">
      <c r="A43" s="8"/>
      <c r="B43" s="8"/>
      <c r="C43" s="8"/>
      <c r="D43" s="8"/>
      <c r="E43" s="8"/>
      <c r="F43" s="8"/>
      <c r="G43" s="8"/>
      <c r="H43" s="9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5.75" x14ac:dyDescent="0.25">
      <c r="A44" s="8"/>
      <c r="B44" s="8"/>
      <c r="C44" s="8"/>
      <c r="D44" s="8"/>
      <c r="E44" s="8"/>
      <c r="F44" s="8"/>
      <c r="G44" s="8"/>
      <c r="H44" s="9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5.75" x14ac:dyDescent="0.25">
      <c r="A45" s="8"/>
      <c r="B45" s="8"/>
      <c r="C45" s="8"/>
      <c r="D45" s="8"/>
      <c r="E45" s="8"/>
      <c r="F45" s="8"/>
      <c r="G45" s="8"/>
      <c r="H45" s="9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5.75" x14ac:dyDescent="0.25">
      <c r="A46" s="8"/>
      <c r="B46" s="8"/>
      <c r="C46" s="8"/>
      <c r="D46" s="8"/>
      <c r="E46" s="8"/>
      <c r="F46" s="8"/>
      <c r="G46" s="8"/>
      <c r="H46" s="9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5.75" x14ac:dyDescent="0.25">
      <c r="A47" s="8"/>
      <c r="B47" s="8"/>
      <c r="C47" s="8"/>
      <c r="D47" s="8"/>
      <c r="E47" s="8"/>
      <c r="F47" s="8"/>
      <c r="G47" s="8"/>
      <c r="H47" s="9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5.75" x14ac:dyDescent="0.25">
      <c r="A48" s="8"/>
      <c r="B48" s="8"/>
      <c r="C48" s="8"/>
      <c r="D48" s="8"/>
      <c r="E48" s="8"/>
      <c r="F48" s="8"/>
      <c r="G48" s="8"/>
      <c r="H48" s="9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5.75" x14ac:dyDescent="0.25">
      <c r="A49" s="8"/>
      <c r="B49" s="8"/>
      <c r="C49" s="8"/>
      <c r="D49" s="8"/>
      <c r="E49" s="8"/>
      <c r="F49" s="8"/>
      <c r="G49" s="8"/>
      <c r="H49" s="9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5.75" x14ac:dyDescent="0.25">
      <c r="A50" s="8"/>
      <c r="B50" s="8"/>
      <c r="C50" s="8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5.75" x14ac:dyDescent="0.25">
      <c r="A51" s="8"/>
      <c r="B51" s="8"/>
      <c r="C51" s="8"/>
      <c r="D51" s="8"/>
      <c r="E51" s="8"/>
      <c r="F51" s="8"/>
      <c r="G51" s="8"/>
      <c r="H51" s="9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5.75" x14ac:dyDescent="0.25">
      <c r="A52" s="8"/>
      <c r="B52" s="8"/>
      <c r="C52" s="8"/>
      <c r="D52" s="8"/>
      <c r="E52" s="8"/>
      <c r="F52" s="8"/>
      <c r="G52" s="8"/>
      <c r="H52" s="9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5.75" x14ac:dyDescent="0.25">
      <c r="A53" s="8"/>
      <c r="B53" s="8"/>
      <c r="C53" s="8"/>
      <c r="D53" s="8"/>
      <c r="E53" s="8"/>
      <c r="F53" s="8"/>
      <c r="G53" s="9"/>
      <c r="H53" s="9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5.75" x14ac:dyDescent="0.25">
      <c r="G54" s="9"/>
      <c r="H54" s="9"/>
    </row>
    <row r="55" spans="1:23" ht="15.75" x14ac:dyDescent="0.25">
      <c r="G55" s="9"/>
      <c r="H55" s="9"/>
    </row>
    <row r="56" spans="1:23" ht="15.75" x14ac:dyDescent="0.25">
      <c r="G56" s="9"/>
      <c r="H56" s="9"/>
    </row>
    <row r="57" spans="1:23" ht="15.75" x14ac:dyDescent="0.25">
      <c r="G57" s="9"/>
      <c r="H57" s="9"/>
    </row>
    <row r="58" spans="1:23" ht="15.75" x14ac:dyDescent="0.25">
      <c r="G58" s="9"/>
      <c r="H58" s="9"/>
    </row>
    <row r="59" spans="1:23" ht="15.75" x14ac:dyDescent="0.25">
      <c r="G59" s="9"/>
      <c r="H59" s="9"/>
    </row>
    <row r="60" spans="1:23" ht="15.75" x14ac:dyDescent="0.25">
      <c r="G60" s="9"/>
      <c r="H60" s="9"/>
    </row>
    <row r="61" spans="1:23" ht="15.75" x14ac:dyDescent="0.25">
      <c r="G61" s="9"/>
      <c r="H61" s="9"/>
    </row>
    <row r="62" spans="1:23" ht="15.75" x14ac:dyDescent="0.25">
      <c r="G62" s="9"/>
      <c r="H62" s="9"/>
    </row>
    <row r="63" spans="1:23" ht="15.75" x14ac:dyDescent="0.25">
      <c r="G63" s="9"/>
      <c r="H63" s="9"/>
    </row>
    <row r="64" spans="1:23" ht="15.75" x14ac:dyDescent="0.25">
      <c r="G64" s="9"/>
      <c r="H64" s="9"/>
    </row>
    <row r="65" spans="7:8" ht="15.75" x14ac:dyDescent="0.25">
      <c r="G65" s="9"/>
      <c r="H65" s="9"/>
    </row>
    <row r="66" spans="7:8" ht="15.75" x14ac:dyDescent="0.25">
      <c r="G66" s="9"/>
      <c r="H66" s="9"/>
    </row>
    <row r="67" spans="7:8" ht="15.75" x14ac:dyDescent="0.25">
      <c r="G67" s="9"/>
      <c r="H67" s="9"/>
    </row>
    <row r="68" spans="7:8" ht="15.75" x14ac:dyDescent="0.25">
      <c r="G68" s="9"/>
      <c r="H68" s="9"/>
    </row>
    <row r="69" spans="7:8" ht="15.75" x14ac:dyDescent="0.25">
      <c r="G69" s="9"/>
      <c r="H69" s="9"/>
    </row>
    <row r="70" spans="7:8" ht="15.75" x14ac:dyDescent="0.25">
      <c r="G70" s="9"/>
      <c r="H70" s="9"/>
    </row>
    <row r="71" spans="7:8" ht="15.75" x14ac:dyDescent="0.25">
      <c r="G71" s="9"/>
      <c r="H71" s="9"/>
    </row>
    <row r="72" spans="7:8" ht="15.75" x14ac:dyDescent="0.25">
      <c r="G72" s="9"/>
      <c r="H72" s="9"/>
    </row>
    <row r="73" spans="7:8" ht="15.75" x14ac:dyDescent="0.25">
      <c r="G73" s="9"/>
      <c r="H73" s="9"/>
    </row>
    <row r="74" spans="7:8" ht="15.75" x14ac:dyDescent="0.25">
      <c r="H74" s="8"/>
    </row>
    <row r="75" spans="7:8" ht="15.75" x14ac:dyDescent="0.25">
      <c r="H75" s="8"/>
    </row>
    <row r="76" spans="7:8" ht="15.75" x14ac:dyDescent="0.25">
      <c r="H76" s="8"/>
    </row>
    <row r="77" spans="7:8" ht="15.75" x14ac:dyDescent="0.25">
      <c r="H77" s="8"/>
    </row>
    <row r="78" spans="7:8" ht="15.75" x14ac:dyDescent="0.25">
      <c r="H78" s="8"/>
    </row>
    <row r="79" spans="7:8" ht="15.75" x14ac:dyDescent="0.25">
      <c r="H79" s="8"/>
    </row>
    <row r="80" spans="7:8" ht="15.75" x14ac:dyDescent="0.25">
      <c r="H80" s="8"/>
    </row>
    <row r="81" spans="8:8" ht="15.75" x14ac:dyDescent="0.25">
      <c r="H81" s="8"/>
    </row>
    <row r="82" spans="8:8" ht="15.75" x14ac:dyDescent="0.25">
      <c r="H82" s="8"/>
    </row>
    <row r="83" spans="8:8" ht="15.75" x14ac:dyDescent="0.25">
      <c r="H83" s="8"/>
    </row>
    <row r="84" spans="8:8" ht="15.75" x14ac:dyDescent="0.25">
      <c r="H84" s="8"/>
    </row>
    <row r="85" spans="8:8" ht="15.75" x14ac:dyDescent="0.25">
      <c r="H85" s="8"/>
    </row>
    <row r="86" spans="8:8" ht="15.75" x14ac:dyDescent="0.25">
      <c r="H86" s="8"/>
    </row>
    <row r="87" spans="8:8" ht="15.75" x14ac:dyDescent="0.25">
      <c r="H87" s="8"/>
    </row>
    <row r="88" spans="8:8" ht="15.75" x14ac:dyDescent="0.25">
      <c r="H88" s="8"/>
    </row>
    <row r="89" spans="8:8" ht="15.75" x14ac:dyDescent="0.25">
      <c r="H89" s="8"/>
    </row>
    <row r="90" spans="8:8" ht="15.75" x14ac:dyDescent="0.25">
      <c r="H90" s="8"/>
    </row>
    <row r="91" spans="8:8" ht="15.75" x14ac:dyDescent="0.25">
      <c r="H91" s="8"/>
    </row>
    <row r="92" spans="8:8" ht="15.75" x14ac:dyDescent="0.25">
      <c r="H92" s="8"/>
    </row>
    <row r="93" spans="8:8" ht="15.75" x14ac:dyDescent="0.25">
      <c r="H93" s="8"/>
    </row>
    <row r="94" spans="8:8" ht="15.75" x14ac:dyDescent="0.25">
      <c r="H94" s="8"/>
    </row>
    <row r="95" spans="8:8" ht="15.75" x14ac:dyDescent="0.25">
      <c r="H95" s="8"/>
    </row>
    <row r="96" spans="8:8" ht="15.75" x14ac:dyDescent="0.25">
      <c r="H96" s="8"/>
    </row>
    <row r="97" spans="8:8" ht="15.75" x14ac:dyDescent="0.25">
      <c r="H97" s="8"/>
    </row>
    <row r="98" spans="8:8" ht="15.75" x14ac:dyDescent="0.25">
      <c r="H98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DF1F8481386347ABF96E55D6D94A89" ma:contentTypeVersion="15" ma:contentTypeDescription="Create a new document." ma:contentTypeScope="" ma:versionID="42bd925111d5cb0f6c359a1a100b8a35">
  <xsd:schema xmlns:xsd="http://www.w3.org/2001/XMLSchema" xmlns:xs="http://www.w3.org/2001/XMLSchema" xmlns:p="http://schemas.microsoft.com/office/2006/metadata/properties" xmlns:ns1="http://schemas.microsoft.com/sharepoint/v3" xmlns:ns2="0409a30b-dac9-499f-8c12-c063c3a6bc32" xmlns:ns3="30e49430-8f3a-4fb7-998a-1ed2a5346fac" targetNamespace="http://schemas.microsoft.com/office/2006/metadata/properties" ma:root="true" ma:fieldsID="0f100f28872433471274318ec8ad314a" ns1:_="" ns2:_="" ns3:_="">
    <xsd:import namespace="http://schemas.microsoft.com/sharepoint/v3"/>
    <xsd:import namespace="0409a30b-dac9-499f-8c12-c063c3a6bc32"/>
    <xsd:import namespace="30e49430-8f3a-4fb7-998a-1ed2a5346f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9a30b-dac9-499f-8c12-c063c3a6bc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49430-8f3a-4fb7-998a-1ed2a5346fa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ed44f3b-985d-4e9e-b8c1-9b8a736bea6f}" ma:internalName="TaxCatchAll" ma:showField="CatchAllData" ma:web="30e49430-8f3a-4fb7-998a-1ed2a5346f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409a30b-dac9-499f-8c12-c063c3a6bc32">
      <Terms xmlns="http://schemas.microsoft.com/office/infopath/2007/PartnerControls"/>
    </lcf76f155ced4ddcb4097134ff3c332f>
    <TaxCatchAll xmlns="30e49430-8f3a-4fb7-998a-1ed2a5346fa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C5FE23-A61E-4AC7-852E-EBF3CF1837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409a30b-dac9-499f-8c12-c063c3a6bc32"/>
    <ds:schemaRef ds:uri="30e49430-8f3a-4fb7-998a-1ed2a5346f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737D94-D3C7-4B7C-9582-9EB2DEF7AA9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B46ED47-EC71-4ECB-B6E9-97E0AD5B3356}">
  <ds:schemaRefs>
    <ds:schemaRef ds:uri="http://purl.org/dc/terms/"/>
    <ds:schemaRef ds:uri="http://schemas.microsoft.com/office/2006/documentManagement/types"/>
    <ds:schemaRef ds:uri="0409a30b-dac9-499f-8c12-c063c3a6bc32"/>
    <ds:schemaRef ds:uri="http://schemas.microsoft.com/sharepoint/v3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30e49430-8f3a-4fb7-998a-1ed2a5346fac"/>
  </ds:schemaRefs>
</ds:datastoreItem>
</file>

<file path=customXml/itemProps4.xml><?xml version="1.0" encoding="utf-8"?>
<ds:datastoreItem xmlns:ds="http://schemas.openxmlformats.org/officeDocument/2006/customXml" ds:itemID="{F02FF3F7-325A-48F1-B79D-2D1F26FE87B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Example Self-Score Instructions</vt:lpstr>
      <vt:lpstr>GO_NO-GO Gate</vt:lpstr>
      <vt:lpstr>Technical Matrix</vt:lpstr>
      <vt:lpstr>XLSX Data Elements</vt:lpstr>
      <vt:lpstr>'Technical Matrix'!Print_Area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Nulk, Raymond H CTR USARMY JPEO AA (USA)</dc:creator>
  <cp:keywords/>
  <dc:description/>
  <cp:lastModifiedBy>Vanatta, Jessica A CIV USARMY CPE AE (USA)</cp:lastModifiedBy>
  <cp:revision/>
  <cp:lastPrinted>2026-04-22T18:25:15Z</cp:lastPrinted>
  <dcterms:created xsi:type="dcterms:W3CDTF">2015-06-05T18:17:20Z</dcterms:created>
  <dcterms:modified xsi:type="dcterms:W3CDTF">2026-04-24T17:14:32Z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0x01010015DF1F8481386347ABF96E55D6D94A89</vt:lpwstr>
  </property>
  <property fmtid="{D5CDD505-2E9C-101B-9397-08002B2CF9AE}" pid="3" name="MediaServiceImageTags">
    <vt:lpwstr/>
  </property>
</Properties>
</file>