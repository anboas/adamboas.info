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.goldsmith\OneDrive - US Navy-flankspeed\Desktop\janitorial\"/>
    </mc:Choice>
  </mc:AlternateContent>
  <xr:revisionPtr revIDLastSave="0" documentId="13_ncr:1_{CF431486-2F96-4AA0-9F37-7C0617ED4420}" xr6:coauthVersionLast="47" xr6:coauthVersionMax="47" xr10:uidLastSave="{00000000-0000-0000-0000-000000000000}"/>
  <bookViews>
    <workbookView xWindow="-28920" yWindow="-300" windowWidth="29040" windowHeight="15630" firstSheet="84" activeTab="84" xr2:uid="{00000000-000D-0000-FFFF-FFFF00000000}"/>
  </bookViews>
  <sheets>
    <sheet name="BLDG 20" sheetId="29" r:id="rId1"/>
    <sheet name="BLDG 116 " sheetId="1" r:id="rId2"/>
    <sheet name="BLDG 159" sheetId="3" r:id="rId3"/>
    <sheet name="BLDG 160" sheetId="2" r:id="rId4"/>
    <sheet name="BLDG 194" sheetId="4" r:id="rId5"/>
    <sheet name="BLDG 194A" sheetId="5" r:id="rId6"/>
    <sheet name="BLDG 268" sheetId="6" r:id="rId7"/>
    <sheet name="BLDG 292" sheetId="7" r:id="rId8"/>
    <sheet name="BLDG 299" sheetId="8" r:id="rId9"/>
    <sheet name="BLDG 300" sheetId="9" r:id="rId10"/>
    <sheet name="BLDG 301" sheetId="10" r:id="rId11"/>
    <sheet name="BLDG 302" sheetId="11" r:id="rId12"/>
    <sheet name="BLDG 331" sheetId="12" r:id="rId13"/>
    <sheet name="BLDG 435" sheetId="13" r:id="rId14"/>
    <sheet name="BLDG 456" sheetId="14" r:id="rId15"/>
    <sheet name="BLDG 482" sheetId="15" r:id="rId16"/>
    <sheet name="BLDG 490" sheetId="16" r:id="rId17"/>
    <sheet name="BLDG 526" sheetId="17" r:id="rId18"/>
    <sheet name="BLDG 544" sheetId="18" r:id="rId19"/>
    <sheet name="BLDG 545" sheetId="19" r:id="rId20"/>
    <sheet name="BLDG 559" sheetId="20" r:id="rId21"/>
    <sheet name="BLDG 581" sheetId="21" r:id="rId22"/>
    <sheet name="BLDG 600" sheetId="22" r:id="rId23"/>
    <sheet name="BLDG 695" sheetId="23" r:id="rId24"/>
    <sheet name="BLDG 702" sheetId="24" r:id="rId25"/>
    <sheet name="BLDG 703" sheetId="25" r:id="rId26"/>
    <sheet name="BLDG 715" sheetId="26" r:id="rId27"/>
    <sheet name="BLDG 748" sheetId="27" r:id="rId28"/>
    <sheet name="BLDG 749" sheetId="28" r:id="rId29"/>
    <sheet name="BLDG 759" sheetId="30" r:id="rId30"/>
    <sheet name="BLDG 763" sheetId="31" r:id="rId31"/>
    <sheet name="BLDG 764" sheetId="32" r:id="rId32"/>
    <sheet name="BLDG 765" sheetId="33" r:id="rId33"/>
    <sheet name="BLDG 766" sheetId="34" r:id="rId34"/>
    <sheet name="BLDG 821" sheetId="35" r:id="rId35"/>
    <sheet name="BLDG 841" sheetId="36" r:id="rId36"/>
    <sheet name="BLDG 845" sheetId="38" r:id="rId37"/>
    <sheet name="BLDG 855" sheetId="39" r:id="rId38"/>
    <sheet name="BLDG 863" sheetId="40" r:id="rId39"/>
    <sheet name="BLDG 864" sheetId="41" r:id="rId40"/>
    <sheet name="BLDG 866" sheetId="43" r:id="rId41"/>
    <sheet name="BLDG 888" sheetId="44" r:id="rId42"/>
    <sheet name="BLDG 890" sheetId="45" r:id="rId43"/>
    <sheet name="BLDG 1104" sheetId="46" r:id="rId44"/>
    <sheet name="BLDG 1134" sheetId="47" r:id="rId45"/>
    <sheet name="BLDG 1424" sheetId="48" r:id="rId46"/>
    <sheet name="BLDG 1557" sheetId="49" r:id="rId47"/>
    <sheet name="BLDG 1576" sheetId="50" r:id="rId48"/>
    <sheet name="BLDG 1581" sheetId="51" r:id="rId49"/>
    <sheet name="BLDG 1601" sheetId="52" r:id="rId50"/>
    <sheet name="BLDG 1685" sheetId="53" r:id="rId51"/>
    <sheet name="BLDG 1730" sheetId="54" r:id="rId52"/>
    <sheet name="BLDG 1773" sheetId="55" r:id="rId53"/>
    <sheet name="BLDG 1835" sheetId="56" r:id="rId54"/>
    <sheet name="BLDG 1864" sheetId="57" r:id="rId55"/>
    <sheet name="BLDG 1865" sheetId="58" r:id="rId56"/>
    <sheet name="BLDG 1891" sheetId="59" r:id="rId57"/>
    <sheet name="BLDG 1895" sheetId="60" r:id="rId58"/>
    <sheet name="BLDG 1900" sheetId="61" r:id="rId59"/>
    <sheet name="BLDG 1914" sheetId="62" r:id="rId60"/>
    <sheet name="BLDG 1951" sheetId="63" r:id="rId61"/>
    <sheet name="BLDG 1952" sheetId="64" r:id="rId62"/>
    <sheet name="BLDG 1953" sheetId="65" r:id="rId63"/>
    <sheet name="BLDG 1954" sheetId="66" r:id="rId64"/>
    <sheet name="BLDG 1955" sheetId="67" r:id="rId65"/>
    <sheet name="BLDG 3133" sheetId="68" r:id="rId66"/>
    <sheet name="BLDG 3137" sheetId="69" r:id="rId67"/>
    <sheet name="BLDG 3146" sheetId="72" r:id="rId68"/>
    <sheet name="BLDG 3157" sheetId="73" r:id="rId69"/>
    <sheet name="BLDG D31" sheetId="74" r:id="rId70"/>
    <sheet name="BLDG D69" sheetId="75" r:id="rId71"/>
    <sheet name="BLDG D71" sheetId="78" r:id="rId72"/>
    <sheet name="BLDG D323" sheetId="79" r:id="rId73"/>
    <sheet name="BLDG D326" sheetId="80" r:id="rId74"/>
    <sheet name="BLDG D332" sheetId="81" r:id="rId75"/>
    <sheet name="BLDG D340" sheetId="82" r:id="rId76"/>
    <sheet name="BLDG T-18" sheetId="83" r:id="rId77"/>
    <sheet name="BLDG 303" sheetId="84" r:id="rId78"/>
    <sheet name="BLDG 731" sheetId="85" r:id="rId79"/>
    <sheet name="BLDG 880" sheetId="86" r:id="rId80"/>
    <sheet name="BLDG 1662" sheetId="87" r:id="rId81"/>
    <sheet name="BLDG 3200" sheetId="88" r:id="rId82"/>
    <sheet name="BLDG T-105" sheetId="89" r:id="rId83"/>
    <sheet name="BLDG T-106" sheetId="90" r:id="rId84"/>
    <sheet name="BLDG 869" sheetId="92" r:id="rId8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4" l="1"/>
  <c r="F8" i="5"/>
  <c r="F7" i="4"/>
  <c r="F8" i="92" l="1"/>
  <c r="F7" i="90" l="1"/>
  <c r="F7" i="89"/>
  <c r="F8" i="88"/>
  <c r="F7" i="87"/>
  <c r="F7" i="86"/>
  <c r="F5" i="85"/>
  <c r="F9" i="84"/>
  <c r="F8" i="80"/>
  <c r="F8" i="78"/>
  <c r="F8" i="75"/>
  <c r="F8" i="58" l="1"/>
  <c r="F8" i="51"/>
  <c r="F7" i="27"/>
  <c r="F8" i="14"/>
  <c r="F8" i="13"/>
  <c r="F7" i="8"/>
  <c r="F8" i="12" l="1"/>
  <c r="F5" i="83" l="1"/>
  <c r="F8" i="82"/>
  <c r="F6" i="81"/>
  <c r="F7" i="79"/>
  <c r="F8" i="74"/>
  <c r="F8" i="73"/>
  <c r="F6" i="72"/>
  <c r="F8" i="69"/>
  <c r="F8" i="68"/>
  <c r="F5" i="67"/>
  <c r="F5" i="66"/>
  <c r="F5" i="65"/>
  <c r="F5" i="64"/>
  <c r="F5" i="63"/>
  <c r="F8" i="62"/>
  <c r="F8" i="61"/>
  <c r="F5" i="60"/>
  <c r="F5" i="59"/>
  <c r="F8" i="57"/>
  <c r="F6" i="56"/>
  <c r="F6" i="55"/>
  <c r="F8" i="54"/>
  <c r="F8" i="53"/>
  <c r="F8" i="52"/>
  <c r="F8" i="50"/>
  <c r="F7" i="49"/>
  <c r="F7" i="48"/>
  <c r="F5" i="47"/>
  <c r="F7" i="46"/>
  <c r="F6" i="45"/>
  <c r="F7" i="43"/>
  <c r="F8" i="41"/>
  <c r="F7" i="40" l="1"/>
  <c r="F7" i="39"/>
  <c r="F5" i="38"/>
  <c r="F7" i="36"/>
  <c r="F5" i="35"/>
  <c r="F6" i="34"/>
  <c r="F8" i="33"/>
  <c r="F7" i="32"/>
  <c r="F6" i="31"/>
  <c r="F7" i="30"/>
  <c r="F8" i="28"/>
  <c r="F6" i="26"/>
  <c r="F8" i="25"/>
  <c r="F7" i="24"/>
  <c r="F8" i="23"/>
  <c r="F8" i="22" l="1"/>
  <c r="F8" i="21"/>
  <c r="F8" i="20"/>
  <c r="F8" i="19"/>
  <c r="F7" i="18"/>
  <c r="F7" i="17"/>
  <c r="F8" i="16" l="1"/>
  <c r="F8" i="15"/>
  <c r="F8" i="11"/>
  <c r="F8" i="10"/>
  <c r="F8" i="9"/>
  <c r="F9" i="7"/>
  <c r="F8" i="6"/>
  <c r="F5" i="3"/>
  <c r="F7" i="2"/>
  <c r="F9" i="1"/>
  <c r="F8" i="29"/>
</calcChain>
</file>

<file path=xl/sharedStrings.xml><?xml version="1.0" encoding="utf-8"?>
<sst xmlns="http://schemas.openxmlformats.org/spreadsheetml/2006/main" count="2028" uniqueCount="53">
  <si>
    <t>PWD SOUTH POTOMAC</t>
  </si>
  <si>
    <t>Customer:  NAVAL SURFACE WARFARE CENTER (NSWC) INDIAN HEAD</t>
  </si>
  <si>
    <t>Building         No.</t>
  </si>
  <si>
    <t>Floor No.</t>
  </si>
  <si>
    <t>Room No.</t>
  </si>
  <si>
    <t>Type of Space</t>
  </si>
  <si>
    <t>Floor Type</t>
  </si>
  <si>
    <t>Area (SF)</t>
  </si>
  <si>
    <t>Security Requirements   Y/N</t>
  </si>
  <si>
    <t>Service Class</t>
  </si>
  <si>
    <t>Admin</t>
  </si>
  <si>
    <t>Carpet</t>
  </si>
  <si>
    <t>N</t>
  </si>
  <si>
    <t>A</t>
  </si>
  <si>
    <t>Tile</t>
  </si>
  <si>
    <t>Restroom (7)</t>
  </si>
  <si>
    <t>Kitchen</t>
  </si>
  <si>
    <t>TOTAL SF</t>
  </si>
  <si>
    <t>C</t>
  </si>
  <si>
    <t>Restroom (5)</t>
  </si>
  <si>
    <t>159/159A</t>
  </si>
  <si>
    <t>Restroom</t>
  </si>
  <si>
    <t>Restroom (2)</t>
  </si>
  <si>
    <t>vestibule</t>
  </si>
  <si>
    <t>kitchen</t>
  </si>
  <si>
    <t>194A</t>
  </si>
  <si>
    <t>carpet</t>
  </si>
  <si>
    <t>Restroom (6)</t>
  </si>
  <si>
    <t>concrete</t>
  </si>
  <si>
    <t>Restroom (3)</t>
  </si>
  <si>
    <t>Restroom (4)</t>
  </si>
  <si>
    <t>Admin Area</t>
  </si>
  <si>
    <t xml:space="preserve">Kitchen </t>
  </si>
  <si>
    <t xml:space="preserve">Admin </t>
  </si>
  <si>
    <t>Concrete</t>
  </si>
  <si>
    <t>Building No.</t>
  </si>
  <si>
    <t>Restroom/Locker Room (4)</t>
  </si>
  <si>
    <t>Entrance</t>
  </si>
  <si>
    <t>tile</t>
  </si>
  <si>
    <t>Restroom/Locker Room (3)</t>
  </si>
  <si>
    <t>Restroom/Locker Room (5)</t>
  </si>
  <si>
    <t>Y</t>
  </si>
  <si>
    <t>D31</t>
  </si>
  <si>
    <t>D69</t>
  </si>
  <si>
    <t>D71</t>
  </si>
  <si>
    <t>D323</t>
  </si>
  <si>
    <t>D326</t>
  </si>
  <si>
    <t>D332</t>
  </si>
  <si>
    <t>D340</t>
  </si>
  <si>
    <t>T-18</t>
  </si>
  <si>
    <t xml:space="preserve">Restroom </t>
  </si>
  <si>
    <t>T105</t>
  </si>
  <si>
    <t>T106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</si>
</sst>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right" vertical="center" wrapText="1"/>
    </xf>
    <xf numFmtId="0" fontId="8" fillId="0" borderId="0" xfId="0" applyFont="1"/>
    <xf numFmtId="0" fontId="6" fillId="0" borderId="0" xfId="0" applyFont="1"/>
    <xf numFmtId="1" fontId="6" fillId="0" borderId="0" xfId="0" applyNumberFormat="1" applyFont="1"/>
    <xf numFmtId="3" fontId="6" fillId="0" borderId="0" xfId="0" applyNumberFormat="1" applyFont="1"/>
    <xf numFmtId="1" fontId="3" fillId="3" borderId="1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left"/>
    </xf>
    <xf numFmtId="3" fontId="7" fillId="0" borderId="0" xfId="0" applyNumberFormat="1" applyFont="1"/>
    <xf numFmtId="1" fontId="3" fillId="3" borderId="1" xfId="0" applyNumberFormat="1" applyFont="1" applyFill="1" applyBorder="1" applyAlignment="1">
      <alignment horizontal="center"/>
    </xf>
    <xf numFmtId="0" fontId="8" fillId="0" borderId="1" xfId="0" applyFont="1" applyBorder="1"/>
    <xf numFmtId="1" fontId="3" fillId="0" borderId="1" xfId="8" applyNumberFormat="1" applyFont="1" applyBorder="1" applyAlignment="1">
      <alignment horizontal="right" vertical="center"/>
    </xf>
    <xf numFmtId="0" fontId="3" fillId="0" borderId="1" xfId="8" applyFont="1" applyBorder="1" applyAlignment="1">
      <alignment horizontal="center" vertical="center"/>
    </xf>
    <xf numFmtId="0" fontId="3" fillId="0" borderId="1" xfId="8" applyFont="1" applyBorder="1" applyAlignment="1">
      <alignment horizontal="left" vertical="center"/>
    </xf>
    <xf numFmtId="0" fontId="10" fillId="0" borderId="0" xfId="0" applyFont="1"/>
    <xf numFmtId="0" fontId="8" fillId="0" borderId="1" xfId="0" applyFont="1" applyBorder="1" applyAlignment="1">
      <alignment horizontal="center"/>
    </xf>
    <xf numFmtId="0" fontId="9" fillId="0" borderId="0" xfId="0" applyFont="1"/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1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2">
    <cellStyle name="Comma" xfId="11" builtinId="3"/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2 3 2" xfId="10" xr:uid="{00000000-0005-0000-0000-000007000000}"/>
    <cellStyle name="Normal 2 4" xfId="9" xr:uid="{00000000-0005-0000-0000-000008000000}"/>
    <cellStyle name="Normal 3" xfId="1" xr:uid="{00000000-0005-0000-0000-000009000000}"/>
    <cellStyle name="Normal 6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9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F4" sqref="F4"/>
    </sheetView>
  </sheetViews>
  <sheetFormatPr defaultRowHeight="15"/>
  <cols>
    <col min="1" max="1" width="12" customWidth="1"/>
    <col min="2" max="2" width="10" customWidth="1"/>
    <col min="3" max="3" width="9.5703125" customWidth="1"/>
    <col min="4" max="4" width="12.140625" customWidth="1"/>
    <col min="5" max="5" width="12.28515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20</v>
      </c>
      <c r="B4" s="2"/>
      <c r="C4" s="2"/>
      <c r="D4" s="2" t="s">
        <v>10</v>
      </c>
      <c r="E4" s="2" t="s">
        <v>11</v>
      </c>
      <c r="F4" s="10">
        <v>7821</v>
      </c>
      <c r="G4" s="26" t="s">
        <v>12</v>
      </c>
      <c r="H4" s="4" t="s">
        <v>13</v>
      </c>
    </row>
    <row r="5" spans="1:8">
      <c r="A5" s="1">
        <v>20</v>
      </c>
      <c r="B5" s="2"/>
      <c r="C5" s="2"/>
      <c r="D5" s="2" t="s">
        <v>10</v>
      </c>
      <c r="E5" s="2" t="s">
        <v>14</v>
      </c>
      <c r="F5" s="10">
        <v>262</v>
      </c>
      <c r="G5" s="26" t="s">
        <v>12</v>
      </c>
      <c r="H5" s="4" t="s">
        <v>13</v>
      </c>
    </row>
    <row r="6" spans="1:8">
      <c r="A6" s="1">
        <v>20</v>
      </c>
      <c r="B6" s="2"/>
      <c r="C6" s="2"/>
      <c r="D6" s="2" t="s">
        <v>15</v>
      </c>
      <c r="E6" s="2" t="s">
        <v>14</v>
      </c>
      <c r="F6" s="10">
        <v>415</v>
      </c>
      <c r="G6" s="26" t="s">
        <v>12</v>
      </c>
      <c r="H6" s="4" t="s">
        <v>13</v>
      </c>
    </row>
    <row r="7" spans="1:8">
      <c r="A7" s="1">
        <v>20</v>
      </c>
      <c r="B7" s="2"/>
      <c r="C7" s="2"/>
      <c r="D7" s="2" t="s">
        <v>16</v>
      </c>
      <c r="E7" s="2" t="s">
        <v>14</v>
      </c>
      <c r="F7" s="10">
        <v>59</v>
      </c>
      <c r="G7" s="26" t="s">
        <v>12</v>
      </c>
      <c r="H7" s="4" t="s">
        <v>13</v>
      </c>
    </row>
    <row r="8" spans="1:8">
      <c r="E8" s="12" t="s">
        <v>17</v>
      </c>
      <c r="F8" s="13">
        <f>SUM(F4:F7)</f>
        <v>8557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H18" sqref="H18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2.140625" customWidth="1"/>
    <col min="5" max="5" width="11.71093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116</v>
      </c>
      <c r="B4" s="2"/>
      <c r="C4" s="2"/>
      <c r="D4" s="2" t="s">
        <v>10</v>
      </c>
      <c r="E4" s="2" t="s">
        <v>11</v>
      </c>
      <c r="F4" s="10">
        <v>6835</v>
      </c>
      <c r="G4" s="26" t="s">
        <v>12</v>
      </c>
      <c r="H4" s="4" t="s">
        <v>18</v>
      </c>
    </row>
    <row r="5" spans="1:8">
      <c r="A5" s="1">
        <v>116</v>
      </c>
      <c r="B5" s="2"/>
      <c r="C5" s="2"/>
      <c r="D5" s="2" t="s">
        <v>10</v>
      </c>
      <c r="E5" s="2" t="s">
        <v>14</v>
      </c>
      <c r="F5" s="10">
        <v>634</v>
      </c>
      <c r="G5" s="26" t="s">
        <v>12</v>
      </c>
      <c r="H5" s="4" t="s">
        <v>18</v>
      </c>
    </row>
    <row r="6" spans="1:8">
      <c r="A6" s="1">
        <v>116</v>
      </c>
      <c r="B6" s="2"/>
      <c r="C6" s="2"/>
      <c r="D6" s="2" t="s">
        <v>19</v>
      </c>
      <c r="E6" s="2" t="s">
        <v>14</v>
      </c>
      <c r="F6" s="10">
        <v>441</v>
      </c>
      <c r="G6" s="26" t="s">
        <v>12</v>
      </c>
      <c r="H6" s="4" t="s">
        <v>18</v>
      </c>
    </row>
    <row r="7" spans="1:8">
      <c r="A7" s="1">
        <v>116</v>
      </c>
      <c r="B7" s="2"/>
      <c r="C7" s="2"/>
      <c r="D7" s="2" t="s">
        <v>16</v>
      </c>
      <c r="E7" s="2" t="s">
        <v>14</v>
      </c>
      <c r="F7" s="10">
        <v>441</v>
      </c>
      <c r="G7" s="26" t="s">
        <v>12</v>
      </c>
      <c r="H7" s="4" t="s">
        <v>18</v>
      </c>
    </row>
    <row r="8" spans="1:8">
      <c r="A8" s="1">
        <v>116</v>
      </c>
      <c r="B8" s="2"/>
      <c r="C8" s="2"/>
      <c r="D8" s="2" t="s">
        <v>16</v>
      </c>
      <c r="E8" s="2" t="s">
        <v>11</v>
      </c>
      <c r="F8" s="10">
        <v>125</v>
      </c>
      <c r="G8" s="26" t="s">
        <v>12</v>
      </c>
      <c r="H8" s="4" t="s">
        <v>18</v>
      </c>
    </row>
    <row r="9" spans="1:8">
      <c r="E9" s="12" t="s">
        <v>17</v>
      </c>
      <c r="F9" s="13">
        <f>SUM(F4:F8)</f>
        <v>8476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J10" sqref="J10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1.7109375" customWidth="1"/>
    <col min="5" max="5" width="9.71093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 t="s">
        <v>20</v>
      </c>
      <c r="B4" s="2"/>
      <c r="C4" s="2"/>
      <c r="D4" s="2" t="s">
        <v>21</v>
      </c>
      <c r="E4" s="2" t="s">
        <v>14</v>
      </c>
      <c r="F4" s="3">
        <v>50</v>
      </c>
      <c r="G4" s="26" t="s">
        <v>12</v>
      </c>
      <c r="H4" s="4" t="s">
        <v>18</v>
      </c>
    </row>
    <row r="5" spans="1:8">
      <c r="E5" s="12" t="s">
        <v>17</v>
      </c>
      <c r="F5" s="14">
        <f>SUM(F4)</f>
        <v>50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F9" sqref="F9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3.85546875" customWidth="1"/>
    <col min="5" max="5" width="12.57031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160</v>
      </c>
      <c r="B4" s="2"/>
      <c r="C4" s="2"/>
      <c r="D4" s="2" t="s">
        <v>10</v>
      </c>
      <c r="E4" s="2" t="s">
        <v>11</v>
      </c>
      <c r="F4" s="10">
        <v>756</v>
      </c>
      <c r="G4" s="26" t="s">
        <v>12</v>
      </c>
      <c r="H4" s="4" t="s">
        <v>18</v>
      </c>
    </row>
    <row r="5" spans="1:8">
      <c r="A5" s="1">
        <v>160</v>
      </c>
      <c r="B5" s="2"/>
      <c r="C5" s="2"/>
      <c r="D5" s="2" t="s">
        <v>10</v>
      </c>
      <c r="E5" s="2" t="s">
        <v>14</v>
      </c>
      <c r="F5" s="10">
        <v>2611</v>
      </c>
      <c r="G5" s="26" t="s">
        <v>12</v>
      </c>
      <c r="H5" s="4" t="s">
        <v>18</v>
      </c>
    </row>
    <row r="6" spans="1:8">
      <c r="A6" s="1">
        <v>160</v>
      </c>
      <c r="B6" s="2"/>
      <c r="C6" s="2"/>
      <c r="D6" s="2" t="s">
        <v>22</v>
      </c>
      <c r="E6" s="2" t="s">
        <v>14</v>
      </c>
      <c r="F6" s="10">
        <v>136</v>
      </c>
      <c r="G6" s="26" t="s">
        <v>12</v>
      </c>
      <c r="H6" s="4" t="s">
        <v>18</v>
      </c>
    </row>
    <row r="7" spans="1:8">
      <c r="E7" s="12" t="s">
        <v>17</v>
      </c>
      <c r="F7" s="13">
        <f>SUM(F4:F6)</f>
        <v>3503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selection activeCell="F7" sqref="F7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3.85546875" customWidth="1"/>
    <col min="5" max="5" width="12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194</v>
      </c>
      <c r="B4" s="2"/>
      <c r="C4" s="2"/>
      <c r="D4" s="2" t="s">
        <v>22</v>
      </c>
      <c r="E4" s="2" t="s">
        <v>14</v>
      </c>
      <c r="F4" s="10">
        <v>765</v>
      </c>
      <c r="G4" s="26" t="s">
        <v>12</v>
      </c>
      <c r="H4" s="4" t="s">
        <v>18</v>
      </c>
    </row>
    <row r="5" spans="1:8">
      <c r="A5" s="1">
        <v>194</v>
      </c>
      <c r="B5" s="2"/>
      <c r="C5" s="2"/>
      <c r="D5" s="2" t="s">
        <v>23</v>
      </c>
      <c r="E5" s="2" t="s">
        <v>14</v>
      </c>
      <c r="F5" s="10">
        <v>104</v>
      </c>
      <c r="G5" s="26" t="s">
        <v>12</v>
      </c>
      <c r="H5" s="4" t="s">
        <v>18</v>
      </c>
    </row>
    <row r="6" spans="1:8">
      <c r="A6" s="1">
        <v>194</v>
      </c>
      <c r="B6" s="2"/>
      <c r="C6" s="2"/>
      <c r="D6" s="2" t="s">
        <v>24</v>
      </c>
      <c r="E6" s="2" t="s">
        <v>14</v>
      </c>
      <c r="F6" s="10">
        <v>420</v>
      </c>
      <c r="G6" s="26" t="s">
        <v>12</v>
      </c>
      <c r="H6" s="4" t="s">
        <v>18</v>
      </c>
    </row>
    <row r="7" spans="1:8">
      <c r="E7" s="12" t="s">
        <v>17</v>
      </c>
      <c r="F7" s="13">
        <f>SUM(F4+F5+F6)</f>
        <v>1289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activeCell="H11" sqref="H11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5" customWidth="1"/>
    <col min="5" max="5" width="12.57031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 t="s">
        <v>25</v>
      </c>
      <c r="B4" s="2"/>
      <c r="C4" s="2"/>
      <c r="D4" s="2" t="s">
        <v>10</v>
      </c>
      <c r="E4" s="2" t="s">
        <v>26</v>
      </c>
      <c r="F4" s="10">
        <v>360</v>
      </c>
      <c r="G4" s="26" t="s">
        <v>12</v>
      </c>
      <c r="H4" s="4" t="s">
        <v>18</v>
      </c>
    </row>
    <row r="5" spans="1:8">
      <c r="A5" s="1" t="s">
        <v>25</v>
      </c>
      <c r="B5" s="2"/>
      <c r="C5" s="2"/>
      <c r="D5" s="2" t="s">
        <v>21</v>
      </c>
      <c r="E5" s="2" t="s">
        <v>14</v>
      </c>
      <c r="F5" s="10">
        <v>82</v>
      </c>
      <c r="G5" s="26" t="s">
        <v>12</v>
      </c>
      <c r="H5" s="4" t="s">
        <v>18</v>
      </c>
    </row>
    <row r="6" spans="1:8">
      <c r="A6" s="1" t="s">
        <v>25</v>
      </c>
      <c r="B6" s="2"/>
      <c r="C6" s="2"/>
      <c r="D6" s="2" t="s">
        <v>16</v>
      </c>
      <c r="E6" s="2" t="s">
        <v>14</v>
      </c>
      <c r="F6" s="10">
        <v>694</v>
      </c>
      <c r="G6" s="26" t="s">
        <v>12</v>
      </c>
      <c r="H6" s="4" t="s">
        <v>18</v>
      </c>
    </row>
    <row r="7" spans="1:8">
      <c r="A7" s="1" t="s">
        <v>25</v>
      </c>
      <c r="B7" s="2"/>
      <c r="C7" s="2"/>
      <c r="D7" s="2" t="s">
        <v>23</v>
      </c>
      <c r="E7" s="2" t="s">
        <v>14</v>
      </c>
      <c r="F7" s="10">
        <v>108</v>
      </c>
      <c r="G7" s="26" t="s">
        <v>12</v>
      </c>
      <c r="H7" s="4" t="s">
        <v>18</v>
      </c>
    </row>
    <row r="8" spans="1:8">
      <c r="E8" s="12" t="s">
        <v>17</v>
      </c>
      <c r="F8" s="13">
        <f>SUM(F4+F5+F6+F7)</f>
        <v>1244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activeCell="I13" sqref="I13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5.5703125" customWidth="1"/>
    <col min="5" max="5" width="12.71093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268</v>
      </c>
      <c r="B4" s="2"/>
      <c r="C4" s="2"/>
      <c r="D4" s="2" t="s">
        <v>10</v>
      </c>
      <c r="E4" s="2" t="s">
        <v>11</v>
      </c>
      <c r="F4" s="10">
        <v>3212</v>
      </c>
      <c r="G4" s="26" t="s">
        <v>12</v>
      </c>
      <c r="H4" s="4" t="s">
        <v>18</v>
      </c>
    </row>
    <row r="5" spans="1:8">
      <c r="A5" s="1">
        <v>268</v>
      </c>
      <c r="B5" s="2"/>
      <c r="C5" s="2"/>
      <c r="D5" s="2" t="s">
        <v>10</v>
      </c>
      <c r="E5" s="2" t="s">
        <v>14</v>
      </c>
      <c r="F5" s="10">
        <v>1270</v>
      </c>
      <c r="G5" s="26" t="s">
        <v>12</v>
      </c>
      <c r="H5" s="4" t="s">
        <v>18</v>
      </c>
    </row>
    <row r="6" spans="1:8">
      <c r="A6" s="1">
        <v>268</v>
      </c>
      <c r="B6" s="2"/>
      <c r="C6" s="2"/>
      <c r="D6" s="2" t="s">
        <v>27</v>
      </c>
      <c r="E6" s="2" t="s">
        <v>14</v>
      </c>
      <c r="F6" s="10">
        <v>1612</v>
      </c>
      <c r="G6" s="26" t="s">
        <v>12</v>
      </c>
      <c r="H6" s="4" t="s">
        <v>18</v>
      </c>
    </row>
    <row r="7" spans="1:8">
      <c r="A7" s="1">
        <v>268</v>
      </c>
      <c r="B7" s="2"/>
      <c r="C7" s="2"/>
      <c r="D7" s="2" t="s">
        <v>16</v>
      </c>
      <c r="E7" s="2" t="s">
        <v>14</v>
      </c>
      <c r="F7" s="10">
        <v>61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6155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3"/>
  <sheetViews>
    <sheetView workbookViewId="0">
      <selection activeCell="G14" sqref="G14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42578125" customWidth="1"/>
    <col min="5" max="5" width="12.71093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292</v>
      </c>
      <c r="B4" s="2"/>
      <c r="C4" s="2"/>
      <c r="D4" s="2" t="s">
        <v>10</v>
      </c>
      <c r="E4" s="2" t="s">
        <v>11</v>
      </c>
      <c r="F4" s="10">
        <v>4552</v>
      </c>
      <c r="G4" s="26" t="s">
        <v>12</v>
      </c>
      <c r="H4" s="4" t="s">
        <v>18</v>
      </c>
    </row>
    <row r="5" spans="1:8">
      <c r="A5" s="1">
        <v>292</v>
      </c>
      <c r="B5" s="2"/>
      <c r="C5" s="2"/>
      <c r="D5" s="2" t="s">
        <v>10</v>
      </c>
      <c r="E5" s="2" t="s">
        <v>14</v>
      </c>
      <c r="F5" s="10">
        <v>1022</v>
      </c>
      <c r="G5" s="26" t="s">
        <v>12</v>
      </c>
      <c r="H5" s="4" t="s">
        <v>18</v>
      </c>
    </row>
    <row r="6" spans="1:8">
      <c r="A6" s="1">
        <v>292</v>
      </c>
      <c r="B6" s="2"/>
      <c r="C6" s="2"/>
      <c r="D6" s="2" t="s">
        <v>10</v>
      </c>
      <c r="E6" s="2" t="s">
        <v>28</v>
      </c>
      <c r="F6" s="10">
        <v>300</v>
      </c>
      <c r="G6" s="26" t="s">
        <v>12</v>
      </c>
      <c r="H6" s="4" t="s">
        <v>18</v>
      </c>
    </row>
    <row r="7" spans="1:8">
      <c r="A7" s="1">
        <v>292</v>
      </c>
      <c r="B7" s="2"/>
      <c r="C7" s="2"/>
      <c r="D7" s="2" t="s">
        <v>29</v>
      </c>
      <c r="E7" s="2" t="s">
        <v>14</v>
      </c>
      <c r="F7" s="10">
        <v>638</v>
      </c>
      <c r="G7" s="26" t="s">
        <v>12</v>
      </c>
      <c r="H7" s="4" t="s">
        <v>18</v>
      </c>
    </row>
    <row r="8" spans="1:8">
      <c r="A8" s="1">
        <v>292</v>
      </c>
      <c r="B8" s="2"/>
      <c r="C8" s="2"/>
      <c r="D8" s="2" t="s">
        <v>16</v>
      </c>
      <c r="E8" s="2" t="s">
        <v>14</v>
      </c>
      <c r="F8" s="10">
        <v>180</v>
      </c>
      <c r="G8" s="26" t="s">
        <v>12</v>
      </c>
      <c r="H8" s="4" t="s">
        <v>18</v>
      </c>
    </row>
    <row r="9" spans="1:8">
      <c r="A9" s="11"/>
      <c r="B9" s="11"/>
      <c r="C9" s="11"/>
      <c r="D9" s="11"/>
      <c r="E9" s="12" t="s">
        <v>17</v>
      </c>
      <c r="F9" s="13">
        <f>SUM(F4:F8)</f>
        <v>6692</v>
      </c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  <row r="81" spans="1:8">
      <c r="A81" s="11"/>
      <c r="B81" s="11"/>
      <c r="C81" s="11"/>
      <c r="D81" s="11"/>
      <c r="E81" s="11"/>
      <c r="F81" s="11"/>
      <c r="G81" s="11"/>
      <c r="H81" s="11"/>
    </row>
    <row r="82" spans="1:8">
      <c r="A82" s="11"/>
      <c r="B82" s="11"/>
      <c r="C82" s="11"/>
      <c r="D82" s="11"/>
      <c r="E82" s="11"/>
      <c r="F82" s="11"/>
      <c r="G82" s="11"/>
      <c r="H82" s="11"/>
    </row>
    <row r="83" spans="1:8">
      <c r="A83" s="11"/>
      <c r="B83" s="11"/>
      <c r="C83" s="11"/>
      <c r="D83" s="11"/>
      <c r="E83" s="11"/>
      <c r="F83" s="11"/>
      <c r="G83" s="11"/>
      <c r="H83" s="11"/>
    </row>
    <row r="84" spans="1:8">
      <c r="A84" s="11"/>
      <c r="B84" s="11"/>
      <c r="C84" s="11"/>
      <c r="D84" s="11"/>
      <c r="E84" s="11"/>
      <c r="F84" s="11"/>
      <c r="G84" s="11"/>
      <c r="H84" s="11"/>
    </row>
    <row r="85" spans="1:8">
      <c r="A85" s="11"/>
      <c r="B85" s="11"/>
      <c r="C85" s="11"/>
      <c r="D85" s="11"/>
      <c r="E85" s="11"/>
      <c r="F85" s="11"/>
      <c r="G85" s="11"/>
      <c r="H85" s="11"/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11"/>
      <c r="B87" s="11"/>
      <c r="C87" s="11"/>
      <c r="D87" s="11"/>
      <c r="E87" s="11"/>
      <c r="F87" s="11"/>
      <c r="G87" s="11"/>
      <c r="H87" s="11"/>
    </row>
    <row r="88" spans="1:8">
      <c r="A88" s="11"/>
      <c r="B88" s="11"/>
      <c r="C88" s="11"/>
      <c r="D88" s="11"/>
      <c r="E88" s="11"/>
      <c r="F88" s="11"/>
      <c r="G88" s="11"/>
      <c r="H88" s="11"/>
    </row>
    <row r="89" spans="1:8">
      <c r="A89" s="11"/>
      <c r="B89" s="11"/>
      <c r="C89" s="11"/>
      <c r="D89" s="11"/>
      <c r="E89" s="11"/>
      <c r="F89" s="11"/>
      <c r="G89" s="11"/>
      <c r="H89" s="11"/>
    </row>
    <row r="90" spans="1:8">
      <c r="A90" s="11"/>
      <c r="B90" s="11"/>
      <c r="C90" s="11"/>
      <c r="D90" s="11"/>
      <c r="E90" s="11"/>
      <c r="F90" s="11"/>
      <c r="G90" s="11"/>
      <c r="H90" s="11"/>
    </row>
    <row r="91" spans="1:8">
      <c r="A91" s="11"/>
      <c r="B91" s="11"/>
      <c r="C91" s="11"/>
      <c r="D91" s="11"/>
      <c r="E91" s="11"/>
      <c r="F91" s="11"/>
      <c r="G91" s="11"/>
      <c r="H91" s="11"/>
    </row>
    <row r="92" spans="1:8">
      <c r="A92" s="11"/>
      <c r="B92" s="11"/>
      <c r="C92" s="11"/>
      <c r="D92" s="11"/>
      <c r="E92" s="11"/>
      <c r="F92" s="11"/>
      <c r="G92" s="11"/>
      <c r="H92" s="11"/>
    </row>
    <row r="93" spans="1:8">
      <c r="A93" s="11"/>
      <c r="B93" s="11"/>
      <c r="C93" s="11"/>
      <c r="D93" s="11"/>
      <c r="E93" s="11"/>
      <c r="F93" s="11"/>
      <c r="G93" s="11"/>
      <c r="H93" s="11"/>
    </row>
    <row r="94" spans="1:8">
      <c r="A94" s="11"/>
      <c r="B94" s="11"/>
      <c r="C94" s="11"/>
      <c r="D94" s="11"/>
      <c r="E94" s="11"/>
      <c r="F94" s="11"/>
      <c r="G94" s="11"/>
      <c r="H94" s="11"/>
    </row>
    <row r="95" spans="1:8">
      <c r="A95" s="11"/>
      <c r="B95" s="11"/>
      <c r="C95" s="11"/>
      <c r="D95" s="11"/>
      <c r="E95" s="11"/>
      <c r="F95" s="11"/>
      <c r="G95" s="11"/>
      <c r="H95" s="11"/>
    </row>
    <row r="96" spans="1:8">
      <c r="A96" s="11"/>
      <c r="B96" s="11"/>
      <c r="C96" s="11"/>
      <c r="D96" s="11"/>
      <c r="E96" s="11"/>
      <c r="F96" s="11"/>
      <c r="G96" s="11"/>
      <c r="H96" s="11"/>
    </row>
    <row r="97" spans="1:8">
      <c r="A97" s="11"/>
      <c r="B97" s="11"/>
      <c r="C97" s="11"/>
      <c r="D97" s="11"/>
      <c r="E97" s="11"/>
      <c r="F97" s="11"/>
      <c r="G97" s="11"/>
      <c r="H97" s="11"/>
    </row>
    <row r="98" spans="1:8">
      <c r="A98" s="11"/>
      <c r="B98" s="11"/>
      <c r="C98" s="11"/>
      <c r="D98" s="11"/>
      <c r="E98" s="11"/>
      <c r="F98" s="11"/>
      <c r="G98" s="11"/>
      <c r="H98" s="11"/>
    </row>
    <row r="99" spans="1:8">
      <c r="A99" s="11"/>
      <c r="B99" s="11"/>
      <c r="C99" s="11"/>
      <c r="D99" s="11"/>
      <c r="E99" s="11"/>
      <c r="F99" s="11"/>
      <c r="G99" s="11"/>
      <c r="H99" s="11"/>
    </row>
    <row r="100" spans="1:8">
      <c r="A100" s="11"/>
      <c r="B100" s="11"/>
      <c r="C100" s="11"/>
      <c r="D100" s="11"/>
      <c r="E100" s="11"/>
      <c r="F100" s="11"/>
      <c r="G100" s="11"/>
      <c r="H100" s="11"/>
    </row>
    <row r="101" spans="1:8">
      <c r="A101" s="11"/>
      <c r="B101" s="11"/>
      <c r="C101" s="11"/>
      <c r="D101" s="11"/>
      <c r="E101" s="11"/>
      <c r="F101" s="11"/>
      <c r="G101" s="11"/>
      <c r="H101" s="11"/>
    </row>
    <row r="102" spans="1:8">
      <c r="A102" s="11"/>
      <c r="B102" s="11"/>
      <c r="C102" s="11"/>
      <c r="D102" s="11"/>
      <c r="E102" s="11"/>
      <c r="F102" s="11"/>
      <c r="G102" s="11"/>
      <c r="H102" s="11"/>
    </row>
    <row r="103" spans="1:8">
      <c r="A103" s="11"/>
      <c r="B103" s="11"/>
      <c r="C103" s="11"/>
      <c r="D103" s="11"/>
      <c r="E103" s="11"/>
      <c r="F103" s="11"/>
      <c r="G103" s="11"/>
      <c r="H103" s="11"/>
    </row>
    <row r="104" spans="1:8">
      <c r="A104" s="11"/>
      <c r="B104" s="11"/>
      <c r="C104" s="11"/>
      <c r="D104" s="11"/>
      <c r="E104" s="11"/>
      <c r="F104" s="11"/>
      <c r="G104" s="11"/>
      <c r="H104" s="11"/>
    </row>
    <row r="105" spans="1:8">
      <c r="A105" s="11"/>
      <c r="B105" s="11"/>
      <c r="C105" s="11"/>
      <c r="D105" s="11"/>
      <c r="E105" s="11"/>
      <c r="F105" s="11"/>
      <c r="G105" s="11"/>
      <c r="H105" s="11"/>
    </row>
    <row r="106" spans="1:8">
      <c r="A106" s="11"/>
      <c r="B106" s="11"/>
      <c r="C106" s="11"/>
      <c r="D106" s="11"/>
      <c r="E106" s="11"/>
      <c r="F106" s="11"/>
      <c r="G106" s="11"/>
      <c r="H106" s="11"/>
    </row>
    <row r="107" spans="1:8">
      <c r="A107" s="11"/>
      <c r="B107" s="11"/>
      <c r="C107" s="11"/>
      <c r="D107" s="11"/>
      <c r="E107" s="11"/>
      <c r="F107" s="11"/>
      <c r="G107" s="11"/>
      <c r="H107" s="11"/>
    </row>
    <row r="108" spans="1:8">
      <c r="A108" s="11"/>
      <c r="B108" s="11"/>
      <c r="C108" s="11"/>
      <c r="D108" s="11"/>
      <c r="E108" s="11"/>
      <c r="F108" s="11"/>
      <c r="G108" s="11"/>
      <c r="H108" s="11"/>
    </row>
    <row r="109" spans="1:8">
      <c r="A109" s="11"/>
      <c r="B109" s="11"/>
      <c r="C109" s="11"/>
      <c r="D109" s="11"/>
      <c r="E109" s="11"/>
      <c r="F109" s="11"/>
      <c r="G109" s="11"/>
      <c r="H109" s="11"/>
    </row>
    <row r="110" spans="1:8">
      <c r="A110" s="11"/>
      <c r="B110" s="11"/>
      <c r="C110" s="11"/>
      <c r="D110" s="11"/>
      <c r="E110" s="11"/>
      <c r="F110" s="11"/>
      <c r="G110" s="11"/>
      <c r="H110" s="11"/>
    </row>
    <row r="111" spans="1:8">
      <c r="A111" s="11"/>
      <c r="B111" s="11"/>
      <c r="C111" s="11"/>
      <c r="D111" s="11"/>
      <c r="E111" s="11"/>
      <c r="F111" s="11"/>
      <c r="G111" s="11"/>
      <c r="H111" s="11"/>
    </row>
    <row r="112" spans="1:8">
      <c r="A112" s="11"/>
      <c r="B112" s="11"/>
      <c r="C112" s="11"/>
      <c r="D112" s="11"/>
      <c r="E112" s="11"/>
      <c r="F112" s="11"/>
      <c r="G112" s="11"/>
      <c r="H112" s="11"/>
    </row>
    <row r="113" spans="1:8">
      <c r="A113" s="11"/>
      <c r="B113" s="11"/>
      <c r="C113" s="11"/>
      <c r="D113" s="11"/>
      <c r="E113" s="11"/>
      <c r="F113" s="11"/>
      <c r="G113" s="11"/>
      <c r="H113" s="11"/>
    </row>
    <row r="114" spans="1:8">
      <c r="A114" s="11"/>
      <c r="B114" s="11"/>
      <c r="C114" s="11"/>
      <c r="D114" s="11"/>
      <c r="E114" s="11"/>
      <c r="F114" s="11"/>
      <c r="G114" s="11"/>
      <c r="H114" s="11"/>
    </row>
    <row r="115" spans="1:8">
      <c r="A115" s="11"/>
      <c r="B115" s="11"/>
      <c r="C115" s="11"/>
      <c r="D115" s="11"/>
      <c r="E115" s="11"/>
      <c r="F115" s="11"/>
      <c r="G115" s="11"/>
      <c r="H115" s="11"/>
    </row>
    <row r="116" spans="1:8">
      <c r="A116" s="11"/>
      <c r="B116" s="11"/>
      <c r="C116" s="11"/>
      <c r="D116" s="11"/>
      <c r="E116" s="11"/>
      <c r="F116" s="11"/>
      <c r="G116" s="11"/>
      <c r="H116" s="11"/>
    </row>
    <row r="117" spans="1:8">
      <c r="A117" s="11"/>
      <c r="B117" s="11"/>
      <c r="C117" s="11"/>
      <c r="D117" s="11"/>
      <c r="E117" s="11"/>
      <c r="F117" s="11"/>
      <c r="G117" s="11"/>
      <c r="H117" s="11"/>
    </row>
    <row r="118" spans="1:8">
      <c r="A118" s="11"/>
      <c r="B118" s="11"/>
      <c r="C118" s="11"/>
      <c r="D118" s="11"/>
      <c r="E118" s="11"/>
      <c r="F118" s="11"/>
      <c r="G118" s="11"/>
      <c r="H118" s="11"/>
    </row>
    <row r="119" spans="1:8">
      <c r="A119" s="11"/>
      <c r="B119" s="11"/>
      <c r="C119" s="11"/>
      <c r="D119" s="11"/>
      <c r="E119" s="11"/>
      <c r="F119" s="11"/>
      <c r="G119" s="11"/>
      <c r="H119" s="11"/>
    </row>
    <row r="120" spans="1:8">
      <c r="A120" s="11"/>
      <c r="B120" s="11"/>
      <c r="C120" s="11"/>
      <c r="D120" s="11"/>
      <c r="E120" s="11"/>
      <c r="F120" s="11"/>
      <c r="G120" s="11"/>
      <c r="H120" s="11"/>
    </row>
    <row r="121" spans="1:8">
      <c r="A121" s="11"/>
      <c r="B121" s="11"/>
      <c r="C121" s="11"/>
      <c r="D121" s="11"/>
      <c r="E121" s="11"/>
      <c r="F121" s="11"/>
      <c r="G121" s="11"/>
      <c r="H121" s="11"/>
    </row>
    <row r="122" spans="1:8">
      <c r="A122" s="11"/>
      <c r="B122" s="11"/>
      <c r="C122" s="11"/>
      <c r="D122" s="11"/>
      <c r="E122" s="11"/>
      <c r="F122" s="11"/>
      <c r="G122" s="11"/>
      <c r="H122" s="11"/>
    </row>
    <row r="123" spans="1:8">
      <c r="A123" s="11"/>
      <c r="B123" s="11"/>
      <c r="C123" s="11"/>
      <c r="D123" s="11"/>
      <c r="E123" s="11"/>
      <c r="F123" s="11"/>
      <c r="G123" s="11"/>
      <c r="H123" s="11"/>
    </row>
    <row r="124" spans="1:8">
      <c r="A124" s="11"/>
      <c r="B124" s="11"/>
      <c r="C124" s="11"/>
      <c r="D124" s="11"/>
      <c r="E124" s="11"/>
      <c r="F124" s="11"/>
      <c r="G124" s="11"/>
      <c r="H124" s="11"/>
    </row>
    <row r="125" spans="1:8">
      <c r="A125" s="11"/>
      <c r="B125" s="11"/>
      <c r="C125" s="11"/>
      <c r="D125" s="11"/>
      <c r="E125" s="11"/>
      <c r="F125" s="11"/>
      <c r="G125" s="11"/>
      <c r="H125" s="11"/>
    </row>
    <row r="126" spans="1:8">
      <c r="A126" s="11"/>
      <c r="B126" s="11"/>
      <c r="C126" s="11"/>
      <c r="D126" s="11"/>
      <c r="E126" s="11"/>
      <c r="F126" s="11"/>
      <c r="G126" s="11"/>
      <c r="H126" s="11"/>
    </row>
    <row r="127" spans="1:8">
      <c r="A127" s="11"/>
      <c r="B127" s="11"/>
      <c r="C127" s="11"/>
      <c r="D127" s="11"/>
      <c r="E127" s="11"/>
      <c r="F127" s="11"/>
      <c r="G127" s="11"/>
      <c r="H127" s="11"/>
    </row>
    <row r="128" spans="1:8">
      <c r="A128" s="11"/>
      <c r="B128" s="11"/>
      <c r="C128" s="11"/>
      <c r="D128" s="11"/>
      <c r="E128" s="11"/>
      <c r="F128" s="11"/>
      <c r="G128" s="11"/>
      <c r="H128" s="11"/>
    </row>
    <row r="129" spans="1:8">
      <c r="A129" s="11"/>
      <c r="B129" s="11"/>
      <c r="C129" s="11"/>
      <c r="D129" s="11"/>
      <c r="E129" s="11"/>
      <c r="F129" s="11"/>
      <c r="G129" s="11"/>
      <c r="H129" s="11"/>
    </row>
    <row r="130" spans="1:8">
      <c r="A130" s="11"/>
      <c r="B130" s="11"/>
      <c r="C130" s="11"/>
      <c r="D130" s="11"/>
      <c r="E130" s="11"/>
      <c r="F130" s="11"/>
      <c r="G130" s="11"/>
      <c r="H130" s="11"/>
    </row>
    <row r="131" spans="1:8">
      <c r="A131" s="11"/>
      <c r="B131" s="11"/>
      <c r="C131" s="11"/>
      <c r="D131" s="11"/>
      <c r="E131" s="11"/>
      <c r="F131" s="11"/>
      <c r="G131" s="11"/>
      <c r="H131" s="11"/>
    </row>
    <row r="132" spans="1:8">
      <c r="A132" s="11"/>
      <c r="B132" s="11"/>
      <c r="C132" s="11"/>
      <c r="D132" s="11"/>
      <c r="E132" s="11"/>
      <c r="F132" s="11"/>
      <c r="G132" s="11"/>
      <c r="H132" s="11"/>
    </row>
    <row r="133" spans="1:8">
      <c r="A133" s="11"/>
      <c r="B133" s="11"/>
      <c r="C133" s="11"/>
      <c r="D133" s="11"/>
      <c r="E133" s="11"/>
      <c r="F133" s="11"/>
      <c r="G133" s="11"/>
      <c r="H133" s="11"/>
    </row>
    <row r="134" spans="1:8">
      <c r="A134" s="11"/>
      <c r="B134" s="11"/>
      <c r="C134" s="11"/>
      <c r="D134" s="11"/>
      <c r="E134" s="11"/>
      <c r="F134" s="11"/>
      <c r="G134" s="11"/>
      <c r="H134" s="11"/>
    </row>
    <row r="135" spans="1:8">
      <c r="A135" s="11"/>
      <c r="B135" s="11"/>
      <c r="C135" s="11"/>
      <c r="D135" s="11"/>
      <c r="E135" s="11"/>
      <c r="F135" s="11"/>
      <c r="G135" s="11"/>
      <c r="H135" s="11"/>
    </row>
    <row r="136" spans="1:8">
      <c r="A136" s="11"/>
      <c r="B136" s="11"/>
      <c r="C136" s="11"/>
      <c r="D136" s="11"/>
      <c r="E136" s="11"/>
      <c r="F136" s="11"/>
      <c r="G136" s="11"/>
      <c r="H136" s="11"/>
    </row>
    <row r="137" spans="1:8">
      <c r="A137" s="11"/>
      <c r="B137" s="11"/>
      <c r="C137" s="11"/>
      <c r="D137" s="11"/>
      <c r="E137" s="11"/>
      <c r="F137" s="11"/>
      <c r="G137" s="11"/>
      <c r="H137" s="11"/>
    </row>
    <row r="138" spans="1:8">
      <c r="A138" s="11"/>
      <c r="B138" s="11"/>
      <c r="C138" s="11"/>
      <c r="D138" s="11"/>
      <c r="E138" s="11"/>
      <c r="F138" s="11"/>
      <c r="G138" s="11"/>
      <c r="H138" s="11"/>
    </row>
    <row r="139" spans="1:8">
      <c r="A139" s="11"/>
      <c r="B139" s="11"/>
      <c r="C139" s="11"/>
      <c r="D139" s="11"/>
      <c r="E139" s="11"/>
      <c r="F139" s="11"/>
      <c r="G139" s="11"/>
      <c r="H139" s="11"/>
    </row>
    <row r="140" spans="1:8">
      <c r="A140" s="11"/>
      <c r="B140" s="11"/>
      <c r="C140" s="11"/>
      <c r="D140" s="11"/>
      <c r="E140" s="11"/>
      <c r="F140" s="11"/>
      <c r="G140" s="11"/>
      <c r="H140" s="11"/>
    </row>
    <row r="141" spans="1:8">
      <c r="A141" s="11"/>
      <c r="B141" s="11"/>
      <c r="C141" s="11"/>
      <c r="D141" s="11"/>
      <c r="E141" s="11"/>
      <c r="F141" s="11"/>
      <c r="G141" s="11"/>
      <c r="H141" s="11"/>
    </row>
    <row r="142" spans="1:8">
      <c r="A142" s="11"/>
      <c r="B142" s="11"/>
      <c r="C142" s="11"/>
      <c r="D142" s="11"/>
      <c r="E142" s="11"/>
      <c r="F142" s="11"/>
      <c r="G142" s="11"/>
      <c r="H142" s="11"/>
    </row>
    <row r="143" spans="1:8">
      <c r="A143" s="11"/>
      <c r="B143" s="11"/>
      <c r="C143" s="11"/>
      <c r="D143" s="11"/>
      <c r="E143" s="11"/>
      <c r="F143" s="11"/>
      <c r="G143" s="11"/>
      <c r="H143" s="11"/>
    </row>
    <row r="144" spans="1:8">
      <c r="A144" s="11"/>
      <c r="B144" s="11"/>
      <c r="C144" s="11"/>
      <c r="D144" s="11"/>
      <c r="E144" s="11"/>
      <c r="F144" s="11"/>
      <c r="G144" s="11"/>
      <c r="H144" s="11"/>
    </row>
    <row r="145" spans="1:8">
      <c r="A145" s="11"/>
      <c r="B145" s="11"/>
      <c r="C145" s="11"/>
      <c r="D145" s="11"/>
      <c r="E145" s="11"/>
      <c r="F145" s="11"/>
      <c r="G145" s="11"/>
      <c r="H145" s="11"/>
    </row>
    <row r="146" spans="1:8">
      <c r="A146" s="11"/>
      <c r="B146" s="11"/>
      <c r="C146" s="11"/>
      <c r="D146" s="11"/>
      <c r="E146" s="11"/>
      <c r="F146" s="11"/>
      <c r="G146" s="11"/>
      <c r="H146" s="11"/>
    </row>
    <row r="147" spans="1:8">
      <c r="A147" s="11"/>
      <c r="B147" s="11"/>
      <c r="C147" s="11"/>
      <c r="D147" s="11"/>
      <c r="E147" s="11"/>
      <c r="F147" s="11"/>
      <c r="G147" s="11"/>
      <c r="H147" s="11"/>
    </row>
    <row r="148" spans="1:8">
      <c r="A148" s="11"/>
      <c r="B148" s="11"/>
      <c r="C148" s="11"/>
      <c r="D148" s="11"/>
      <c r="E148" s="11"/>
      <c r="F148" s="11"/>
      <c r="G148" s="11"/>
      <c r="H148" s="11"/>
    </row>
    <row r="149" spans="1:8">
      <c r="A149" s="11"/>
      <c r="B149" s="11"/>
      <c r="C149" s="11"/>
      <c r="D149" s="11"/>
      <c r="E149" s="11"/>
      <c r="F149" s="11"/>
      <c r="G149" s="11"/>
      <c r="H149" s="11"/>
    </row>
    <row r="150" spans="1:8">
      <c r="A150" s="11"/>
      <c r="B150" s="11"/>
      <c r="C150" s="11"/>
      <c r="D150" s="11"/>
      <c r="E150" s="11"/>
      <c r="F150" s="11"/>
      <c r="G150" s="11"/>
      <c r="H150" s="11"/>
    </row>
    <row r="151" spans="1:8">
      <c r="A151" s="11"/>
      <c r="B151" s="11"/>
      <c r="C151" s="11"/>
      <c r="D151" s="11"/>
      <c r="E151" s="11"/>
      <c r="F151" s="11"/>
      <c r="G151" s="11"/>
      <c r="H151" s="11"/>
    </row>
    <row r="152" spans="1:8">
      <c r="A152" s="11"/>
      <c r="B152" s="11"/>
      <c r="C152" s="11"/>
      <c r="D152" s="11"/>
      <c r="E152" s="11"/>
      <c r="F152" s="11"/>
      <c r="G152" s="11"/>
      <c r="H152" s="11"/>
    </row>
    <row r="153" spans="1:8">
      <c r="A153" s="11"/>
      <c r="B153" s="11"/>
      <c r="C153" s="11"/>
      <c r="D153" s="11"/>
      <c r="E153" s="11"/>
      <c r="F153" s="11"/>
      <c r="G153" s="11"/>
      <c r="H153" s="11"/>
    </row>
    <row r="154" spans="1:8">
      <c r="A154" s="11"/>
      <c r="B154" s="11"/>
      <c r="C154" s="11"/>
      <c r="D154" s="11"/>
      <c r="E154" s="11"/>
      <c r="F154" s="11"/>
      <c r="G154" s="11"/>
      <c r="H154" s="11"/>
    </row>
    <row r="155" spans="1:8">
      <c r="A155" s="11"/>
      <c r="B155" s="11"/>
      <c r="C155" s="11"/>
      <c r="D155" s="11"/>
      <c r="E155" s="11"/>
      <c r="F155" s="11"/>
      <c r="G155" s="11"/>
      <c r="H155" s="11"/>
    </row>
    <row r="156" spans="1:8">
      <c r="A156" s="11"/>
      <c r="B156" s="11"/>
      <c r="C156" s="11"/>
      <c r="D156" s="11"/>
      <c r="E156" s="11"/>
      <c r="F156" s="11"/>
      <c r="G156" s="11"/>
      <c r="H156" s="11"/>
    </row>
    <row r="157" spans="1:8">
      <c r="A157" s="11"/>
      <c r="B157" s="11"/>
      <c r="C157" s="11"/>
      <c r="D157" s="11"/>
      <c r="E157" s="11"/>
      <c r="F157" s="11"/>
      <c r="G157" s="11"/>
      <c r="H157" s="11"/>
    </row>
    <row r="158" spans="1:8">
      <c r="A158" s="11"/>
      <c r="B158" s="11"/>
      <c r="C158" s="11"/>
      <c r="D158" s="11"/>
      <c r="E158" s="11"/>
      <c r="F158" s="11"/>
      <c r="G158" s="11"/>
      <c r="H158" s="11"/>
    </row>
    <row r="159" spans="1:8">
      <c r="A159" s="11"/>
      <c r="B159" s="11"/>
      <c r="C159" s="11"/>
      <c r="D159" s="11"/>
      <c r="E159" s="11"/>
      <c r="F159" s="11"/>
      <c r="G159" s="11"/>
      <c r="H159" s="11"/>
    </row>
    <row r="160" spans="1:8">
      <c r="A160" s="11"/>
      <c r="B160" s="11"/>
      <c r="C160" s="11"/>
      <c r="D160" s="11"/>
      <c r="E160" s="11"/>
      <c r="F160" s="11"/>
      <c r="G160" s="11"/>
      <c r="H160" s="11"/>
    </row>
    <row r="161" spans="1:8">
      <c r="A161" s="11"/>
      <c r="B161" s="11"/>
      <c r="C161" s="11"/>
      <c r="D161" s="11"/>
      <c r="E161" s="11"/>
      <c r="F161" s="11"/>
      <c r="G161" s="11"/>
      <c r="H161" s="11"/>
    </row>
    <row r="162" spans="1:8">
      <c r="A162" s="11"/>
      <c r="B162" s="11"/>
      <c r="C162" s="11"/>
      <c r="D162" s="11"/>
      <c r="E162" s="11"/>
      <c r="F162" s="11"/>
      <c r="G162" s="11"/>
      <c r="H162" s="11"/>
    </row>
    <row r="163" spans="1:8">
      <c r="A163" s="11"/>
      <c r="B163" s="11"/>
      <c r="C163" s="11"/>
      <c r="D163" s="11"/>
      <c r="E163" s="11"/>
      <c r="F163" s="11"/>
      <c r="G163" s="11"/>
      <c r="H163" s="11"/>
    </row>
    <row r="164" spans="1:8">
      <c r="A164" s="11"/>
      <c r="B164" s="11"/>
      <c r="C164" s="11"/>
      <c r="D164" s="11"/>
      <c r="E164" s="11"/>
      <c r="F164" s="11"/>
      <c r="G164" s="11"/>
      <c r="H164" s="11"/>
    </row>
    <row r="165" spans="1:8">
      <c r="A165" s="11"/>
      <c r="B165" s="11"/>
      <c r="C165" s="11"/>
      <c r="D165" s="11"/>
      <c r="E165" s="11"/>
      <c r="F165" s="11"/>
      <c r="G165" s="11"/>
      <c r="H165" s="11"/>
    </row>
    <row r="166" spans="1:8">
      <c r="A166" s="11"/>
      <c r="B166" s="11"/>
      <c r="C166" s="11"/>
      <c r="D166" s="11"/>
      <c r="E166" s="11"/>
      <c r="F166" s="11"/>
      <c r="G166" s="11"/>
      <c r="H166" s="11"/>
    </row>
    <row r="167" spans="1:8">
      <c r="A167" s="11"/>
      <c r="B167" s="11"/>
      <c r="C167" s="11"/>
      <c r="D167" s="11"/>
      <c r="E167" s="11"/>
      <c r="F167" s="11"/>
      <c r="G167" s="11"/>
      <c r="H167" s="11"/>
    </row>
    <row r="168" spans="1:8">
      <c r="A168" s="11"/>
      <c r="B168" s="11"/>
      <c r="C168" s="11"/>
      <c r="D168" s="11"/>
      <c r="E168" s="11"/>
      <c r="F168" s="11"/>
      <c r="G168" s="11"/>
      <c r="H168" s="11"/>
    </row>
    <row r="169" spans="1:8">
      <c r="A169" s="11"/>
      <c r="B169" s="11"/>
      <c r="C169" s="11"/>
      <c r="D169" s="11"/>
      <c r="E169" s="11"/>
      <c r="F169" s="11"/>
      <c r="G169" s="11"/>
      <c r="H169" s="11"/>
    </row>
    <row r="170" spans="1:8">
      <c r="A170" s="11"/>
      <c r="B170" s="11"/>
      <c r="C170" s="11"/>
      <c r="D170" s="11"/>
      <c r="E170" s="11"/>
      <c r="F170" s="11"/>
      <c r="G170" s="11"/>
      <c r="H170" s="11"/>
    </row>
    <row r="171" spans="1:8">
      <c r="A171" s="11"/>
      <c r="B171" s="11"/>
      <c r="C171" s="11"/>
      <c r="D171" s="11"/>
      <c r="E171" s="11"/>
      <c r="F171" s="11"/>
      <c r="G171" s="11"/>
      <c r="H171" s="11"/>
    </row>
    <row r="172" spans="1:8">
      <c r="A172" s="11"/>
      <c r="B172" s="11"/>
      <c r="C172" s="11"/>
      <c r="D172" s="11"/>
      <c r="E172" s="11"/>
      <c r="F172" s="11"/>
      <c r="G172" s="11"/>
      <c r="H172" s="11"/>
    </row>
    <row r="173" spans="1:8">
      <c r="A173" s="11"/>
      <c r="B173" s="11"/>
      <c r="C173" s="11"/>
      <c r="D173" s="11"/>
      <c r="E173" s="11"/>
      <c r="F173" s="11"/>
      <c r="G173" s="11"/>
      <c r="H173" s="11"/>
    </row>
    <row r="174" spans="1:8">
      <c r="A174" s="11"/>
      <c r="B174" s="11"/>
      <c r="C174" s="11"/>
      <c r="D174" s="11"/>
      <c r="E174" s="11"/>
      <c r="F174" s="11"/>
      <c r="G174" s="11"/>
      <c r="H174" s="11"/>
    </row>
    <row r="175" spans="1:8">
      <c r="A175" s="11"/>
      <c r="B175" s="11"/>
      <c r="C175" s="11"/>
      <c r="D175" s="11"/>
      <c r="E175" s="11"/>
      <c r="F175" s="11"/>
      <c r="G175" s="11"/>
      <c r="H175" s="11"/>
    </row>
    <row r="176" spans="1:8">
      <c r="A176" s="11"/>
      <c r="B176" s="11"/>
      <c r="C176" s="11"/>
      <c r="D176" s="11"/>
      <c r="E176" s="11"/>
      <c r="F176" s="11"/>
      <c r="G176" s="11"/>
      <c r="H176" s="11"/>
    </row>
    <row r="177" spans="1:8">
      <c r="A177" s="11"/>
      <c r="B177" s="11"/>
      <c r="C177" s="11"/>
      <c r="D177" s="11"/>
      <c r="E177" s="11"/>
      <c r="F177" s="11"/>
      <c r="G177" s="11"/>
      <c r="H177" s="11"/>
    </row>
    <row r="178" spans="1:8">
      <c r="A178" s="11"/>
      <c r="B178" s="11"/>
      <c r="C178" s="11"/>
      <c r="D178" s="11"/>
      <c r="E178" s="11"/>
      <c r="F178" s="11"/>
      <c r="G178" s="11"/>
      <c r="H178" s="11"/>
    </row>
    <row r="179" spans="1:8">
      <c r="A179" s="11"/>
      <c r="B179" s="11"/>
      <c r="C179" s="11"/>
      <c r="D179" s="11"/>
      <c r="E179" s="11"/>
      <c r="F179" s="11"/>
      <c r="G179" s="11"/>
      <c r="H179" s="11"/>
    </row>
    <row r="180" spans="1:8">
      <c r="A180" s="11"/>
      <c r="B180" s="11"/>
      <c r="C180" s="11"/>
      <c r="D180" s="11"/>
      <c r="E180" s="11"/>
      <c r="F180" s="11"/>
      <c r="G180" s="11"/>
      <c r="H180" s="11"/>
    </row>
    <row r="181" spans="1:8">
      <c r="A181" s="11"/>
      <c r="B181" s="11"/>
      <c r="C181" s="11"/>
      <c r="D181" s="11"/>
      <c r="E181" s="11"/>
      <c r="F181" s="11"/>
      <c r="G181" s="11"/>
      <c r="H181" s="11"/>
    </row>
    <row r="182" spans="1:8">
      <c r="A182" s="11"/>
      <c r="B182" s="11"/>
      <c r="C182" s="11"/>
      <c r="D182" s="11"/>
      <c r="E182" s="11"/>
      <c r="F182" s="11"/>
      <c r="G182" s="11"/>
      <c r="H182" s="11"/>
    </row>
    <row r="183" spans="1:8">
      <c r="A183" s="11"/>
      <c r="B183" s="11"/>
      <c r="C183" s="11"/>
      <c r="D183" s="11"/>
      <c r="E183" s="11"/>
      <c r="F183" s="11"/>
      <c r="G183" s="11"/>
      <c r="H183" s="11"/>
    </row>
    <row r="184" spans="1:8">
      <c r="A184" s="11"/>
      <c r="B184" s="11"/>
      <c r="C184" s="11"/>
      <c r="D184" s="11"/>
      <c r="E184" s="11"/>
      <c r="F184" s="11"/>
      <c r="G184" s="11"/>
      <c r="H184" s="11"/>
    </row>
    <row r="185" spans="1:8">
      <c r="A185" s="11"/>
      <c r="B185" s="11"/>
      <c r="C185" s="11"/>
      <c r="D185" s="11"/>
      <c r="E185" s="11"/>
      <c r="F185" s="11"/>
      <c r="G185" s="11"/>
      <c r="H185" s="11"/>
    </row>
    <row r="186" spans="1:8">
      <c r="A186" s="11"/>
      <c r="B186" s="11"/>
      <c r="C186" s="11"/>
      <c r="D186" s="11"/>
      <c r="E186" s="11"/>
      <c r="F186" s="11"/>
      <c r="G186" s="11"/>
      <c r="H186" s="11"/>
    </row>
    <row r="187" spans="1:8">
      <c r="A187" s="11"/>
      <c r="B187" s="11"/>
      <c r="C187" s="11"/>
      <c r="D187" s="11"/>
      <c r="E187" s="11"/>
      <c r="F187" s="11"/>
      <c r="G187" s="11"/>
      <c r="H187" s="11"/>
    </row>
    <row r="188" spans="1:8">
      <c r="A188" s="11"/>
      <c r="B188" s="11"/>
      <c r="C188" s="11"/>
      <c r="D188" s="11"/>
      <c r="E188" s="11"/>
      <c r="F188" s="11"/>
      <c r="G188" s="11"/>
      <c r="H188" s="11"/>
    </row>
    <row r="189" spans="1:8">
      <c r="A189" s="11"/>
      <c r="B189" s="11"/>
      <c r="C189" s="11"/>
      <c r="D189" s="11"/>
      <c r="E189" s="11"/>
      <c r="F189" s="11"/>
      <c r="G189" s="11"/>
      <c r="H189" s="11"/>
    </row>
    <row r="190" spans="1:8">
      <c r="A190" s="11"/>
      <c r="B190" s="11"/>
      <c r="C190" s="11"/>
      <c r="D190" s="11"/>
      <c r="E190" s="11"/>
      <c r="F190" s="11"/>
      <c r="G190" s="11"/>
      <c r="H190" s="11"/>
    </row>
    <row r="191" spans="1:8">
      <c r="A191" s="11"/>
      <c r="B191" s="11"/>
      <c r="C191" s="11"/>
      <c r="D191" s="11"/>
      <c r="E191" s="11"/>
      <c r="F191" s="11"/>
      <c r="G191" s="11"/>
      <c r="H191" s="11"/>
    </row>
    <row r="192" spans="1:8">
      <c r="A192" s="11"/>
      <c r="B192" s="11"/>
      <c r="C192" s="11"/>
      <c r="D192" s="11"/>
      <c r="E192" s="11"/>
      <c r="F192" s="11"/>
      <c r="G192" s="11"/>
      <c r="H192" s="11"/>
    </row>
    <row r="193" spans="1:8">
      <c r="A193" s="11"/>
      <c r="B193" s="11"/>
      <c r="C193" s="11"/>
      <c r="D193" s="11"/>
      <c r="E193" s="11"/>
      <c r="F193" s="11"/>
      <c r="G193" s="11"/>
      <c r="H193" s="11"/>
    </row>
    <row r="194" spans="1:8">
      <c r="A194" s="11"/>
      <c r="B194" s="11"/>
      <c r="C194" s="11"/>
      <c r="D194" s="11"/>
      <c r="E194" s="11"/>
      <c r="F194" s="11"/>
      <c r="G194" s="11"/>
      <c r="H194" s="11"/>
    </row>
    <row r="195" spans="1:8">
      <c r="A195" s="11"/>
      <c r="B195" s="11"/>
      <c r="C195" s="11"/>
      <c r="D195" s="11"/>
      <c r="E195" s="11"/>
      <c r="F195" s="11"/>
      <c r="G195" s="11"/>
      <c r="H195" s="11"/>
    </row>
    <row r="196" spans="1:8">
      <c r="A196" s="11"/>
      <c r="B196" s="11"/>
      <c r="C196" s="11"/>
      <c r="D196" s="11"/>
      <c r="E196" s="11"/>
      <c r="F196" s="11"/>
      <c r="G196" s="11"/>
      <c r="H196" s="11"/>
    </row>
    <row r="197" spans="1:8">
      <c r="A197" s="11"/>
      <c r="B197" s="11"/>
      <c r="C197" s="11"/>
      <c r="D197" s="11"/>
      <c r="E197" s="11"/>
      <c r="F197" s="11"/>
      <c r="G197" s="11"/>
      <c r="H197" s="11"/>
    </row>
    <row r="198" spans="1:8">
      <c r="A198" s="11"/>
      <c r="B198" s="11"/>
      <c r="C198" s="11"/>
      <c r="D198" s="11"/>
      <c r="E198" s="11"/>
      <c r="F198" s="11"/>
      <c r="G198" s="11"/>
      <c r="H198" s="11"/>
    </row>
    <row r="199" spans="1:8">
      <c r="A199" s="11"/>
      <c r="B199" s="11"/>
      <c r="C199" s="11"/>
      <c r="D199" s="11"/>
      <c r="E199" s="11"/>
      <c r="F199" s="11"/>
      <c r="G199" s="11"/>
      <c r="H199" s="11"/>
    </row>
    <row r="200" spans="1:8">
      <c r="A200" s="11"/>
      <c r="B200" s="11"/>
      <c r="C200" s="11"/>
      <c r="D200" s="11"/>
      <c r="E200" s="11"/>
      <c r="F200" s="11"/>
      <c r="G200" s="11"/>
      <c r="H200" s="11"/>
    </row>
    <row r="201" spans="1:8">
      <c r="A201" s="11"/>
      <c r="B201" s="11"/>
      <c r="C201" s="11"/>
      <c r="D201" s="11"/>
      <c r="E201" s="11"/>
      <c r="F201" s="11"/>
      <c r="G201" s="11"/>
      <c r="H201" s="11"/>
    </row>
    <row r="202" spans="1:8">
      <c r="A202" s="11"/>
      <c r="B202" s="11"/>
      <c r="C202" s="11"/>
      <c r="D202" s="11"/>
      <c r="E202" s="11"/>
      <c r="F202" s="11"/>
      <c r="G202" s="11"/>
      <c r="H202" s="11"/>
    </row>
    <row r="203" spans="1:8">
      <c r="A203" s="11"/>
      <c r="B203" s="11"/>
      <c r="C203" s="11"/>
      <c r="D203" s="11"/>
      <c r="E203" s="11"/>
      <c r="F203" s="11"/>
      <c r="G203" s="11"/>
      <c r="H203" s="11"/>
    </row>
    <row r="204" spans="1:8">
      <c r="A204" s="11"/>
      <c r="B204" s="11"/>
      <c r="C204" s="11"/>
      <c r="D204" s="11"/>
      <c r="E204" s="11"/>
      <c r="F204" s="11"/>
      <c r="G204" s="11"/>
      <c r="H204" s="11"/>
    </row>
    <row r="205" spans="1:8">
      <c r="A205" s="11"/>
      <c r="B205" s="11"/>
      <c r="C205" s="11"/>
      <c r="D205" s="11"/>
      <c r="E205" s="11"/>
      <c r="F205" s="11"/>
      <c r="G205" s="11"/>
      <c r="H205" s="11"/>
    </row>
    <row r="206" spans="1:8">
      <c r="A206" s="11"/>
      <c r="B206" s="11"/>
      <c r="C206" s="11"/>
      <c r="D206" s="11"/>
      <c r="E206" s="11"/>
      <c r="F206" s="11"/>
      <c r="G206" s="11"/>
      <c r="H206" s="11"/>
    </row>
    <row r="207" spans="1:8">
      <c r="A207" s="11"/>
      <c r="B207" s="11"/>
      <c r="C207" s="11"/>
      <c r="D207" s="11"/>
      <c r="E207" s="11"/>
      <c r="F207" s="11"/>
      <c r="G207" s="11"/>
      <c r="H207" s="11"/>
    </row>
    <row r="208" spans="1:8">
      <c r="A208" s="11"/>
      <c r="B208" s="11"/>
      <c r="C208" s="11"/>
      <c r="D208" s="11"/>
      <c r="E208" s="11"/>
      <c r="F208" s="11"/>
      <c r="G208" s="11"/>
      <c r="H208" s="11"/>
    </row>
    <row r="209" spans="1:8">
      <c r="A209" s="11"/>
      <c r="B209" s="11"/>
      <c r="C209" s="11"/>
      <c r="D209" s="11"/>
      <c r="E209" s="11"/>
      <c r="F209" s="11"/>
      <c r="G209" s="11"/>
      <c r="H209" s="11"/>
    </row>
    <row r="210" spans="1:8">
      <c r="A210" s="11"/>
      <c r="B210" s="11"/>
      <c r="C210" s="11"/>
      <c r="D210" s="11"/>
      <c r="E210" s="11"/>
      <c r="F210" s="11"/>
      <c r="G210" s="11"/>
      <c r="H210" s="11"/>
    </row>
    <row r="211" spans="1:8">
      <c r="A211" s="11"/>
      <c r="B211" s="11"/>
      <c r="C211" s="11"/>
      <c r="D211" s="11"/>
      <c r="E211" s="11"/>
      <c r="F211" s="11"/>
      <c r="G211" s="11"/>
      <c r="H211" s="11"/>
    </row>
    <row r="212" spans="1:8">
      <c r="A212" s="11"/>
      <c r="B212" s="11"/>
      <c r="C212" s="11"/>
      <c r="D212" s="11"/>
      <c r="E212" s="11"/>
      <c r="F212" s="11"/>
      <c r="G212" s="11"/>
      <c r="H212" s="11"/>
    </row>
    <row r="213" spans="1:8">
      <c r="A213" s="11"/>
      <c r="B213" s="11"/>
      <c r="C213" s="11"/>
      <c r="D213" s="11"/>
      <c r="E213" s="11"/>
      <c r="F213" s="11"/>
      <c r="G213" s="11"/>
      <c r="H213" s="11"/>
    </row>
    <row r="214" spans="1:8">
      <c r="A214" s="11"/>
      <c r="B214" s="11"/>
      <c r="C214" s="11"/>
      <c r="D214" s="11"/>
      <c r="E214" s="11"/>
      <c r="F214" s="11"/>
      <c r="G214" s="11"/>
      <c r="H214" s="11"/>
    </row>
    <row r="215" spans="1:8">
      <c r="A215" s="11"/>
      <c r="B215" s="11"/>
      <c r="C215" s="11"/>
      <c r="D215" s="11"/>
      <c r="E215" s="11"/>
      <c r="F215" s="11"/>
      <c r="G215" s="11"/>
      <c r="H215" s="11"/>
    </row>
    <row r="216" spans="1:8">
      <c r="A216" s="11"/>
      <c r="B216" s="11"/>
      <c r="C216" s="11"/>
      <c r="D216" s="11"/>
      <c r="E216" s="11"/>
      <c r="F216" s="11"/>
      <c r="G216" s="11"/>
      <c r="H216" s="11"/>
    </row>
    <row r="217" spans="1:8">
      <c r="A217" s="11"/>
      <c r="B217" s="11"/>
      <c r="C217" s="11"/>
      <c r="D217" s="11"/>
      <c r="E217" s="11"/>
      <c r="F217" s="11"/>
      <c r="G217" s="11"/>
      <c r="H217" s="11"/>
    </row>
    <row r="218" spans="1:8">
      <c r="A218" s="11"/>
      <c r="B218" s="11"/>
      <c r="C218" s="11"/>
      <c r="D218" s="11"/>
      <c r="E218" s="11"/>
      <c r="F218" s="11"/>
      <c r="G218" s="11"/>
      <c r="H218" s="11"/>
    </row>
    <row r="219" spans="1:8">
      <c r="A219" s="11"/>
      <c r="B219" s="11"/>
      <c r="C219" s="11"/>
      <c r="D219" s="11"/>
      <c r="E219" s="11"/>
      <c r="F219" s="11"/>
      <c r="G219" s="11"/>
      <c r="H219" s="11"/>
    </row>
    <row r="220" spans="1:8">
      <c r="A220" s="11"/>
      <c r="B220" s="11"/>
      <c r="C220" s="11"/>
      <c r="D220" s="11"/>
      <c r="E220" s="11"/>
      <c r="F220" s="11"/>
      <c r="G220" s="11"/>
      <c r="H220" s="11"/>
    </row>
    <row r="221" spans="1:8">
      <c r="A221" s="11"/>
      <c r="B221" s="11"/>
      <c r="C221" s="11"/>
      <c r="D221" s="11"/>
      <c r="E221" s="11"/>
      <c r="F221" s="11"/>
      <c r="G221" s="11"/>
      <c r="H221" s="11"/>
    </row>
    <row r="222" spans="1:8">
      <c r="A222" s="11"/>
      <c r="B222" s="11"/>
      <c r="C222" s="11"/>
      <c r="D222" s="11"/>
      <c r="E222" s="11"/>
      <c r="F222" s="11"/>
      <c r="G222" s="11"/>
      <c r="H222" s="11"/>
    </row>
    <row r="223" spans="1:8">
      <c r="A223" s="11"/>
      <c r="B223" s="11"/>
      <c r="C223" s="11"/>
      <c r="D223" s="11"/>
      <c r="E223" s="11"/>
      <c r="F223" s="11"/>
      <c r="G223" s="11"/>
      <c r="H223" s="11"/>
    </row>
    <row r="224" spans="1:8">
      <c r="A224" s="11"/>
      <c r="B224" s="11"/>
      <c r="C224" s="11"/>
      <c r="D224" s="11"/>
      <c r="E224" s="11"/>
      <c r="F224" s="11"/>
      <c r="G224" s="11"/>
      <c r="H224" s="11"/>
    </row>
    <row r="225" spans="1:8">
      <c r="A225" s="11"/>
      <c r="B225" s="11"/>
      <c r="C225" s="11"/>
      <c r="D225" s="11"/>
      <c r="E225" s="11"/>
      <c r="F225" s="11"/>
      <c r="G225" s="11"/>
      <c r="H225" s="11"/>
    </row>
    <row r="226" spans="1:8">
      <c r="A226" s="11"/>
      <c r="B226" s="11"/>
      <c r="C226" s="11"/>
      <c r="D226" s="11"/>
      <c r="E226" s="11"/>
      <c r="F226" s="11"/>
      <c r="G226" s="11"/>
      <c r="H226" s="11"/>
    </row>
    <row r="227" spans="1:8">
      <c r="A227" s="11"/>
      <c r="B227" s="11"/>
      <c r="C227" s="11"/>
      <c r="D227" s="11"/>
      <c r="E227" s="11"/>
      <c r="F227" s="11"/>
      <c r="G227" s="11"/>
      <c r="H227" s="11"/>
    </row>
    <row r="228" spans="1:8">
      <c r="A228" s="11"/>
      <c r="B228" s="11"/>
      <c r="C228" s="11"/>
      <c r="D228" s="11"/>
      <c r="E228" s="11"/>
      <c r="F228" s="11"/>
      <c r="G228" s="11"/>
      <c r="H228" s="11"/>
    </row>
    <row r="229" spans="1:8">
      <c r="A229" s="11"/>
      <c r="B229" s="11"/>
      <c r="C229" s="11"/>
      <c r="D229" s="11"/>
      <c r="E229" s="11"/>
      <c r="F229" s="11"/>
      <c r="G229" s="11"/>
      <c r="H229" s="11"/>
    </row>
    <row r="230" spans="1:8">
      <c r="A230" s="11"/>
      <c r="B230" s="11"/>
      <c r="C230" s="11"/>
      <c r="D230" s="11"/>
      <c r="E230" s="11"/>
      <c r="F230" s="11"/>
      <c r="G230" s="11"/>
      <c r="H230" s="11"/>
    </row>
    <row r="231" spans="1:8">
      <c r="A231" s="11"/>
      <c r="B231" s="11"/>
      <c r="C231" s="11"/>
      <c r="D231" s="11"/>
      <c r="E231" s="11"/>
      <c r="F231" s="11"/>
      <c r="G231" s="11"/>
      <c r="H231" s="11"/>
    </row>
    <row r="232" spans="1:8">
      <c r="A232" s="11"/>
      <c r="B232" s="11"/>
      <c r="C232" s="11"/>
      <c r="D232" s="11"/>
      <c r="E232" s="11"/>
      <c r="F232" s="11"/>
      <c r="G232" s="11"/>
      <c r="H232" s="11"/>
    </row>
    <row r="233" spans="1:8">
      <c r="A233" s="11"/>
      <c r="B233" s="11"/>
      <c r="C233" s="11"/>
      <c r="D233" s="11"/>
      <c r="E233" s="11"/>
      <c r="F233" s="11"/>
      <c r="G233" s="11"/>
      <c r="H233" s="11"/>
    </row>
    <row r="234" spans="1:8">
      <c r="A234" s="11"/>
      <c r="B234" s="11"/>
      <c r="C234" s="11"/>
      <c r="D234" s="11"/>
      <c r="E234" s="11"/>
      <c r="F234" s="11"/>
      <c r="G234" s="11"/>
      <c r="H234" s="11"/>
    </row>
    <row r="235" spans="1:8">
      <c r="A235" s="11"/>
      <c r="B235" s="11"/>
      <c r="C235" s="11"/>
      <c r="D235" s="11"/>
      <c r="E235" s="11"/>
      <c r="F235" s="11"/>
      <c r="G235" s="11"/>
      <c r="H235" s="11"/>
    </row>
    <row r="236" spans="1:8">
      <c r="A236" s="11"/>
      <c r="B236" s="11"/>
      <c r="C236" s="11"/>
      <c r="D236" s="11"/>
      <c r="E236" s="11"/>
      <c r="F236" s="11"/>
      <c r="G236" s="11"/>
      <c r="H236" s="11"/>
    </row>
    <row r="237" spans="1:8">
      <c r="A237" s="11"/>
      <c r="B237" s="11"/>
      <c r="C237" s="11"/>
      <c r="D237" s="11"/>
      <c r="E237" s="11"/>
      <c r="F237" s="11"/>
      <c r="G237" s="11"/>
      <c r="H237" s="11"/>
    </row>
    <row r="238" spans="1:8">
      <c r="A238" s="11"/>
      <c r="B238" s="11"/>
      <c r="C238" s="11"/>
      <c r="D238" s="11"/>
      <c r="E238" s="11"/>
      <c r="F238" s="11"/>
      <c r="G238" s="11"/>
      <c r="H238" s="11"/>
    </row>
    <row r="239" spans="1:8">
      <c r="A239" s="11"/>
      <c r="B239" s="11"/>
      <c r="C239" s="11"/>
      <c r="D239" s="11"/>
      <c r="E239" s="11"/>
      <c r="F239" s="11"/>
      <c r="G239" s="11"/>
      <c r="H239" s="11"/>
    </row>
    <row r="240" spans="1:8">
      <c r="A240" s="11"/>
      <c r="B240" s="11"/>
      <c r="C240" s="11"/>
      <c r="D240" s="11"/>
      <c r="E240" s="11"/>
      <c r="F240" s="11"/>
      <c r="G240" s="11"/>
      <c r="H240" s="11"/>
    </row>
    <row r="241" spans="1:8">
      <c r="A241" s="11"/>
      <c r="B241" s="11"/>
      <c r="C241" s="11"/>
      <c r="D241" s="11"/>
      <c r="E241" s="11"/>
      <c r="F241" s="11"/>
      <c r="G241" s="11"/>
      <c r="H241" s="11"/>
    </row>
    <row r="242" spans="1:8">
      <c r="A242" s="11"/>
      <c r="B242" s="11"/>
      <c r="C242" s="11"/>
      <c r="D242" s="11"/>
      <c r="E242" s="11"/>
      <c r="F242" s="11"/>
      <c r="G242" s="11"/>
      <c r="H242" s="11"/>
    </row>
    <row r="243" spans="1:8">
      <c r="A243" s="11"/>
      <c r="B243" s="11"/>
      <c r="C243" s="11"/>
      <c r="D243" s="11"/>
      <c r="E243" s="11"/>
      <c r="F243" s="11"/>
      <c r="G243" s="11"/>
      <c r="H243" s="11"/>
    </row>
    <row r="244" spans="1:8">
      <c r="A244" s="11"/>
      <c r="B244" s="11"/>
      <c r="C244" s="11"/>
      <c r="D244" s="11"/>
      <c r="E244" s="11"/>
      <c r="F244" s="11"/>
      <c r="G244" s="11"/>
      <c r="H244" s="11"/>
    </row>
    <row r="245" spans="1:8">
      <c r="A245" s="11"/>
      <c r="B245" s="11"/>
      <c r="C245" s="11"/>
      <c r="D245" s="11"/>
      <c r="E245" s="11"/>
      <c r="F245" s="11"/>
      <c r="G245" s="11"/>
      <c r="H245" s="11"/>
    </row>
    <row r="246" spans="1:8">
      <c r="A246" s="11"/>
      <c r="B246" s="11"/>
      <c r="C246" s="11"/>
      <c r="D246" s="11"/>
      <c r="E246" s="11"/>
      <c r="F246" s="11"/>
      <c r="G246" s="11"/>
      <c r="H246" s="11"/>
    </row>
    <row r="247" spans="1:8">
      <c r="A247" s="11"/>
      <c r="B247" s="11"/>
      <c r="C247" s="11"/>
      <c r="D247" s="11"/>
      <c r="E247" s="11"/>
      <c r="F247" s="11"/>
      <c r="G247" s="11"/>
      <c r="H247" s="11"/>
    </row>
    <row r="248" spans="1:8">
      <c r="A248" s="11"/>
      <c r="B248" s="11"/>
      <c r="C248" s="11"/>
      <c r="D248" s="11"/>
      <c r="E248" s="11"/>
      <c r="F248" s="11"/>
      <c r="G248" s="11"/>
      <c r="H248" s="11"/>
    </row>
    <row r="249" spans="1:8">
      <c r="A249" s="11"/>
      <c r="B249" s="11"/>
      <c r="C249" s="11"/>
      <c r="D249" s="11"/>
      <c r="E249" s="11"/>
      <c r="F249" s="11"/>
      <c r="G249" s="11"/>
      <c r="H249" s="11"/>
    </row>
    <row r="250" spans="1:8">
      <c r="A250" s="11"/>
      <c r="B250" s="11"/>
      <c r="C250" s="11"/>
      <c r="D250" s="11"/>
      <c r="E250" s="11"/>
      <c r="F250" s="11"/>
      <c r="G250" s="11"/>
      <c r="H250" s="11"/>
    </row>
    <row r="251" spans="1:8">
      <c r="A251" s="11"/>
      <c r="B251" s="11"/>
      <c r="C251" s="11"/>
      <c r="D251" s="11"/>
      <c r="E251" s="11"/>
      <c r="F251" s="11"/>
      <c r="G251" s="11"/>
      <c r="H251" s="11"/>
    </row>
    <row r="252" spans="1:8">
      <c r="A252" s="11"/>
      <c r="B252" s="11"/>
      <c r="C252" s="11"/>
      <c r="D252" s="11"/>
      <c r="E252" s="11"/>
      <c r="F252" s="11"/>
      <c r="G252" s="11"/>
      <c r="H252" s="11"/>
    </row>
    <row r="253" spans="1:8">
      <c r="A253" s="11"/>
      <c r="B253" s="11"/>
      <c r="C253" s="11"/>
      <c r="D253" s="11"/>
      <c r="E253" s="11"/>
      <c r="F253" s="11"/>
      <c r="G253" s="11"/>
      <c r="H253" s="11"/>
    </row>
    <row r="254" spans="1:8">
      <c r="A254" s="11"/>
      <c r="B254" s="11"/>
      <c r="C254" s="11"/>
      <c r="D254" s="11"/>
      <c r="E254" s="11"/>
      <c r="F254" s="11"/>
      <c r="G254" s="11"/>
      <c r="H254" s="11"/>
    </row>
    <row r="255" spans="1:8">
      <c r="A255" s="11"/>
      <c r="B255" s="11"/>
      <c r="C255" s="11"/>
      <c r="D255" s="11"/>
      <c r="E255" s="11"/>
      <c r="F255" s="11"/>
      <c r="G255" s="11"/>
      <c r="H255" s="11"/>
    </row>
    <row r="256" spans="1:8">
      <c r="A256" s="11"/>
      <c r="B256" s="11"/>
      <c r="C256" s="11"/>
      <c r="D256" s="11"/>
      <c r="E256" s="11"/>
      <c r="F256" s="11"/>
      <c r="G256" s="11"/>
      <c r="H256" s="11"/>
    </row>
    <row r="257" spans="1:8">
      <c r="A257" s="11"/>
      <c r="B257" s="11"/>
      <c r="C257" s="11"/>
      <c r="D257" s="11"/>
      <c r="E257" s="11"/>
      <c r="F257" s="11"/>
      <c r="G257" s="11"/>
      <c r="H257" s="11"/>
    </row>
    <row r="258" spans="1:8">
      <c r="A258" s="11"/>
      <c r="B258" s="11"/>
      <c r="C258" s="11"/>
      <c r="D258" s="11"/>
      <c r="E258" s="11"/>
      <c r="F258" s="11"/>
      <c r="G258" s="11"/>
      <c r="H258" s="11"/>
    </row>
    <row r="259" spans="1:8">
      <c r="A259" s="11"/>
      <c r="B259" s="11"/>
      <c r="C259" s="11"/>
      <c r="D259" s="11"/>
      <c r="E259" s="11"/>
      <c r="F259" s="11"/>
      <c r="G259" s="11"/>
      <c r="H259" s="11"/>
    </row>
    <row r="260" spans="1:8">
      <c r="A260" s="11"/>
      <c r="B260" s="11"/>
      <c r="C260" s="11"/>
      <c r="D260" s="11"/>
      <c r="E260" s="11"/>
      <c r="F260" s="11"/>
      <c r="G260" s="11"/>
      <c r="H260" s="11"/>
    </row>
    <row r="261" spans="1:8">
      <c r="A261" s="11"/>
      <c r="B261" s="11"/>
      <c r="C261" s="11"/>
      <c r="D261" s="11"/>
      <c r="E261" s="11"/>
      <c r="F261" s="11"/>
      <c r="G261" s="11"/>
      <c r="H261" s="11"/>
    </row>
    <row r="262" spans="1:8">
      <c r="A262" s="11"/>
      <c r="B262" s="11"/>
      <c r="C262" s="11"/>
      <c r="D262" s="11"/>
      <c r="E262" s="11"/>
      <c r="F262" s="11"/>
      <c r="G262" s="11"/>
      <c r="H262" s="11"/>
    </row>
    <row r="263" spans="1:8">
      <c r="A263" s="11"/>
      <c r="B263" s="11"/>
      <c r="C263" s="11"/>
      <c r="D263" s="11"/>
      <c r="E263" s="11"/>
      <c r="F263" s="11"/>
      <c r="G263" s="11"/>
      <c r="H263" s="11"/>
    </row>
    <row r="264" spans="1:8">
      <c r="A264" s="11"/>
      <c r="B264" s="11"/>
      <c r="C264" s="11"/>
      <c r="D264" s="11"/>
      <c r="E264" s="11"/>
      <c r="F264" s="11"/>
      <c r="G264" s="11"/>
      <c r="H264" s="11"/>
    </row>
    <row r="265" spans="1:8">
      <c r="A265" s="11"/>
      <c r="B265" s="11"/>
      <c r="C265" s="11"/>
      <c r="D265" s="11"/>
      <c r="E265" s="11"/>
      <c r="F265" s="11"/>
      <c r="G265" s="11"/>
      <c r="H265" s="11"/>
    </row>
    <row r="266" spans="1:8">
      <c r="A266" s="11"/>
      <c r="B266" s="11"/>
      <c r="C266" s="11"/>
      <c r="D266" s="11"/>
      <c r="E266" s="11"/>
      <c r="F266" s="11"/>
      <c r="G266" s="11"/>
      <c r="H266" s="11"/>
    </row>
    <row r="267" spans="1:8">
      <c r="A267" s="11"/>
      <c r="B267" s="11"/>
      <c r="C267" s="11"/>
      <c r="D267" s="11"/>
      <c r="E267" s="11"/>
      <c r="F267" s="11"/>
      <c r="G267" s="11"/>
      <c r="H267" s="11"/>
    </row>
    <row r="268" spans="1:8">
      <c r="A268" s="11"/>
      <c r="B268" s="11"/>
      <c r="C268" s="11"/>
      <c r="D268" s="11"/>
      <c r="E268" s="11"/>
      <c r="F268" s="11"/>
      <c r="G268" s="11"/>
      <c r="H268" s="11"/>
    </row>
    <row r="269" spans="1:8">
      <c r="A269" s="11"/>
      <c r="B269" s="11"/>
      <c r="C269" s="11"/>
      <c r="D269" s="11"/>
      <c r="E269" s="11"/>
      <c r="F269" s="11"/>
      <c r="G269" s="11"/>
      <c r="H269" s="11"/>
    </row>
    <row r="270" spans="1:8">
      <c r="A270" s="11"/>
      <c r="B270" s="11"/>
      <c r="C270" s="11"/>
      <c r="D270" s="11"/>
      <c r="E270" s="11"/>
      <c r="F270" s="11"/>
      <c r="G270" s="11"/>
      <c r="H270" s="11"/>
    </row>
    <row r="271" spans="1:8">
      <c r="A271" s="11"/>
      <c r="B271" s="11"/>
      <c r="C271" s="11"/>
      <c r="D271" s="11"/>
      <c r="E271" s="11"/>
      <c r="F271" s="11"/>
      <c r="G271" s="11"/>
      <c r="H271" s="11"/>
    </row>
    <row r="272" spans="1:8">
      <c r="A272" s="11"/>
      <c r="B272" s="11"/>
      <c r="C272" s="11"/>
      <c r="D272" s="11"/>
      <c r="E272" s="11"/>
      <c r="F272" s="11"/>
      <c r="G272" s="11"/>
      <c r="H272" s="11"/>
    </row>
    <row r="273" spans="1:8">
      <c r="A273" s="11"/>
      <c r="B273" s="11"/>
      <c r="C273" s="11"/>
      <c r="D273" s="11"/>
      <c r="E273" s="11"/>
      <c r="F273" s="11"/>
      <c r="G273" s="11"/>
      <c r="H273" s="1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workbookViewId="0">
      <selection activeCell="G12" sqref="G12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42578125" customWidth="1"/>
    <col min="5" max="5" width="12.140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299</v>
      </c>
      <c r="B4" s="2"/>
      <c r="C4" s="2"/>
      <c r="D4" s="2" t="s">
        <v>10</v>
      </c>
      <c r="E4" s="2" t="s">
        <v>11</v>
      </c>
      <c r="F4" s="10">
        <v>4113</v>
      </c>
      <c r="G4" s="26" t="s">
        <v>12</v>
      </c>
      <c r="H4" s="4" t="s">
        <v>18</v>
      </c>
    </row>
    <row r="5" spans="1:8">
      <c r="A5" s="1">
        <v>299</v>
      </c>
      <c r="B5" s="2"/>
      <c r="C5" s="2"/>
      <c r="D5" s="2" t="s">
        <v>21</v>
      </c>
      <c r="E5" s="2" t="s">
        <v>14</v>
      </c>
      <c r="F5" s="10">
        <v>246</v>
      </c>
      <c r="G5" s="26" t="s">
        <v>12</v>
      </c>
      <c r="H5" s="4" t="s">
        <v>18</v>
      </c>
    </row>
    <row r="6" spans="1:8">
      <c r="A6" s="1">
        <v>299</v>
      </c>
      <c r="B6" s="2"/>
      <c r="C6" s="2"/>
      <c r="D6" s="2" t="s">
        <v>24</v>
      </c>
      <c r="E6" s="2" t="s">
        <v>14</v>
      </c>
      <c r="F6" s="10">
        <v>169</v>
      </c>
      <c r="G6" s="26" t="s">
        <v>12</v>
      </c>
      <c r="H6" s="4" t="s">
        <v>18</v>
      </c>
    </row>
    <row r="7" spans="1:8">
      <c r="E7" s="12" t="s">
        <v>17</v>
      </c>
      <c r="F7" s="13">
        <f>SUM(F4:F6)</f>
        <v>4528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selection activeCell="G15" sqref="G1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85546875" customWidth="1"/>
    <col min="5" max="5" width="11.71093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300</v>
      </c>
      <c r="B4" s="2"/>
      <c r="C4" s="2"/>
      <c r="D4" s="2" t="s">
        <v>10</v>
      </c>
      <c r="E4" s="2" t="s">
        <v>11</v>
      </c>
      <c r="F4" s="10">
        <v>455</v>
      </c>
      <c r="G4" s="26" t="s">
        <v>12</v>
      </c>
      <c r="H4" s="4" t="s">
        <v>18</v>
      </c>
    </row>
    <row r="5" spans="1:8">
      <c r="A5" s="1">
        <v>300</v>
      </c>
      <c r="B5" s="2"/>
      <c r="C5" s="2"/>
      <c r="D5" s="2" t="s">
        <v>10</v>
      </c>
      <c r="E5" s="2" t="s">
        <v>14</v>
      </c>
      <c r="F5" s="10">
        <v>7816</v>
      </c>
      <c r="G5" s="26" t="s">
        <v>12</v>
      </c>
      <c r="H5" s="4" t="s">
        <v>18</v>
      </c>
    </row>
    <row r="6" spans="1:8">
      <c r="A6" s="1">
        <v>300</v>
      </c>
      <c r="B6" s="2"/>
      <c r="C6" s="2"/>
      <c r="D6" s="2" t="s">
        <v>16</v>
      </c>
      <c r="E6" s="2" t="s">
        <v>14</v>
      </c>
      <c r="F6" s="10">
        <v>200</v>
      </c>
      <c r="G6" s="26" t="s">
        <v>12</v>
      </c>
      <c r="H6" s="4" t="s">
        <v>18</v>
      </c>
    </row>
    <row r="7" spans="1:8">
      <c r="A7" s="1">
        <v>300</v>
      </c>
      <c r="B7" s="2"/>
      <c r="C7" s="2"/>
      <c r="D7" s="2" t="s">
        <v>29</v>
      </c>
      <c r="E7" s="2" t="s">
        <v>14</v>
      </c>
      <c r="F7" s="10">
        <v>499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8970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>
      <selection activeCell="H21" sqref="H21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42578125" customWidth="1"/>
    <col min="5" max="5" width="12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301</v>
      </c>
      <c r="B4" s="2"/>
      <c r="C4" s="2"/>
      <c r="D4" s="2" t="s">
        <v>10</v>
      </c>
      <c r="E4" s="2" t="s">
        <v>11</v>
      </c>
      <c r="F4" s="10">
        <v>5372</v>
      </c>
      <c r="G4" s="26" t="s">
        <v>12</v>
      </c>
      <c r="H4" s="4" t="s">
        <v>18</v>
      </c>
    </row>
    <row r="5" spans="1:8">
      <c r="A5" s="1">
        <v>301</v>
      </c>
      <c r="B5" s="2"/>
      <c r="C5" s="2"/>
      <c r="D5" s="2" t="s">
        <v>10</v>
      </c>
      <c r="E5" s="2" t="s">
        <v>14</v>
      </c>
      <c r="F5" s="10">
        <v>1667</v>
      </c>
      <c r="G5" s="26" t="s">
        <v>12</v>
      </c>
      <c r="H5" s="4" t="s">
        <v>18</v>
      </c>
    </row>
    <row r="6" spans="1:8">
      <c r="A6" s="1">
        <v>301</v>
      </c>
      <c r="B6" s="2"/>
      <c r="C6" s="2"/>
      <c r="D6" s="2" t="s">
        <v>16</v>
      </c>
      <c r="E6" s="2" t="s">
        <v>14</v>
      </c>
      <c r="F6" s="10">
        <v>138</v>
      </c>
      <c r="G6" s="26" t="s">
        <v>12</v>
      </c>
      <c r="H6" s="4" t="s">
        <v>18</v>
      </c>
    </row>
    <row r="7" spans="1:8">
      <c r="A7" s="1">
        <v>301</v>
      </c>
      <c r="B7" s="2"/>
      <c r="C7" s="2"/>
      <c r="D7" s="2" t="s">
        <v>22</v>
      </c>
      <c r="E7" s="2" t="s">
        <v>14</v>
      </c>
      <c r="F7" s="10">
        <v>404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7581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workbookViewId="0">
      <selection activeCell="J8" sqref="J8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5" customWidth="1"/>
    <col min="5" max="5" width="13.28515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302</v>
      </c>
      <c r="B4" s="2"/>
      <c r="C4" s="2"/>
      <c r="D4" s="2" t="s">
        <v>10</v>
      </c>
      <c r="E4" s="2" t="s">
        <v>11</v>
      </c>
      <c r="F4" s="10">
        <v>5479</v>
      </c>
      <c r="G4" s="26" t="s">
        <v>12</v>
      </c>
      <c r="H4" s="4" t="s">
        <v>18</v>
      </c>
    </row>
    <row r="5" spans="1:8">
      <c r="A5" s="1">
        <v>302</v>
      </c>
      <c r="B5" s="2"/>
      <c r="C5" s="2"/>
      <c r="D5" s="2" t="s">
        <v>10</v>
      </c>
      <c r="E5" s="2" t="s">
        <v>14</v>
      </c>
      <c r="F5" s="10">
        <v>5713</v>
      </c>
      <c r="G5" s="26" t="s">
        <v>12</v>
      </c>
      <c r="H5" s="4" t="s">
        <v>18</v>
      </c>
    </row>
    <row r="6" spans="1:8">
      <c r="A6" s="1">
        <v>302</v>
      </c>
      <c r="B6" s="2"/>
      <c r="C6" s="2"/>
      <c r="D6" s="2" t="s">
        <v>16</v>
      </c>
      <c r="E6" s="2" t="s">
        <v>14</v>
      </c>
      <c r="F6" s="10">
        <v>335</v>
      </c>
      <c r="G6" s="26" t="s">
        <v>12</v>
      </c>
      <c r="H6" s="4" t="s">
        <v>18</v>
      </c>
    </row>
    <row r="7" spans="1:8">
      <c r="A7" s="1">
        <v>302</v>
      </c>
      <c r="B7" s="2"/>
      <c r="C7" s="2"/>
      <c r="D7" s="2" t="s">
        <v>30</v>
      </c>
      <c r="E7" s="2" t="s">
        <v>14</v>
      </c>
      <c r="F7" s="10">
        <v>728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12255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"/>
  <sheetViews>
    <sheetView workbookViewId="0">
      <selection activeCell="E20" sqref="E20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3.85546875" customWidth="1"/>
    <col min="5" max="5" width="11.28515625" customWidth="1"/>
    <col min="7" max="7" width="12.7109375" customWidth="1"/>
    <col min="8" max="8" width="9.85546875" customWidth="1"/>
  </cols>
  <sheetData>
    <row r="1" spans="1:9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9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9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9">
      <c r="A4" s="21">
        <v>331</v>
      </c>
      <c r="B4" s="19"/>
      <c r="C4" s="19"/>
      <c r="D4" s="22" t="s">
        <v>31</v>
      </c>
      <c r="E4" s="22" t="s">
        <v>14</v>
      </c>
      <c r="F4" s="20">
        <v>112</v>
      </c>
      <c r="G4" s="26" t="s">
        <v>12</v>
      </c>
      <c r="H4" s="24" t="s">
        <v>18</v>
      </c>
      <c r="I4" s="11"/>
    </row>
    <row r="5" spans="1:9">
      <c r="A5" s="21">
        <v>331</v>
      </c>
      <c r="B5" s="19"/>
      <c r="C5" s="19"/>
      <c r="D5" s="22" t="s">
        <v>31</v>
      </c>
      <c r="E5" s="22" t="s">
        <v>11</v>
      </c>
      <c r="F5" s="20">
        <v>1406</v>
      </c>
      <c r="G5" s="26" t="s">
        <v>12</v>
      </c>
      <c r="H5" s="24" t="s">
        <v>18</v>
      </c>
      <c r="I5" s="11"/>
    </row>
    <row r="6" spans="1:9">
      <c r="A6" s="21">
        <v>331</v>
      </c>
      <c r="B6" s="19"/>
      <c r="C6" s="19"/>
      <c r="D6" s="22" t="s">
        <v>16</v>
      </c>
      <c r="E6" s="22" t="s">
        <v>14</v>
      </c>
      <c r="F6" s="20">
        <v>400</v>
      </c>
      <c r="G6" s="26" t="s">
        <v>12</v>
      </c>
      <c r="H6" s="24" t="s">
        <v>18</v>
      </c>
      <c r="I6" s="11"/>
    </row>
    <row r="7" spans="1:9">
      <c r="A7" s="21">
        <v>331</v>
      </c>
      <c r="B7" s="19"/>
      <c r="C7" s="19"/>
      <c r="D7" s="22" t="s">
        <v>22</v>
      </c>
      <c r="E7" s="22" t="s">
        <v>14</v>
      </c>
      <c r="F7" s="20">
        <v>172</v>
      </c>
      <c r="G7" s="26" t="s">
        <v>12</v>
      </c>
      <c r="H7" s="24" t="s">
        <v>18</v>
      </c>
      <c r="I7" s="11"/>
    </row>
    <row r="8" spans="1:9">
      <c r="E8" s="12" t="s">
        <v>17</v>
      </c>
      <c r="F8" s="13">
        <f>SUM(F4:F7)</f>
        <v>2090</v>
      </c>
    </row>
    <row r="10" spans="1:9">
      <c r="A10" s="23"/>
      <c r="B10" s="23"/>
      <c r="C10" s="23"/>
      <c r="D10" s="23"/>
      <c r="E10" s="23"/>
      <c r="F10" s="23"/>
      <c r="G10" s="23"/>
      <c r="H10" s="23"/>
      <c r="I10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"/>
  <sheetViews>
    <sheetView workbookViewId="0">
      <selection activeCell="O11" sqref="O11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42578125" customWidth="1"/>
    <col min="5" max="5" width="11.855468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435</v>
      </c>
      <c r="B4" s="2"/>
      <c r="C4" s="2"/>
      <c r="D4" s="2" t="s">
        <v>10</v>
      </c>
      <c r="E4" s="2" t="s">
        <v>11</v>
      </c>
      <c r="F4" s="10">
        <v>7068</v>
      </c>
      <c r="G4" s="26" t="s">
        <v>12</v>
      </c>
      <c r="H4" s="4" t="s">
        <v>18</v>
      </c>
    </row>
    <row r="5" spans="1:8">
      <c r="A5" s="1">
        <v>435</v>
      </c>
      <c r="B5" s="2"/>
      <c r="C5" s="2"/>
      <c r="D5" s="2" t="s">
        <v>10</v>
      </c>
      <c r="E5" s="2" t="s">
        <v>14</v>
      </c>
      <c r="F5" s="10">
        <v>4584</v>
      </c>
      <c r="G5" s="26" t="s">
        <v>12</v>
      </c>
      <c r="H5" s="4" t="s">
        <v>18</v>
      </c>
    </row>
    <row r="6" spans="1:8">
      <c r="A6" s="1">
        <v>435</v>
      </c>
      <c r="B6" s="2"/>
      <c r="C6" s="2"/>
      <c r="D6" s="2" t="s">
        <v>30</v>
      </c>
      <c r="E6" s="2" t="s">
        <v>14</v>
      </c>
      <c r="F6" s="10">
        <v>760</v>
      </c>
      <c r="G6" s="26" t="s">
        <v>12</v>
      </c>
      <c r="H6" s="4" t="s">
        <v>18</v>
      </c>
    </row>
    <row r="7" spans="1:8">
      <c r="A7" s="1">
        <v>435</v>
      </c>
      <c r="B7" s="2"/>
      <c r="C7" s="2"/>
      <c r="D7" s="2" t="s">
        <v>24</v>
      </c>
      <c r="E7" s="2" t="s">
        <v>14</v>
      </c>
      <c r="F7" s="10">
        <v>124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12536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"/>
  <sheetViews>
    <sheetView workbookViewId="0">
      <selection activeCell="P10" sqref="P10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6.85546875" customWidth="1"/>
    <col min="5" max="5" width="12.71093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24">
        <v>456</v>
      </c>
      <c r="B4" s="19"/>
      <c r="C4" s="19"/>
      <c r="D4" s="22" t="s">
        <v>31</v>
      </c>
      <c r="E4" s="22" t="s">
        <v>14</v>
      </c>
      <c r="F4" s="20">
        <v>204</v>
      </c>
      <c r="G4" s="26" t="s">
        <v>12</v>
      </c>
      <c r="H4" s="24" t="s">
        <v>18</v>
      </c>
    </row>
    <row r="5" spans="1:8">
      <c r="A5" s="24">
        <v>456</v>
      </c>
      <c r="B5" s="19"/>
      <c r="C5" s="19"/>
      <c r="D5" s="22" t="s">
        <v>31</v>
      </c>
      <c r="E5" s="22" t="s">
        <v>11</v>
      </c>
      <c r="F5" s="20">
        <v>3783</v>
      </c>
      <c r="G5" s="26" t="s">
        <v>12</v>
      </c>
      <c r="H5" s="24" t="s">
        <v>18</v>
      </c>
    </row>
    <row r="6" spans="1:8">
      <c r="A6" s="24">
        <v>456</v>
      </c>
      <c r="B6" s="19"/>
      <c r="C6" s="19"/>
      <c r="D6" s="22" t="s">
        <v>27</v>
      </c>
      <c r="E6" s="22" t="s">
        <v>14</v>
      </c>
      <c r="F6" s="20">
        <v>215</v>
      </c>
      <c r="G6" s="26" t="s">
        <v>12</v>
      </c>
      <c r="H6" s="24" t="s">
        <v>18</v>
      </c>
    </row>
    <row r="7" spans="1:8">
      <c r="A7" s="24">
        <v>456</v>
      </c>
      <c r="B7" s="19"/>
      <c r="C7" s="19"/>
      <c r="D7" s="22" t="s">
        <v>24</v>
      </c>
      <c r="E7" s="22" t="s">
        <v>14</v>
      </c>
      <c r="F7" s="20">
        <v>194</v>
      </c>
      <c r="G7" s="26" t="s">
        <v>12</v>
      </c>
      <c r="H7" s="24" t="s">
        <v>18</v>
      </c>
    </row>
    <row r="8" spans="1:8">
      <c r="E8" s="12" t="s">
        <v>17</v>
      </c>
      <c r="F8" s="13">
        <f>SUM(F4:F7)</f>
        <v>4396</v>
      </c>
    </row>
    <row r="9" spans="1:8">
      <c r="A9" s="23"/>
      <c r="B9" s="23"/>
      <c r="C9" s="23"/>
      <c r="D9" s="23"/>
      <c r="E9" s="23"/>
      <c r="F9" s="23"/>
      <c r="G9" s="23"/>
      <c r="H9" s="23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"/>
  <sheetViews>
    <sheetView workbookViewId="0">
      <selection activeCell="G4" sqref="G4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2.85546875" customWidth="1"/>
    <col min="5" max="5" width="11.140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482</v>
      </c>
      <c r="B4" s="2"/>
      <c r="C4" s="2"/>
      <c r="D4" s="2" t="s">
        <v>10</v>
      </c>
      <c r="E4" s="2" t="s">
        <v>11</v>
      </c>
      <c r="F4" s="10">
        <v>4192</v>
      </c>
      <c r="G4" s="26" t="s">
        <v>12</v>
      </c>
      <c r="H4" s="4" t="s">
        <v>18</v>
      </c>
    </row>
    <row r="5" spans="1:8">
      <c r="A5" s="1">
        <v>482</v>
      </c>
      <c r="B5" s="2"/>
      <c r="C5" s="2"/>
      <c r="D5" s="2" t="s">
        <v>10</v>
      </c>
      <c r="E5" s="2" t="s">
        <v>14</v>
      </c>
      <c r="F5" s="10">
        <v>110</v>
      </c>
      <c r="G5" s="26" t="s">
        <v>12</v>
      </c>
      <c r="H5" s="4" t="s">
        <v>18</v>
      </c>
    </row>
    <row r="6" spans="1:8">
      <c r="A6" s="1">
        <v>482</v>
      </c>
      <c r="B6" s="2"/>
      <c r="C6" s="2"/>
      <c r="D6" s="2" t="s">
        <v>16</v>
      </c>
      <c r="E6" s="2" t="s">
        <v>14</v>
      </c>
      <c r="F6" s="10">
        <v>43</v>
      </c>
      <c r="G6" s="26" t="s">
        <v>12</v>
      </c>
      <c r="H6" s="4" t="s">
        <v>18</v>
      </c>
    </row>
    <row r="7" spans="1:8">
      <c r="A7" s="1">
        <v>482</v>
      </c>
      <c r="B7" s="2"/>
      <c r="C7" s="2"/>
      <c r="D7" s="2" t="s">
        <v>22</v>
      </c>
      <c r="E7" s="2" t="s">
        <v>14</v>
      </c>
      <c r="F7" s="10">
        <v>207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4552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"/>
  <sheetViews>
    <sheetView workbookViewId="0">
      <selection activeCell="F5" sqref="F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" customWidth="1"/>
    <col min="5" max="5" width="12.57031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490</v>
      </c>
      <c r="B4" s="2"/>
      <c r="C4" s="2"/>
      <c r="D4" s="2" t="s">
        <v>10</v>
      </c>
      <c r="E4" s="2" t="s">
        <v>11</v>
      </c>
      <c r="F4" s="10">
        <v>4681</v>
      </c>
      <c r="G4" s="26" t="s">
        <v>12</v>
      </c>
      <c r="H4" s="4" t="s">
        <v>18</v>
      </c>
    </row>
    <row r="5" spans="1:8">
      <c r="A5" s="1">
        <v>490</v>
      </c>
      <c r="B5" s="2"/>
      <c r="C5" s="2"/>
      <c r="D5" s="2" t="s">
        <v>10</v>
      </c>
      <c r="E5" s="2" t="s">
        <v>14</v>
      </c>
      <c r="F5" s="10">
        <v>151</v>
      </c>
      <c r="G5" s="26" t="s">
        <v>12</v>
      </c>
      <c r="H5" s="4" t="s">
        <v>18</v>
      </c>
    </row>
    <row r="6" spans="1:8">
      <c r="A6" s="1">
        <v>490</v>
      </c>
      <c r="B6" s="2"/>
      <c r="C6" s="2"/>
      <c r="D6" s="2" t="s">
        <v>22</v>
      </c>
      <c r="E6" s="2" t="s">
        <v>14</v>
      </c>
      <c r="F6" s="10">
        <v>180</v>
      </c>
      <c r="G6" s="26" t="s">
        <v>12</v>
      </c>
      <c r="H6" s="4" t="s">
        <v>18</v>
      </c>
    </row>
    <row r="7" spans="1:8">
      <c r="A7" s="1">
        <v>490</v>
      </c>
      <c r="B7" s="2"/>
      <c r="C7" s="2"/>
      <c r="D7" s="2" t="s">
        <v>16</v>
      </c>
      <c r="E7" s="2" t="s">
        <v>14</v>
      </c>
      <c r="F7" s="10">
        <v>141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5153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7"/>
  <sheetViews>
    <sheetView workbookViewId="0">
      <selection activeCell="M13" sqref="M13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3.140625" customWidth="1"/>
    <col min="5" max="5" width="11.140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526</v>
      </c>
      <c r="B4" s="2"/>
      <c r="C4" s="2"/>
      <c r="D4" s="2" t="s">
        <v>10</v>
      </c>
      <c r="E4" s="2" t="s">
        <v>11</v>
      </c>
      <c r="F4" s="10">
        <v>2795</v>
      </c>
      <c r="G4" s="26" t="s">
        <v>12</v>
      </c>
      <c r="H4" s="4" t="s">
        <v>18</v>
      </c>
    </row>
    <row r="5" spans="1:8">
      <c r="A5" s="1">
        <v>526</v>
      </c>
      <c r="B5" s="2"/>
      <c r="C5" s="2"/>
      <c r="D5" s="2" t="s">
        <v>10</v>
      </c>
      <c r="E5" s="2" t="s">
        <v>14</v>
      </c>
      <c r="F5" s="10">
        <v>540</v>
      </c>
      <c r="G5" s="26" t="s">
        <v>12</v>
      </c>
      <c r="H5" s="4" t="s">
        <v>18</v>
      </c>
    </row>
    <row r="6" spans="1:8">
      <c r="A6" s="1">
        <v>526</v>
      </c>
      <c r="B6" s="2"/>
      <c r="C6" s="2"/>
      <c r="D6" s="2" t="s">
        <v>22</v>
      </c>
      <c r="E6" s="2" t="s">
        <v>14</v>
      </c>
      <c r="F6" s="10">
        <v>528</v>
      </c>
      <c r="G6" s="26" t="s">
        <v>12</v>
      </c>
      <c r="H6" s="4" t="s">
        <v>18</v>
      </c>
    </row>
    <row r="7" spans="1:8">
      <c r="E7" s="12" t="s">
        <v>17</v>
      </c>
      <c r="F7" s="13">
        <f>SUM(F4:F6)</f>
        <v>3863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"/>
  <sheetViews>
    <sheetView workbookViewId="0">
      <selection activeCell="O8" sqref="O8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" customWidth="1"/>
    <col min="5" max="5" width="11.57031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">
        <v>544</v>
      </c>
      <c r="B4" s="2"/>
      <c r="C4" s="2"/>
      <c r="D4" s="2" t="s">
        <v>10</v>
      </c>
      <c r="E4" s="2" t="s">
        <v>11</v>
      </c>
      <c r="F4" s="3">
        <v>100</v>
      </c>
      <c r="G4" s="26" t="s">
        <v>12</v>
      </c>
      <c r="H4" s="4" t="s">
        <v>18</v>
      </c>
    </row>
    <row r="5" spans="1:8">
      <c r="A5" s="5">
        <v>544</v>
      </c>
      <c r="B5" s="6"/>
      <c r="C5" s="6"/>
      <c r="D5" s="6" t="s">
        <v>10</v>
      </c>
      <c r="E5" s="6" t="s">
        <v>14</v>
      </c>
      <c r="F5" s="7">
        <v>458</v>
      </c>
      <c r="G5" s="26" t="s">
        <v>12</v>
      </c>
      <c r="H5" s="4" t="s">
        <v>18</v>
      </c>
    </row>
    <row r="6" spans="1:8">
      <c r="A6" s="5">
        <v>544</v>
      </c>
      <c r="B6" s="6"/>
      <c r="C6" s="6"/>
      <c r="D6" s="6" t="s">
        <v>22</v>
      </c>
      <c r="E6" s="6" t="s">
        <v>14</v>
      </c>
      <c r="F6" s="7">
        <v>40</v>
      </c>
      <c r="G6" s="26" t="s">
        <v>12</v>
      </c>
      <c r="H6" s="4" t="s">
        <v>18</v>
      </c>
    </row>
    <row r="7" spans="1:8">
      <c r="E7" s="12" t="s">
        <v>17</v>
      </c>
      <c r="F7" s="14">
        <f>SUM(F4:F6)</f>
        <v>598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"/>
  <sheetViews>
    <sheetView workbookViewId="0">
      <selection activeCell="F5" sqref="F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5" customWidth="1"/>
    <col min="5" max="5" width="12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545</v>
      </c>
      <c r="B4" s="6"/>
      <c r="C4" s="6"/>
      <c r="D4" s="6" t="s">
        <v>10</v>
      </c>
      <c r="E4" s="6" t="s">
        <v>11</v>
      </c>
      <c r="F4" s="15">
        <v>813</v>
      </c>
      <c r="G4" s="26" t="s">
        <v>12</v>
      </c>
      <c r="H4" s="5" t="s">
        <v>18</v>
      </c>
    </row>
    <row r="5" spans="1:8">
      <c r="A5" s="5">
        <v>545</v>
      </c>
      <c r="B5" s="6"/>
      <c r="C5" s="6"/>
      <c r="D5" s="6" t="s">
        <v>10</v>
      </c>
      <c r="E5" s="6" t="s">
        <v>14</v>
      </c>
      <c r="F5" s="15">
        <v>324</v>
      </c>
      <c r="G5" s="26" t="s">
        <v>12</v>
      </c>
      <c r="H5" s="4" t="s">
        <v>18</v>
      </c>
    </row>
    <row r="6" spans="1:8">
      <c r="A6" s="5">
        <v>545</v>
      </c>
      <c r="B6" s="6"/>
      <c r="C6" s="6"/>
      <c r="D6" s="6" t="s">
        <v>32</v>
      </c>
      <c r="E6" s="6" t="s">
        <v>14</v>
      </c>
      <c r="F6" s="15">
        <v>178</v>
      </c>
      <c r="G6" s="26" t="s">
        <v>12</v>
      </c>
      <c r="H6" s="4" t="s">
        <v>18</v>
      </c>
    </row>
    <row r="7" spans="1:8">
      <c r="A7" s="5">
        <v>545</v>
      </c>
      <c r="B7" s="6"/>
      <c r="C7" s="6"/>
      <c r="D7" s="6" t="s">
        <v>22</v>
      </c>
      <c r="E7" s="6" t="s">
        <v>14</v>
      </c>
      <c r="F7" s="15">
        <v>217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1532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"/>
  <sheetViews>
    <sheetView workbookViewId="0">
      <selection activeCell="G4" sqref="G4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6.140625" customWidth="1"/>
    <col min="5" max="5" width="11.71093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559</v>
      </c>
      <c r="B4" s="6"/>
      <c r="C4" s="6"/>
      <c r="D4" s="6" t="s">
        <v>10</v>
      </c>
      <c r="E4" s="6" t="s">
        <v>11</v>
      </c>
      <c r="F4" s="15">
        <v>4311</v>
      </c>
      <c r="G4" s="26" t="s">
        <v>12</v>
      </c>
      <c r="H4" s="4" t="s">
        <v>18</v>
      </c>
    </row>
    <row r="5" spans="1:8">
      <c r="A5" s="5">
        <v>559</v>
      </c>
      <c r="B5" s="6"/>
      <c r="C5" s="6"/>
      <c r="D5" s="6" t="s">
        <v>10</v>
      </c>
      <c r="E5" s="6" t="s">
        <v>14</v>
      </c>
      <c r="F5" s="15">
        <v>525</v>
      </c>
      <c r="G5" s="26" t="s">
        <v>12</v>
      </c>
      <c r="H5" s="4" t="s">
        <v>18</v>
      </c>
    </row>
    <row r="6" spans="1:8">
      <c r="A6" s="5">
        <v>559</v>
      </c>
      <c r="B6" s="6"/>
      <c r="C6" s="6"/>
      <c r="D6" s="6" t="s">
        <v>16</v>
      </c>
      <c r="E6" s="6" t="s">
        <v>14</v>
      </c>
      <c r="F6" s="15">
        <v>160</v>
      </c>
      <c r="G6" s="26" t="s">
        <v>12</v>
      </c>
      <c r="H6" s="4" t="s">
        <v>18</v>
      </c>
    </row>
    <row r="7" spans="1:8">
      <c r="A7" s="5">
        <v>559</v>
      </c>
      <c r="B7" s="6"/>
      <c r="C7" s="6"/>
      <c r="D7" s="6" t="s">
        <v>15</v>
      </c>
      <c r="E7" s="6" t="s">
        <v>14</v>
      </c>
      <c r="F7" s="15">
        <v>446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5442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13"/>
  <sheetViews>
    <sheetView workbookViewId="0">
      <selection activeCell="O10" sqref="O10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42578125" customWidth="1"/>
    <col min="5" max="5" width="11.57031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581</v>
      </c>
      <c r="B4" s="6"/>
      <c r="C4" s="6"/>
      <c r="D4" s="6" t="s">
        <v>33</v>
      </c>
      <c r="E4" s="6" t="s">
        <v>11</v>
      </c>
      <c r="F4" s="15">
        <v>1257</v>
      </c>
      <c r="G4" s="26" t="s">
        <v>12</v>
      </c>
      <c r="H4" s="4" t="s">
        <v>18</v>
      </c>
    </row>
    <row r="5" spans="1:8">
      <c r="A5" s="5">
        <v>581</v>
      </c>
      <c r="B5" s="6"/>
      <c r="C5" s="6"/>
      <c r="D5" s="6" t="s">
        <v>33</v>
      </c>
      <c r="E5" s="6" t="s">
        <v>14</v>
      </c>
      <c r="F5" s="15">
        <v>639</v>
      </c>
      <c r="G5" s="26" t="s">
        <v>12</v>
      </c>
      <c r="H5" s="4" t="s">
        <v>18</v>
      </c>
    </row>
    <row r="6" spans="1:8">
      <c r="A6" s="5">
        <v>581</v>
      </c>
      <c r="B6" s="6"/>
      <c r="C6" s="6"/>
      <c r="D6" s="6" t="s">
        <v>22</v>
      </c>
      <c r="E6" s="6" t="s">
        <v>14</v>
      </c>
      <c r="F6" s="15">
        <v>113</v>
      </c>
      <c r="G6" s="26" t="s">
        <v>12</v>
      </c>
      <c r="H6" s="4" t="s">
        <v>18</v>
      </c>
    </row>
    <row r="7" spans="1:8">
      <c r="A7" s="5">
        <v>581</v>
      </c>
      <c r="B7" s="6"/>
      <c r="C7" s="6"/>
      <c r="D7" s="6" t="s">
        <v>16</v>
      </c>
      <c r="E7" s="6" t="s">
        <v>14</v>
      </c>
      <c r="F7" s="15">
        <v>129</v>
      </c>
      <c r="G7" s="26" t="s">
        <v>12</v>
      </c>
      <c r="H7" s="4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2138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  <row r="81" spans="1:8">
      <c r="A81" s="11"/>
      <c r="B81" s="11"/>
      <c r="C81" s="11"/>
      <c r="D81" s="11"/>
      <c r="E81" s="11"/>
      <c r="F81" s="11"/>
      <c r="G81" s="11"/>
      <c r="H81" s="11"/>
    </row>
    <row r="82" spans="1:8">
      <c r="A82" s="11"/>
      <c r="B82" s="11"/>
      <c r="C82" s="11"/>
      <c r="D82" s="11"/>
      <c r="E82" s="11"/>
      <c r="F82" s="11"/>
      <c r="G82" s="11"/>
      <c r="H82" s="11"/>
    </row>
    <row r="83" spans="1:8">
      <c r="A83" s="11"/>
      <c r="B83" s="11"/>
      <c r="C83" s="11"/>
      <c r="D83" s="11"/>
      <c r="E83" s="11"/>
      <c r="F83" s="11"/>
      <c r="G83" s="11"/>
      <c r="H83" s="11"/>
    </row>
    <row r="84" spans="1:8">
      <c r="A84" s="11"/>
      <c r="B84" s="11"/>
      <c r="C84" s="11"/>
      <c r="D84" s="11"/>
      <c r="E84" s="11"/>
      <c r="F84" s="11"/>
      <c r="G84" s="11"/>
      <c r="H84" s="11"/>
    </row>
    <row r="85" spans="1:8">
      <c r="A85" s="11"/>
      <c r="B85" s="11"/>
      <c r="C85" s="11"/>
      <c r="D85" s="11"/>
      <c r="E85" s="11"/>
      <c r="F85" s="11"/>
      <c r="G85" s="11"/>
      <c r="H85" s="11"/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11"/>
      <c r="B87" s="11"/>
      <c r="C87" s="11"/>
      <c r="D87" s="11"/>
      <c r="E87" s="11"/>
      <c r="F87" s="11"/>
      <c r="G87" s="11"/>
      <c r="H87" s="11"/>
    </row>
    <row r="88" spans="1:8">
      <c r="A88" s="11"/>
      <c r="B88" s="11"/>
      <c r="C88" s="11"/>
      <c r="D88" s="11"/>
      <c r="E88" s="11"/>
      <c r="F88" s="11"/>
      <c r="G88" s="11"/>
      <c r="H88" s="11"/>
    </row>
    <row r="89" spans="1:8">
      <c r="A89" s="11"/>
      <c r="B89" s="11"/>
      <c r="C89" s="11"/>
      <c r="D89" s="11"/>
      <c r="E89" s="11"/>
      <c r="F89" s="11"/>
      <c r="G89" s="11"/>
      <c r="H89" s="11"/>
    </row>
    <row r="90" spans="1:8">
      <c r="A90" s="11"/>
      <c r="B90" s="11"/>
      <c r="C90" s="11"/>
      <c r="D90" s="11"/>
      <c r="E90" s="11"/>
      <c r="F90" s="11"/>
      <c r="G90" s="11"/>
      <c r="H90" s="11"/>
    </row>
    <row r="91" spans="1:8">
      <c r="A91" s="11"/>
      <c r="B91" s="11"/>
      <c r="C91" s="11"/>
      <c r="D91" s="11"/>
      <c r="E91" s="11"/>
      <c r="F91" s="11"/>
      <c r="G91" s="11"/>
      <c r="H91" s="11"/>
    </row>
    <row r="92" spans="1:8">
      <c r="A92" s="11"/>
      <c r="B92" s="11"/>
      <c r="C92" s="11"/>
      <c r="D92" s="11"/>
      <c r="E92" s="11"/>
      <c r="F92" s="11"/>
      <c r="G92" s="11"/>
      <c r="H92" s="11"/>
    </row>
    <row r="93" spans="1:8">
      <c r="A93" s="11"/>
      <c r="B93" s="11"/>
      <c r="C93" s="11"/>
      <c r="D93" s="11"/>
      <c r="E93" s="11"/>
      <c r="F93" s="11"/>
      <c r="G93" s="11"/>
      <c r="H93" s="11"/>
    </row>
    <row r="94" spans="1:8">
      <c r="A94" s="11"/>
      <c r="B94" s="11"/>
      <c r="C94" s="11"/>
      <c r="D94" s="11"/>
      <c r="E94" s="11"/>
      <c r="F94" s="11"/>
      <c r="G94" s="11"/>
      <c r="H94" s="11"/>
    </row>
    <row r="95" spans="1:8">
      <c r="A95" s="11"/>
      <c r="B95" s="11"/>
      <c r="C95" s="11"/>
      <c r="D95" s="11"/>
      <c r="E95" s="11"/>
      <c r="F95" s="11"/>
      <c r="G95" s="11"/>
      <c r="H95" s="11"/>
    </row>
    <row r="96" spans="1:8">
      <c r="A96" s="11"/>
      <c r="B96" s="11"/>
      <c r="C96" s="11"/>
      <c r="D96" s="11"/>
      <c r="E96" s="11"/>
      <c r="F96" s="11"/>
      <c r="G96" s="11"/>
      <c r="H96" s="11"/>
    </row>
    <row r="97" spans="1:8">
      <c r="A97" s="11"/>
      <c r="B97" s="11"/>
      <c r="C97" s="11"/>
      <c r="D97" s="11"/>
      <c r="E97" s="11"/>
      <c r="F97" s="11"/>
      <c r="G97" s="11"/>
      <c r="H97" s="11"/>
    </row>
    <row r="98" spans="1:8">
      <c r="A98" s="11"/>
      <c r="B98" s="11"/>
      <c r="C98" s="11"/>
      <c r="D98" s="11"/>
      <c r="E98" s="11"/>
      <c r="F98" s="11"/>
      <c r="G98" s="11"/>
      <c r="H98" s="11"/>
    </row>
    <row r="99" spans="1:8">
      <c r="A99" s="11"/>
      <c r="B99" s="11"/>
      <c r="C99" s="11"/>
      <c r="D99" s="11"/>
      <c r="E99" s="11"/>
      <c r="F99" s="11"/>
      <c r="G99" s="11"/>
      <c r="H99" s="11"/>
    </row>
    <row r="100" spans="1:8">
      <c r="A100" s="11"/>
      <c r="B100" s="11"/>
      <c r="C100" s="11"/>
      <c r="D100" s="11"/>
      <c r="E100" s="11"/>
      <c r="F100" s="11"/>
      <c r="G100" s="11"/>
      <c r="H100" s="11"/>
    </row>
    <row r="101" spans="1:8">
      <c r="A101" s="11"/>
      <c r="B101" s="11"/>
      <c r="C101" s="11"/>
      <c r="D101" s="11"/>
      <c r="E101" s="11"/>
      <c r="F101" s="11"/>
      <c r="G101" s="11"/>
      <c r="H101" s="11"/>
    </row>
    <row r="102" spans="1:8">
      <c r="A102" s="11"/>
      <c r="B102" s="11"/>
      <c r="C102" s="11"/>
      <c r="D102" s="11"/>
      <c r="E102" s="11"/>
      <c r="F102" s="11"/>
      <c r="G102" s="11"/>
      <c r="H102" s="11"/>
    </row>
    <row r="103" spans="1:8">
      <c r="A103" s="11"/>
      <c r="B103" s="11"/>
      <c r="C103" s="11"/>
      <c r="D103" s="11"/>
      <c r="E103" s="11"/>
      <c r="F103" s="11"/>
      <c r="G103" s="11"/>
      <c r="H103" s="11"/>
    </row>
    <row r="104" spans="1:8">
      <c r="A104" s="11"/>
      <c r="B104" s="11"/>
      <c r="C104" s="11"/>
      <c r="D104" s="11"/>
      <c r="E104" s="11"/>
      <c r="F104" s="11"/>
      <c r="G104" s="11"/>
      <c r="H104" s="11"/>
    </row>
    <row r="105" spans="1:8">
      <c r="A105" s="11"/>
      <c r="B105" s="11"/>
      <c r="C105" s="11"/>
      <c r="D105" s="11"/>
      <c r="E105" s="11"/>
      <c r="F105" s="11"/>
      <c r="G105" s="11"/>
      <c r="H105" s="11"/>
    </row>
    <row r="106" spans="1:8">
      <c r="A106" s="11"/>
      <c r="B106" s="11"/>
      <c r="C106" s="11"/>
      <c r="D106" s="11"/>
      <c r="E106" s="11"/>
      <c r="F106" s="11"/>
      <c r="G106" s="11"/>
      <c r="H106" s="11"/>
    </row>
    <row r="107" spans="1:8">
      <c r="A107" s="11"/>
      <c r="B107" s="11"/>
      <c r="C107" s="11"/>
      <c r="D107" s="11"/>
      <c r="E107" s="11"/>
      <c r="F107" s="11"/>
      <c r="G107" s="11"/>
      <c r="H107" s="11"/>
    </row>
    <row r="108" spans="1:8">
      <c r="A108" s="11"/>
      <c r="B108" s="11"/>
      <c r="C108" s="11"/>
      <c r="D108" s="11"/>
      <c r="E108" s="11"/>
      <c r="F108" s="11"/>
      <c r="G108" s="11"/>
      <c r="H108" s="11"/>
    </row>
    <row r="109" spans="1:8">
      <c r="A109" s="11"/>
      <c r="B109" s="11"/>
      <c r="C109" s="11"/>
      <c r="D109" s="11"/>
      <c r="E109" s="11"/>
      <c r="F109" s="11"/>
      <c r="G109" s="11"/>
      <c r="H109" s="11"/>
    </row>
    <row r="110" spans="1:8">
      <c r="A110" s="11"/>
      <c r="B110" s="11"/>
      <c r="C110" s="11"/>
      <c r="D110" s="11"/>
      <c r="E110" s="11"/>
      <c r="F110" s="11"/>
      <c r="G110" s="11"/>
      <c r="H110" s="11"/>
    </row>
    <row r="111" spans="1:8">
      <c r="A111" s="11"/>
      <c r="B111" s="11"/>
      <c r="C111" s="11"/>
      <c r="D111" s="11"/>
      <c r="E111" s="11"/>
      <c r="F111" s="11"/>
      <c r="G111" s="11"/>
      <c r="H111" s="11"/>
    </row>
    <row r="112" spans="1:8">
      <c r="A112" s="11"/>
      <c r="B112" s="11"/>
      <c r="C112" s="11"/>
      <c r="D112" s="11"/>
      <c r="E112" s="11"/>
      <c r="F112" s="11"/>
      <c r="G112" s="11"/>
      <c r="H112" s="11"/>
    </row>
    <row r="113" spans="1:8">
      <c r="A113" s="11"/>
      <c r="B113" s="11"/>
      <c r="C113" s="11"/>
      <c r="D113" s="11"/>
      <c r="E113" s="11"/>
      <c r="F113" s="11"/>
      <c r="G113" s="11"/>
      <c r="H113" s="11"/>
    </row>
    <row r="114" spans="1:8">
      <c r="A114" s="11"/>
      <c r="B114" s="11"/>
      <c r="C114" s="11"/>
      <c r="D114" s="11"/>
      <c r="E114" s="11"/>
      <c r="F114" s="11"/>
      <c r="G114" s="11"/>
      <c r="H114" s="11"/>
    </row>
    <row r="115" spans="1:8">
      <c r="A115" s="11"/>
      <c r="B115" s="11"/>
      <c r="C115" s="11"/>
      <c r="D115" s="11"/>
      <c r="E115" s="11"/>
      <c r="F115" s="11"/>
      <c r="G115" s="11"/>
      <c r="H115" s="11"/>
    </row>
    <row r="116" spans="1:8">
      <c r="A116" s="11"/>
      <c r="B116" s="11"/>
      <c r="C116" s="11"/>
      <c r="D116" s="11"/>
      <c r="E116" s="11"/>
      <c r="F116" s="11"/>
      <c r="G116" s="11"/>
      <c r="H116" s="11"/>
    </row>
    <row r="117" spans="1:8">
      <c r="A117" s="11"/>
      <c r="B117" s="11"/>
      <c r="C117" s="11"/>
      <c r="D117" s="11"/>
      <c r="E117" s="11"/>
      <c r="F117" s="11"/>
      <c r="G117" s="11"/>
      <c r="H117" s="11"/>
    </row>
    <row r="118" spans="1:8">
      <c r="A118" s="11"/>
      <c r="B118" s="11"/>
      <c r="C118" s="11"/>
      <c r="D118" s="11"/>
      <c r="E118" s="11"/>
      <c r="F118" s="11"/>
      <c r="G118" s="11"/>
      <c r="H118" s="11"/>
    </row>
    <row r="119" spans="1:8">
      <c r="A119" s="11"/>
      <c r="B119" s="11"/>
      <c r="C119" s="11"/>
      <c r="D119" s="11"/>
      <c r="E119" s="11"/>
      <c r="F119" s="11"/>
      <c r="G119" s="11"/>
      <c r="H119" s="11"/>
    </row>
    <row r="120" spans="1:8">
      <c r="A120" s="11"/>
      <c r="B120" s="11"/>
      <c r="C120" s="11"/>
      <c r="D120" s="11"/>
      <c r="E120" s="11"/>
      <c r="F120" s="11"/>
      <c r="G120" s="11"/>
      <c r="H120" s="11"/>
    </row>
    <row r="121" spans="1:8">
      <c r="A121" s="11"/>
      <c r="B121" s="11"/>
      <c r="C121" s="11"/>
      <c r="D121" s="11"/>
      <c r="E121" s="11"/>
      <c r="F121" s="11"/>
      <c r="G121" s="11"/>
      <c r="H121" s="11"/>
    </row>
    <row r="122" spans="1:8">
      <c r="A122" s="11"/>
      <c r="B122" s="11"/>
      <c r="C122" s="11"/>
      <c r="D122" s="11"/>
      <c r="E122" s="11"/>
      <c r="F122" s="11"/>
      <c r="G122" s="11"/>
      <c r="H122" s="11"/>
    </row>
    <row r="123" spans="1:8">
      <c r="A123" s="11"/>
      <c r="B123" s="11"/>
      <c r="C123" s="11"/>
      <c r="D123" s="11"/>
      <c r="E123" s="11"/>
      <c r="F123" s="11"/>
      <c r="G123" s="11"/>
      <c r="H123" s="11"/>
    </row>
    <row r="124" spans="1:8">
      <c r="A124" s="11"/>
      <c r="B124" s="11"/>
      <c r="C124" s="11"/>
      <c r="D124" s="11"/>
      <c r="E124" s="11"/>
      <c r="F124" s="11"/>
      <c r="G124" s="11"/>
      <c r="H124" s="11"/>
    </row>
    <row r="125" spans="1:8">
      <c r="A125" s="11"/>
      <c r="B125" s="11"/>
      <c r="C125" s="11"/>
      <c r="D125" s="11"/>
      <c r="E125" s="11"/>
      <c r="F125" s="11"/>
      <c r="G125" s="11"/>
      <c r="H125" s="11"/>
    </row>
    <row r="126" spans="1:8">
      <c r="A126" s="11"/>
      <c r="B126" s="11"/>
      <c r="C126" s="11"/>
      <c r="D126" s="11"/>
      <c r="E126" s="11"/>
      <c r="F126" s="11"/>
      <c r="G126" s="11"/>
      <c r="H126" s="11"/>
    </row>
    <row r="127" spans="1:8">
      <c r="A127" s="11"/>
      <c r="B127" s="11"/>
      <c r="C127" s="11"/>
      <c r="D127" s="11"/>
      <c r="E127" s="11"/>
      <c r="F127" s="11"/>
      <c r="G127" s="11"/>
      <c r="H127" s="11"/>
    </row>
    <row r="128" spans="1:8">
      <c r="A128" s="11"/>
      <c r="B128" s="11"/>
      <c r="C128" s="11"/>
      <c r="D128" s="11"/>
      <c r="E128" s="11"/>
      <c r="F128" s="11"/>
      <c r="G128" s="11"/>
      <c r="H128" s="11"/>
    </row>
    <row r="129" spans="1:8">
      <c r="A129" s="11"/>
      <c r="B129" s="11"/>
      <c r="C129" s="11"/>
      <c r="D129" s="11"/>
      <c r="E129" s="11"/>
      <c r="F129" s="11"/>
      <c r="G129" s="11"/>
      <c r="H129" s="11"/>
    </row>
    <row r="130" spans="1:8">
      <c r="A130" s="11"/>
      <c r="B130" s="11"/>
      <c r="C130" s="11"/>
      <c r="D130" s="11"/>
      <c r="E130" s="11"/>
      <c r="F130" s="11"/>
      <c r="G130" s="11"/>
      <c r="H130" s="11"/>
    </row>
    <row r="131" spans="1:8">
      <c r="A131" s="11"/>
      <c r="B131" s="11"/>
      <c r="C131" s="11"/>
      <c r="D131" s="11"/>
      <c r="E131" s="11"/>
      <c r="F131" s="11"/>
      <c r="G131" s="11"/>
      <c r="H131" s="11"/>
    </row>
    <row r="132" spans="1:8">
      <c r="A132" s="11"/>
      <c r="B132" s="11"/>
      <c r="C132" s="11"/>
      <c r="D132" s="11"/>
      <c r="E132" s="11"/>
      <c r="F132" s="11"/>
      <c r="G132" s="11"/>
      <c r="H132" s="11"/>
    </row>
    <row r="133" spans="1:8">
      <c r="A133" s="11"/>
      <c r="B133" s="11"/>
      <c r="C133" s="11"/>
      <c r="D133" s="11"/>
      <c r="E133" s="11"/>
      <c r="F133" s="11"/>
      <c r="G133" s="11"/>
      <c r="H133" s="11"/>
    </row>
    <row r="134" spans="1:8">
      <c r="A134" s="11"/>
      <c r="B134" s="11"/>
      <c r="C134" s="11"/>
      <c r="D134" s="11"/>
      <c r="E134" s="11"/>
      <c r="F134" s="11"/>
      <c r="G134" s="11"/>
      <c r="H134" s="11"/>
    </row>
    <row r="135" spans="1:8">
      <c r="A135" s="11"/>
      <c r="B135" s="11"/>
      <c r="C135" s="11"/>
      <c r="D135" s="11"/>
      <c r="E135" s="11"/>
      <c r="F135" s="11"/>
      <c r="G135" s="11"/>
      <c r="H135" s="11"/>
    </row>
    <row r="136" spans="1:8">
      <c r="A136" s="11"/>
      <c r="B136" s="11"/>
      <c r="C136" s="11"/>
      <c r="D136" s="11"/>
      <c r="E136" s="11"/>
      <c r="F136" s="11"/>
      <c r="G136" s="11"/>
      <c r="H136" s="11"/>
    </row>
    <row r="137" spans="1:8">
      <c r="A137" s="11"/>
      <c r="B137" s="11"/>
      <c r="C137" s="11"/>
      <c r="D137" s="11"/>
      <c r="E137" s="11"/>
      <c r="F137" s="11"/>
      <c r="G137" s="11"/>
      <c r="H137" s="11"/>
    </row>
    <row r="138" spans="1:8">
      <c r="A138" s="11"/>
      <c r="B138" s="11"/>
      <c r="C138" s="11"/>
      <c r="D138" s="11"/>
      <c r="E138" s="11"/>
      <c r="F138" s="11"/>
      <c r="G138" s="11"/>
      <c r="H138" s="11"/>
    </row>
    <row r="139" spans="1:8">
      <c r="A139" s="11"/>
      <c r="B139" s="11"/>
      <c r="C139" s="11"/>
      <c r="D139" s="11"/>
      <c r="E139" s="11"/>
      <c r="F139" s="11"/>
      <c r="G139" s="11"/>
      <c r="H139" s="11"/>
    </row>
    <row r="140" spans="1:8">
      <c r="A140" s="11"/>
      <c r="B140" s="11"/>
      <c r="C140" s="11"/>
      <c r="D140" s="11"/>
      <c r="E140" s="11"/>
      <c r="F140" s="11"/>
      <c r="G140" s="11"/>
      <c r="H140" s="11"/>
    </row>
    <row r="141" spans="1:8">
      <c r="A141" s="11"/>
      <c r="B141" s="11"/>
      <c r="C141" s="11"/>
      <c r="D141" s="11"/>
      <c r="E141" s="11"/>
      <c r="F141" s="11"/>
      <c r="G141" s="11"/>
      <c r="H141" s="11"/>
    </row>
    <row r="142" spans="1:8">
      <c r="A142" s="11"/>
      <c r="B142" s="11"/>
      <c r="C142" s="11"/>
      <c r="D142" s="11"/>
      <c r="E142" s="11"/>
      <c r="F142" s="11"/>
      <c r="G142" s="11"/>
      <c r="H142" s="11"/>
    </row>
    <row r="143" spans="1:8">
      <c r="A143" s="11"/>
      <c r="B143" s="11"/>
      <c r="C143" s="11"/>
      <c r="D143" s="11"/>
      <c r="E143" s="11"/>
      <c r="F143" s="11"/>
      <c r="G143" s="11"/>
      <c r="H143" s="11"/>
    </row>
    <row r="144" spans="1:8">
      <c r="A144" s="11"/>
      <c r="B144" s="11"/>
      <c r="C144" s="11"/>
      <c r="D144" s="11"/>
      <c r="E144" s="11"/>
      <c r="F144" s="11"/>
      <c r="G144" s="11"/>
      <c r="H144" s="11"/>
    </row>
    <row r="145" spans="1:8">
      <c r="A145" s="11"/>
      <c r="B145" s="11"/>
      <c r="C145" s="11"/>
      <c r="D145" s="11"/>
      <c r="E145" s="11"/>
      <c r="F145" s="11"/>
      <c r="G145" s="11"/>
      <c r="H145" s="11"/>
    </row>
    <row r="146" spans="1:8">
      <c r="A146" s="11"/>
      <c r="B146" s="11"/>
      <c r="C146" s="11"/>
      <c r="D146" s="11"/>
      <c r="E146" s="11"/>
      <c r="F146" s="11"/>
      <c r="G146" s="11"/>
      <c r="H146" s="11"/>
    </row>
    <row r="147" spans="1:8">
      <c r="A147" s="11"/>
      <c r="B147" s="11"/>
      <c r="C147" s="11"/>
      <c r="D147" s="11"/>
      <c r="E147" s="11"/>
      <c r="F147" s="11"/>
      <c r="G147" s="11"/>
      <c r="H147" s="11"/>
    </row>
    <row r="148" spans="1:8">
      <c r="A148" s="11"/>
      <c r="B148" s="11"/>
      <c r="C148" s="11"/>
      <c r="D148" s="11"/>
      <c r="E148" s="11"/>
      <c r="F148" s="11"/>
      <c r="G148" s="11"/>
      <c r="H148" s="11"/>
    </row>
    <row r="149" spans="1:8">
      <c r="A149" s="11"/>
      <c r="B149" s="11"/>
      <c r="C149" s="11"/>
      <c r="D149" s="11"/>
      <c r="E149" s="11"/>
      <c r="F149" s="11"/>
      <c r="G149" s="11"/>
      <c r="H149" s="11"/>
    </row>
    <row r="150" spans="1:8">
      <c r="A150" s="11"/>
      <c r="B150" s="11"/>
      <c r="C150" s="11"/>
      <c r="D150" s="11"/>
      <c r="E150" s="11"/>
      <c r="F150" s="11"/>
      <c r="G150" s="11"/>
      <c r="H150" s="11"/>
    </row>
    <row r="151" spans="1:8">
      <c r="A151" s="11"/>
      <c r="B151" s="11"/>
      <c r="C151" s="11"/>
      <c r="D151" s="11"/>
      <c r="E151" s="11"/>
      <c r="F151" s="11"/>
      <c r="G151" s="11"/>
      <c r="H151" s="11"/>
    </row>
    <row r="152" spans="1:8">
      <c r="A152" s="11"/>
      <c r="B152" s="11"/>
      <c r="C152" s="11"/>
      <c r="D152" s="11"/>
      <c r="E152" s="11"/>
      <c r="F152" s="11"/>
      <c r="G152" s="11"/>
      <c r="H152" s="11"/>
    </row>
    <row r="153" spans="1:8">
      <c r="A153" s="11"/>
      <c r="B153" s="11"/>
      <c r="C153" s="11"/>
      <c r="D153" s="11"/>
      <c r="E153" s="11"/>
      <c r="F153" s="11"/>
      <c r="G153" s="11"/>
      <c r="H153" s="11"/>
    </row>
    <row r="154" spans="1:8">
      <c r="A154" s="11"/>
      <c r="B154" s="11"/>
      <c r="C154" s="11"/>
      <c r="D154" s="11"/>
      <c r="E154" s="11"/>
      <c r="F154" s="11"/>
      <c r="G154" s="11"/>
      <c r="H154" s="11"/>
    </row>
    <row r="155" spans="1:8">
      <c r="A155" s="11"/>
      <c r="B155" s="11"/>
      <c r="C155" s="11"/>
      <c r="D155" s="11"/>
      <c r="E155" s="11"/>
      <c r="F155" s="11"/>
      <c r="G155" s="11"/>
      <c r="H155" s="11"/>
    </row>
    <row r="156" spans="1:8">
      <c r="A156" s="11"/>
      <c r="B156" s="11"/>
      <c r="C156" s="11"/>
      <c r="D156" s="11"/>
      <c r="E156" s="11"/>
      <c r="F156" s="11"/>
      <c r="G156" s="11"/>
      <c r="H156" s="11"/>
    </row>
    <row r="157" spans="1:8">
      <c r="A157" s="11"/>
      <c r="B157" s="11"/>
      <c r="C157" s="11"/>
      <c r="D157" s="11"/>
      <c r="E157" s="11"/>
      <c r="F157" s="11"/>
      <c r="G157" s="11"/>
      <c r="H157" s="11"/>
    </row>
    <row r="158" spans="1:8">
      <c r="A158" s="11"/>
      <c r="B158" s="11"/>
      <c r="C158" s="11"/>
      <c r="D158" s="11"/>
      <c r="E158" s="11"/>
      <c r="F158" s="11"/>
      <c r="G158" s="11"/>
      <c r="H158" s="11"/>
    </row>
    <row r="159" spans="1:8">
      <c r="A159" s="11"/>
      <c r="B159" s="11"/>
      <c r="C159" s="11"/>
      <c r="D159" s="11"/>
      <c r="E159" s="11"/>
      <c r="F159" s="11"/>
      <c r="G159" s="11"/>
      <c r="H159" s="11"/>
    </row>
    <row r="160" spans="1:8">
      <c r="A160" s="11"/>
      <c r="B160" s="11"/>
      <c r="C160" s="11"/>
      <c r="D160" s="11"/>
      <c r="E160" s="11"/>
      <c r="F160" s="11"/>
      <c r="G160" s="11"/>
      <c r="H160" s="11"/>
    </row>
    <row r="161" spans="1:8">
      <c r="A161" s="11"/>
      <c r="B161" s="11"/>
      <c r="C161" s="11"/>
      <c r="D161" s="11"/>
      <c r="E161" s="11"/>
      <c r="F161" s="11"/>
      <c r="G161" s="11"/>
      <c r="H161" s="11"/>
    </row>
    <row r="162" spans="1:8">
      <c r="A162" s="11"/>
      <c r="B162" s="11"/>
      <c r="C162" s="11"/>
      <c r="D162" s="11"/>
      <c r="E162" s="11"/>
      <c r="F162" s="11"/>
      <c r="G162" s="11"/>
      <c r="H162" s="11"/>
    </row>
    <row r="163" spans="1:8">
      <c r="A163" s="11"/>
      <c r="B163" s="11"/>
      <c r="C163" s="11"/>
      <c r="D163" s="11"/>
      <c r="E163" s="11"/>
      <c r="F163" s="11"/>
      <c r="G163" s="11"/>
      <c r="H163" s="11"/>
    </row>
    <row r="164" spans="1:8">
      <c r="A164" s="11"/>
      <c r="B164" s="11"/>
      <c r="C164" s="11"/>
      <c r="D164" s="11"/>
      <c r="E164" s="11"/>
      <c r="F164" s="11"/>
      <c r="G164" s="11"/>
      <c r="H164" s="11"/>
    </row>
    <row r="165" spans="1:8">
      <c r="A165" s="11"/>
      <c r="B165" s="11"/>
      <c r="C165" s="11"/>
      <c r="D165" s="11"/>
      <c r="E165" s="11"/>
      <c r="F165" s="11"/>
      <c r="G165" s="11"/>
      <c r="H165" s="11"/>
    </row>
    <row r="166" spans="1:8">
      <c r="A166" s="11"/>
      <c r="B166" s="11"/>
      <c r="C166" s="11"/>
      <c r="D166" s="11"/>
      <c r="E166" s="11"/>
      <c r="F166" s="11"/>
      <c r="G166" s="11"/>
      <c r="H166" s="11"/>
    </row>
    <row r="167" spans="1:8">
      <c r="A167" s="11"/>
      <c r="B167" s="11"/>
      <c r="C167" s="11"/>
      <c r="D167" s="11"/>
      <c r="E167" s="11"/>
      <c r="F167" s="11"/>
      <c r="G167" s="11"/>
      <c r="H167" s="11"/>
    </row>
    <row r="168" spans="1:8">
      <c r="A168" s="11"/>
      <c r="B168" s="11"/>
      <c r="C168" s="11"/>
      <c r="D168" s="11"/>
      <c r="E168" s="11"/>
      <c r="F168" s="11"/>
      <c r="G168" s="11"/>
      <c r="H168" s="11"/>
    </row>
    <row r="169" spans="1:8">
      <c r="A169" s="11"/>
      <c r="B169" s="11"/>
      <c r="C169" s="11"/>
      <c r="D169" s="11"/>
      <c r="E169" s="11"/>
      <c r="F169" s="11"/>
      <c r="G169" s="11"/>
      <c r="H169" s="11"/>
    </row>
    <row r="170" spans="1:8">
      <c r="A170" s="11"/>
      <c r="B170" s="11"/>
      <c r="C170" s="11"/>
      <c r="D170" s="11"/>
      <c r="E170" s="11"/>
      <c r="F170" s="11"/>
      <c r="G170" s="11"/>
      <c r="H170" s="11"/>
    </row>
    <row r="171" spans="1:8">
      <c r="A171" s="11"/>
      <c r="B171" s="11"/>
      <c r="C171" s="11"/>
      <c r="D171" s="11"/>
      <c r="E171" s="11"/>
      <c r="F171" s="11"/>
      <c r="G171" s="11"/>
      <c r="H171" s="11"/>
    </row>
    <row r="172" spans="1:8">
      <c r="A172" s="11"/>
      <c r="B172" s="11"/>
      <c r="C172" s="11"/>
      <c r="D172" s="11"/>
      <c r="E172" s="11"/>
      <c r="F172" s="11"/>
      <c r="G172" s="11"/>
      <c r="H172" s="11"/>
    </row>
    <row r="173" spans="1:8">
      <c r="A173" s="11"/>
      <c r="B173" s="11"/>
      <c r="C173" s="11"/>
      <c r="D173" s="11"/>
      <c r="E173" s="11"/>
      <c r="F173" s="11"/>
      <c r="G173" s="11"/>
      <c r="H173" s="11"/>
    </row>
    <row r="174" spans="1:8">
      <c r="A174" s="11"/>
      <c r="B174" s="11"/>
      <c r="C174" s="11"/>
      <c r="D174" s="11"/>
      <c r="E174" s="11"/>
      <c r="F174" s="11"/>
      <c r="G174" s="11"/>
      <c r="H174" s="11"/>
    </row>
    <row r="175" spans="1:8">
      <c r="A175" s="11"/>
      <c r="B175" s="11"/>
      <c r="C175" s="11"/>
      <c r="D175" s="11"/>
      <c r="E175" s="11"/>
      <c r="F175" s="11"/>
      <c r="G175" s="11"/>
      <c r="H175" s="11"/>
    </row>
    <row r="176" spans="1:8">
      <c r="A176" s="11"/>
      <c r="B176" s="11"/>
      <c r="C176" s="11"/>
      <c r="D176" s="11"/>
      <c r="E176" s="11"/>
      <c r="F176" s="11"/>
      <c r="G176" s="11"/>
      <c r="H176" s="11"/>
    </row>
    <row r="177" spans="1:8">
      <c r="A177" s="11"/>
      <c r="B177" s="11"/>
      <c r="C177" s="11"/>
      <c r="D177" s="11"/>
      <c r="E177" s="11"/>
      <c r="F177" s="11"/>
      <c r="G177" s="11"/>
      <c r="H177" s="11"/>
    </row>
    <row r="178" spans="1:8">
      <c r="A178" s="11"/>
      <c r="B178" s="11"/>
      <c r="C178" s="11"/>
      <c r="D178" s="11"/>
      <c r="E178" s="11"/>
      <c r="F178" s="11"/>
      <c r="G178" s="11"/>
      <c r="H178" s="11"/>
    </row>
    <row r="179" spans="1:8">
      <c r="A179" s="11"/>
      <c r="B179" s="11"/>
      <c r="C179" s="11"/>
      <c r="D179" s="11"/>
      <c r="E179" s="11"/>
      <c r="F179" s="11"/>
      <c r="G179" s="11"/>
      <c r="H179" s="11"/>
    </row>
    <row r="180" spans="1:8">
      <c r="A180" s="11"/>
      <c r="B180" s="11"/>
      <c r="C180" s="11"/>
      <c r="D180" s="11"/>
      <c r="E180" s="11"/>
      <c r="F180" s="11"/>
      <c r="G180" s="11"/>
      <c r="H180" s="11"/>
    </row>
    <row r="181" spans="1:8">
      <c r="A181" s="11"/>
      <c r="B181" s="11"/>
      <c r="C181" s="11"/>
      <c r="D181" s="11"/>
      <c r="E181" s="11"/>
      <c r="F181" s="11"/>
      <c r="G181" s="11"/>
      <c r="H181" s="11"/>
    </row>
    <row r="182" spans="1:8">
      <c r="A182" s="11"/>
      <c r="B182" s="11"/>
      <c r="C182" s="11"/>
      <c r="D182" s="11"/>
      <c r="E182" s="11"/>
      <c r="F182" s="11"/>
      <c r="G182" s="11"/>
      <c r="H182" s="11"/>
    </row>
    <row r="183" spans="1:8">
      <c r="A183" s="11"/>
      <c r="B183" s="11"/>
      <c r="C183" s="11"/>
      <c r="D183" s="11"/>
      <c r="E183" s="11"/>
      <c r="F183" s="11"/>
      <c r="G183" s="11"/>
      <c r="H183" s="11"/>
    </row>
    <row r="184" spans="1:8">
      <c r="A184" s="11"/>
      <c r="B184" s="11"/>
      <c r="C184" s="11"/>
      <c r="D184" s="11"/>
      <c r="E184" s="11"/>
      <c r="F184" s="11"/>
      <c r="G184" s="11"/>
      <c r="H184" s="11"/>
    </row>
    <row r="185" spans="1:8">
      <c r="A185" s="11"/>
      <c r="B185" s="11"/>
      <c r="C185" s="11"/>
      <c r="D185" s="11"/>
      <c r="E185" s="11"/>
      <c r="F185" s="11"/>
      <c r="G185" s="11"/>
      <c r="H185" s="11"/>
    </row>
    <row r="186" spans="1:8">
      <c r="A186" s="11"/>
      <c r="B186" s="11"/>
      <c r="C186" s="11"/>
      <c r="D186" s="11"/>
      <c r="E186" s="11"/>
      <c r="F186" s="11"/>
      <c r="G186" s="11"/>
      <c r="H186" s="11"/>
    </row>
    <row r="187" spans="1:8">
      <c r="A187" s="11"/>
      <c r="B187" s="11"/>
      <c r="C187" s="11"/>
      <c r="D187" s="11"/>
      <c r="E187" s="11"/>
      <c r="F187" s="11"/>
      <c r="G187" s="11"/>
      <c r="H187" s="11"/>
    </row>
    <row r="188" spans="1:8">
      <c r="A188" s="11"/>
      <c r="B188" s="11"/>
      <c r="C188" s="11"/>
      <c r="D188" s="11"/>
      <c r="E188" s="11"/>
      <c r="F188" s="11"/>
      <c r="G188" s="11"/>
      <c r="H188" s="11"/>
    </row>
    <row r="189" spans="1:8">
      <c r="A189" s="11"/>
      <c r="B189" s="11"/>
      <c r="C189" s="11"/>
      <c r="D189" s="11"/>
      <c r="E189" s="11"/>
      <c r="F189" s="11"/>
      <c r="G189" s="11"/>
      <c r="H189" s="11"/>
    </row>
    <row r="190" spans="1:8">
      <c r="A190" s="11"/>
      <c r="B190" s="11"/>
      <c r="C190" s="11"/>
      <c r="D190" s="11"/>
      <c r="E190" s="11"/>
      <c r="F190" s="11"/>
      <c r="G190" s="11"/>
      <c r="H190" s="11"/>
    </row>
    <row r="191" spans="1:8">
      <c r="A191" s="11"/>
      <c r="B191" s="11"/>
      <c r="C191" s="11"/>
      <c r="D191" s="11"/>
      <c r="E191" s="11"/>
      <c r="F191" s="11"/>
      <c r="G191" s="11"/>
      <c r="H191" s="11"/>
    </row>
    <row r="192" spans="1:8">
      <c r="A192" s="11"/>
      <c r="B192" s="11"/>
      <c r="C192" s="11"/>
      <c r="D192" s="11"/>
      <c r="E192" s="11"/>
      <c r="F192" s="11"/>
      <c r="G192" s="11"/>
      <c r="H192" s="11"/>
    </row>
    <row r="193" spans="1:8">
      <c r="A193" s="11"/>
      <c r="B193" s="11"/>
      <c r="C193" s="11"/>
      <c r="D193" s="11"/>
      <c r="E193" s="11"/>
      <c r="F193" s="11"/>
      <c r="G193" s="11"/>
      <c r="H193" s="11"/>
    </row>
    <row r="194" spans="1:8">
      <c r="A194" s="11"/>
      <c r="B194" s="11"/>
      <c r="C194" s="11"/>
      <c r="D194" s="11"/>
      <c r="E194" s="11"/>
      <c r="F194" s="11"/>
      <c r="G194" s="11"/>
      <c r="H194" s="11"/>
    </row>
    <row r="195" spans="1:8">
      <c r="A195" s="11"/>
      <c r="B195" s="11"/>
      <c r="C195" s="11"/>
      <c r="D195" s="11"/>
      <c r="E195" s="11"/>
      <c r="F195" s="11"/>
      <c r="G195" s="11"/>
      <c r="H195" s="11"/>
    </row>
    <row r="196" spans="1:8">
      <c r="A196" s="11"/>
      <c r="B196" s="11"/>
      <c r="C196" s="11"/>
      <c r="D196" s="11"/>
      <c r="E196" s="11"/>
      <c r="F196" s="11"/>
      <c r="G196" s="11"/>
      <c r="H196" s="11"/>
    </row>
    <row r="197" spans="1:8">
      <c r="A197" s="11"/>
      <c r="B197" s="11"/>
      <c r="C197" s="11"/>
      <c r="D197" s="11"/>
      <c r="E197" s="11"/>
      <c r="F197" s="11"/>
      <c r="G197" s="11"/>
      <c r="H197" s="11"/>
    </row>
    <row r="198" spans="1:8">
      <c r="A198" s="11"/>
      <c r="B198" s="11"/>
      <c r="C198" s="11"/>
      <c r="D198" s="11"/>
      <c r="E198" s="11"/>
      <c r="F198" s="11"/>
      <c r="G198" s="11"/>
      <c r="H198" s="11"/>
    </row>
    <row r="199" spans="1:8">
      <c r="A199" s="11"/>
      <c r="B199" s="11"/>
      <c r="C199" s="11"/>
      <c r="D199" s="11"/>
      <c r="E199" s="11"/>
      <c r="F199" s="11"/>
      <c r="G199" s="11"/>
      <c r="H199" s="11"/>
    </row>
    <row r="200" spans="1:8">
      <c r="A200" s="11"/>
      <c r="B200" s="11"/>
      <c r="C200" s="11"/>
      <c r="D200" s="11"/>
      <c r="E200" s="11"/>
      <c r="F200" s="11"/>
      <c r="G200" s="11"/>
      <c r="H200" s="11"/>
    </row>
    <row r="201" spans="1:8">
      <c r="A201" s="11"/>
      <c r="B201" s="11"/>
      <c r="C201" s="11"/>
      <c r="D201" s="11"/>
      <c r="E201" s="11"/>
      <c r="F201" s="11"/>
      <c r="G201" s="11"/>
      <c r="H201" s="11"/>
    </row>
    <row r="202" spans="1:8">
      <c r="A202" s="11"/>
      <c r="B202" s="11"/>
      <c r="C202" s="11"/>
      <c r="D202" s="11"/>
      <c r="E202" s="11"/>
      <c r="F202" s="11"/>
      <c r="G202" s="11"/>
      <c r="H202" s="11"/>
    </row>
    <row r="203" spans="1:8">
      <c r="A203" s="11"/>
      <c r="B203" s="11"/>
      <c r="C203" s="11"/>
      <c r="D203" s="11"/>
      <c r="E203" s="11"/>
      <c r="F203" s="11"/>
      <c r="G203" s="11"/>
      <c r="H203" s="11"/>
    </row>
    <row r="204" spans="1:8">
      <c r="A204" s="11"/>
      <c r="B204" s="11"/>
      <c r="C204" s="11"/>
      <c r="D204" s="11"/>
      <c r="E204" s="11"/>
      <c r="F204" s="11"/>
      <c r="G204" s="11"/>
      <c r="H204" s="11"/>
    </row>
    <row r="205" spans="1:8">
      <c r="A205" s="11"/>
      <c r="B205" s="11"/>
      <c r="C205" s="11"/>
      <c r="D205" s="11"/>
      <c r="E205" s="11"/>
      <c r="F205" s="11"/>
      <c r="G205" s="11"/>
      <c r="H205" s="11"/>
    </row>
    <row r="206" spans="1:8">
      <c r="A206" s="11"/>
      <c r="B206" s="11"/>
      <c r="C206" s="11"/>
      <c r="D206" s="11"/>
      <c r="E206" s="11"/>
      <c r="F206" s="11"/>
      <c r="G206" s="11"/>
      <c r="H206" s="11"/>
    </row>
    <row r="207" spans="1:8">
      <c r="A207" s="11"/>
      <c r="B207" s="11"/>
      <c r="C207" s="11"/>
      <c r="D207" s="11"/>
      <c r="E207" s="11"/>
      <c r="F207" s="11"/>
      <c r="G207" s="11"/>
      <c r="H207" s="11"/>
    </row>
    <row r="208" spans="1:8">
      <c r="A208" s="11"/>
      <c r="B208" s="11"/>
      <c r="C208" s="11"/>
      <c r="D208" s="11"/>
      <c r="E208" s="11"/>
      <c r="F208" s="11"/>
      <c r="G208" s="11"/>
      <c r="H208" s="11"/>
    </row>
    <row r="209" spans="1:8">
      <c r="A209" s="11"/>
      <c r="B209" s="11"/>
      <c r="C209" s="11"/>
      <c r="D209" s="11"/>
      <c r="E209" s="11"/>
      <c r="F209" s="11"/>
      <c r="G209" s="11"/>
      <c r="H209" s="11"/>
    </row>
    <row r="210" spans="1:8">
      <c r="A210" s="11"/>
      <c r="B210" s="11"/>
      <c r="C210" s="11"/>
      <c r="D210" s="11"/>
      <c r="E210" s="11"/>
      <c r="F210" s="11"/>
      <c r="G210" s="11"/>
      <c r="H210" s="11"/>
    </row>
    <row r="211" spans="1:8">
      <c r="A211" s="11"/>
      <c r="B211" s="11"/>
      <c r="C211" s="11"/>
      <c r="D211" s="11"/>
      <c r="E211" s="11"/>
      <c r="F211" s="11"/>
      <c r="G211" s="11"/>
      <c r="H211" s="11"/>
    </row>
    <row r="212" spans="1:8">
      <c r="A212" s="11"/>
      <c r="B212" s="11"/>
      <c r="C212" s="11"/>
      <c r="D212" s="11"/>
      <c r="E212" s="11"/>
      <c r="F212" s="11"/>
      <c r="G212" s="11"/>
      <c r="H212" s="11"/>
    </row>
    <row r="213" spans="1:8">
      <c r="A213" s="11"/>
      <c r="B213" s="11"/>
      <c r="C213" s="11"/>
      <c r="D213" s="11"/>
      <c r="E213" s="11"/>
      <c r="F213" s="11"/>
      <c r="G213" s="11"/>
      <c r="H213" s="1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08"/>
  <sheetViews>
    <sheetView workbookViewId="0">
      <selection activeCell="J15" sqref="J1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7109375" customWidth="1"/>
    <col min="5" max="5" width="13.57031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600</v>
      </c>
      <c r="B4" s="6"/>
      <c r="C4" s="6"/>
      <c r="D4" s="6" t="s">
        <v>10</v>
      </c>
      <c r="E4" s="6" t="s">
        <v>11</v>
      </c>
      <c r="F4" s="15">
        <v>5113</v>
      </c>
      <c r="G4" s="26" t="s">
        <v>12</v>
      </c>
      <c r="H4" s="4" t="s">
        <v>18</v>
      </c>
    </row>
    <row r="5" spans="1:8">
      <c r="A5" s="5">
        <v>600</v>
      </c>
      <c r="B5" s="6"/>
      <c r="C5" s="6"/>
      <c r="D5" s="6" t="s">
        <v>10</v>
      </c>
      <c r="E5" s="6" t="s">
        <v>14</v>
      </c>
      <c r="F5" s="15">
        <v>5943</v>
      </c>
      <c r="G5" s="26" t="s">
        <v>12</v>
      </c>
      <c r="H5" s="4" t="s">
        <v>18</v>
      </c>
    </row>
    <row r="6" spans="1:8">
      <c r="A6" s="5">
        <v>600</v>
      </c>
      <c r="B6" s="6"/>
      <c r="C6" s="6"/>
      <c r="D6" s="6" t="s">
        <v>19</v>
      </c>
      <c r="E6" s="6" t="s">
        <v>14</v>
      </c>
      <c r="F6" s="15">
        <v>708</v>
      </c>
      <c r="G6" s="26" t="s">
        <v>12</v>
      </c>
      <c r="H6" s="4" t="s">
        <v>18</v>
      </c>
    </row>
    <row r="7" spans="1:8">
      <c r="A7" s="5">
        <v>600</v>
      </c>
      <c r="B7" s="6"/>
      <c r="C7" s="6"/>
      <c r="D7" s="6" t="s">
        <v>16</v>
      </c>
      <c r="E7" s="6" t="s">
        <v>14</v>
      </c>
      <c r="F7" s="15">
        <v>66</v>
      </c>
      <c r="G7" s="26" t="s">
        <v>12</v>
      </c>
      <c r="H7" s="4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11830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  <row r="81" spans="1:8">
      <c r="A81" s="11"/>
      <c r="B81" s="11"/>
      <c r="C81" s="11"/>
      <c r="D81" s="11"/>
      <c r="E81" s="11"/>
      <c r="F81" s="11"/>
      <c r="G81" s="11"/>
      <c r="H81" s="11"/>
    </row>
    <row r="82" spans="1:8">
      <c r="A82" s="11"/>
      <c r="B82" s="11"/>
      <c r="C82" s="11"/>
      <c r="D82" s="11"/>
      <c r="E82" s="11"/>
      <c r="F82" s="11"/>
      <c r="G82" s="11"/>
      <c r="H82" s="11"/>
    </row>
    <row r="83" spans="1:8">
      <c r="A83" s="11"/>
      <c r="B83" s="11"/>
      <c r="C83" s="11"/>
      <c r="D83" s="11"/>
      <c r="E83" s="11"/>
      <c r="F83" s="11"/>
      <c r="G83" s="11"/>
      <c r="H83" s="11"/>
    </row>
    <row r="84" spans="1:8">
      <c r="A84" s="11"/>
      <c r="B84" s="11"/>
      <c r="C84" s="11"/>
      <c r="D84" s="11"/>
      <c r="E84" s="11"/>
      <c r="F84" s="11"/>
      <c r="G84" s="11"/>
      <c r="H84" s="11"/>
    </row>
    <row r="85" spans="1:8">
      <c r="A85" s="11"/>
      <c r="B85" s="11"/>
      <c r="C85" s="11"/>
      <c r="D85" s="11"/>
      <c r="E85" s="11"/>
      <c r="F85" s="11"/>
      <c r="G85" s="11"/>
      <c r="H85" s="11"/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11"/>
      <c r="B87" s="11"/>
      <c r="C87" s="11"/>
      <c r="D87" s="11"/>
      <c r="E87" s="11"/>
      <c r="F87" s="11"/>
      <c r="G87" s="11"/>
      <c r="H87" s="11"/>
    </row>
    <row r="88" spans="1:8">
      <c r="A88" s="11"/>
      <c r="B88" s="11"/>
      <c r="C88" s="11"/>
      <c r="D88" s="11"/>
      <c r="E88" s="11"/>
      <c r="F88" s="11"/>
      <c r="G88" s="11"/>
      <c r="H88" s="11"/>
    </row>
    <row r="89" spans="1:8">
      <c r="A89" s="11"/>
      <c r="B89" s="11"/>
      <c r="C89" s="11"/>
      <c r="D89" s="11"/>
      <c r="E89" s="11"/>
      <c r="F89" s="11"/>
      <c r="G89" s="11"/>
      <c r="H89" s="11"/>
    </row>
    <row r="90" spans="1:8">
      <c r="A90" s="11"/>
      <c r="B90" s="11"/>
      <c r="C90" s="11"/>
      <c r="D90" s="11"/>
      <c r="E90" s="11"/>
      <c r="F90" s="11"/>
      <c r="G90" s="11"/>
      <c r="H90" s="11"/>
    </row>
    <row r="91" spans="1:8">
      <c r="A91" s="11"/>
      <c r="B91" s="11"/>
      <c r="C91" s="11"/>
      <c r="D91" s="11"/>
      <c r="E91" s="11"/>
      <c r="F91" s="11"/>
      <c r="G91" s="11"/>
      <c r="H91" s="11"/>
    </row>
    <row r="92" spans="1:8">
      <c r="A92" s="11"/>
      <c r="B92" s="11"/>
      <c r="C92" s="11"/>
      <c r="D92" s="11"/>
      <c r="E92" s="11"/>
      <c r="F92" s="11"/>
      <c r="G92" s="11"/>
      <c r="H92" s="11"/>
    </row>
    <row r="93" spans="1:8">
      <c r="A93" s="11"/>
      <c r="B93" s="11"/>
      <c r="C93" s="11"/>
      <c r="D93" s="11"/>
      <c r="E93" s="11"/>
      <c r="F93" s="11"/>
      <c r="G93" s="11"/>
      <c r="H93" s="11"/>
    </row>
    <row r="94" spans="1:8">
      <c r="A94" s="11"/>
      <c r="B94" s="11"/>
      <c r="C94" s="11"/>
      <c r="D94" s="11"/>
      <c r="E94" s="11"/>
      <c r="F94" s="11"/>
      <c r="G94" s="11"/>
      <c r="H94" s="11"/>
    </row>
    <row r="95" spans="1:8">
      <c r="A95" s="11"/>
      <c r="B95" s="11"/>
      <c r="C95" s="11"/>
      <c r="D95" s="11"/>
      <c r="E95" s="11"/>
      <c r="F95" s="11"/>
      <c r="G95" s="11"/>
      <c r="H95" s="11"/>
    </row>
    <row r="96" spans="1:8">
      <c r="A96" s="11"/>
      <c r="B96" s="11"/>
      <c r="C96" s="11"/>
      <c r="D96" s="11"/>
      <c r="E96" s="11"/>
      <c r="F96" s="11"/>
      <c r="G96" s="11"/>
      <c r="H96" s="11"/>
    </row>
    <row r="97" spans="1:8">
      <c r="A97" s="11"/>
      <c r="B97" s="11"/>
      <c r="C97" s="11"/>
      <c r="D97" s="11"/>
      <c r="E97" s="11"/>
      <c r="F97" s="11"/>
      <c r="G97" s="11"/>
      <c r="H97" s="11"/>
    </row>
    <row r="98" spans="1:8">
      <c r="A98" s="11"/>
      <c r="B98" s="11"/>
      <c r="C98" s="11"/>
      <c r="D98" s="11"/>
      <c r="E98" s="11"/>
      <c r="F98" s="11"/>
      <c r="G98" s="11"/>
      <c r="H98" s="11"/>
    </row>
    <row r="99" spans="1:8">
      <c r="A99" s="11"/>
      <c r="B99" s="11"/>
      <c r="C99" s="11"/>
      <c r="D99" s="11"/>
      <c r="E99" s="11"/>
      <c r="F99" s="11"/>
      <c r="G99" s="11"/>
      <c r="H99" s="11"/>
    </row>
    <row r="100" spans="1:8">
      <c r="A100" s="11"/>
      <c r="B100" s="11"/>
      <c r="C100" s="11"/>
      <c r="D100" s="11"/>
      <c r="E100" s="11"/>
      <c r="F100" s="11"/>
      <c r="G100" s="11"/>
      <c r="H100" s="11"/>
    </row>
    <row r="101" spans="1:8">
      <c r="A101" s="11"/>
      <c r="B101" s="11"/>
      <c r="C101" s="11"/>
      <c r="D101" s="11"/>
      <c r="E101" s="11"/>
      <c r="F101" s="11"/>
      <c r="G101" s="11"/>
      <c r="H101" s="11"/>
    </row>
    <row r="102" spans="1:8">
      <c r="A102" s="11"/>
      <c r="B102" s="11"/>
      <c r="C102" s="11"/>
      <c r="D102" s="11"/>
      <c r="E102" s="11"/>
      <c r="F102" s="11"/>
      <c r="G102" s="11"/>
      <c r="H102" s="11"/>
    </row>
    <row r="103" spans="1:8">
      <c r="A103" s="11"/>
      <c r="B103" s="11"/>
      <c r="C103" s="11"/>
      <c r="D103" s="11"/>
      <c r="E103" s="11"/>
      <c r="F103" s="11"/>
      <c r="G103" s="11"/>
      <c r="H103" s="11"/>
    </row>
    <row r="104" spans="1:8">
      <c r="A104" s="11"/>
      <c r="B104" s="11"/>
      <c r="C104" s="11"/>
      <c r="D104" s="11"/>
      <c r="E104" s="11"/>
      <c r="F104" s="11"/>
      <c r="G104" s="11"/>
      <c r="H104" s="11"/>
    </row>
    <row r="105" spans="1:8">
      <c r="A105" s="11"/>
      <c r="B105" s="11"/>
      <c r="C105" s="11"/>
      <c r="D105" s="11"/>
      <c r="E105" s="11"/>
      <c r="F105" s="11"/>
      <c r="G105" s="11"/>
      <c r="H105" s="11"/>
    </row>
    <row r="106" spans="1:8">
      <c r="A106" s="11"/>
      <c r="B106" s="11"/>
      <c r="C106" s="11"/>
      <c r="D106" s="11"/>
      <c r="E106" s="11"/>
      <c r="F106" s="11"/>
      <c r="G106" s="11"/>
      <c r="H106" s="11"/>
    </row>
    <row r="107" spans="1:8">
      <c r="A107" s="11"/>
      <c r="B107" s="11"/>
      <c r="C107" s="11"/>
      <c r="D107" s="11"/>
      <c r="E107" s="11"/>
      <c r="F107" s="11"/>
      <c r="G107" s="11"/>
      <c r="H107" s="11"/>
    </row>
    <row r="108" spans="1:8">
      <c r="A108" s="11"/>
      <c r="B108" s="11"/>
      <c r="C108" s="11"/>
      <c r="D108" s="11"/>
      <c r="E108" s="11"/>
      <c r="F108" s="11"/>
      <c r="G108" s="11"/>
      <c r="H108" s="11"/>
    </row>
    <row r="109" spans="1:8">
      <c r="A109" s="11"/>
      <c r="B109" s="11"/>
      <c r="C109" s="11"/>
      <c r="D109" s="11"/>
      <c r="E109" s="11"/>
      <c r="F109" s="11"/>
      <c r="G109" s="11"/>
      <c r="H109" s="11"/>
    </row>
    <row r="110" spans="1:8">
      <c r="A110" s="11"/>
      <c r="B110" s="11"/>
      <c r="C110" s="11"/>
      <c r="D110" s="11"/>
      <c r="E110" s="11"/>
      <c r="F110" s="11"/>
      <c r="G110" s="11"/>
      <c r="H110" s="11"/>
    </row>
    <row r="111" spans="1:8">
      <c r="A111" s="11"/>
      <c r="B111" s="11"/>
      <c r="C111" s="11"/>
      <c r="D111" s="11"/>
      <c r="E111" s="11"/>
      <c r="F111" s="11"/>
      <c r="G111" s="11"/>
      <c r="H111" s="11"/>
    </row>
    <row r="112" spans="1:8">
      <c r="A112" s="11"/>
      <c r="B112" s="11"/>
      <c r="C112" s="11"/>
      <c r="D112" s="11"/>
      <c r="E112" s="11"/>
      <c r="F112" s="11"/>
      <c r="G112" s="11"/>
      <c r="H112" s="11"/>
    </row>
    <row r="113" spans="1:8">
      <c r="A113" s="11"/>
      <c r="B113" s="11"/>
      <c r="C113" s="11"/>
      <c r="D113" s="11"/>
      <c r="E113" s="11"/>
      <c r="F113" s="11"/>
      <c r="G113" s="11"/>
      <c r="H113" s="11"/>
    </row>
    <row r="114" spans="1:8">
      <c r="A114" s="11"/>
      <c r="B114" s="11"/>
      <c r="C114" s="11"/>
      <c r="D114" s="11"/>
      <c r="E114" s="11"/>
      <c r="F114" s="11"/>
      <c r="G114" s="11"/>
      <c r="H114" s="11"/>
    </row>
    <row r="115" spans="1:8">
      <c r="A115" s="11"/>
      <c r="B115" s="11"/>
      <c r="C115" s="11"/>
      <c r="D115" s="11"/>
      <c r="E115" s="11"/>
      <c r="F115" s="11"/>
      <c r="G115" s="11"/>
      <c r="H115" s="11"/>
    </row>
    <row r="116" spans="1:8">
      <c r="A116" s="11"/>
      <c r="B116" s="11"/>
      <c r="C116" s="11"/>
      <c r="D116" s="11"/>
      <c r="E116" s="11"/>
      <c r="F116" s="11"/>
      <c r="G116" s="11"/>
      <c r="H116" s="11"/>
    </row>
    <row r="117" spans="1:8">
      <c r="A117" s="11"/>
      <c r="B117" s="11"/>
      <c r="C117" s="11"/>
      <c r="D117" s="11"/>
      <c r="E117" s="11"/>
      <c r="F117" s="11"/>
      <c r="G117" s="11"/>
      <c r="H117" s="11"/>
    </row>
    <row r="118" spans="1:8">
      <c r="A118" s="11"/>
      <c r="B118" s="11"/>
      <c r="C118" s="11"/>
      <c r="D118" s="11"/>
      <c r="E118" s="11"/>
      <c r="F118" s="11"/>
      <c r="G118" s="11"/>
      <c r="H118" s="11"/>
    </row>
    <row r="119" spans="1:8">
      <c r="A119" s="11"/>
      <c r="B119" s="11"/>
      <c r="C119" s="11"/>
      <c r="D119" s="11"/>
      <c r="E119" s="11"/>
      <c r="F119" s="11"/>
      <c r="G119" s="11"/>
      <c r="H119" s="11"/>
    </row>
    <row r="120" spans="1:8">
      <c r="A120" s="11"/>
      <c r="B120" s="11"/>
      <c r="C120" s="11"/>
      <c r="D120" s="11"/>
      <c r="E120" s="11"/>
      <c r="F120" s="11"/>
      <c r="G120" s="11"/>
      <c r="H120" s="11"/>
    </row>
    <row r="121" spans="1:8">
      <c r="A121" s="11"/>
      <c r="B121" s="11"/>
      <c r="C121" s="11"/>
      <c r="D121" s="11"/>
      <c r="E121" s="11"/>
      <c r="F121" s="11"/>
      <c r="G121" s="11"/>
      <c r="H121" s="11"/>
    </row>
    <row r="122" spans="1:8">
      <c r="A122" s="11"/>
      <c r="B122" s="11"/>
      <c r="C122" s="11"/>
      <c r="D122" s="11"/>
      <c r="E122" s="11"/>
      <c r="F122" s="11"/>
      <c r="G122" s="11"/>
      <c r="H122" s="11"/>
    </row>
    <row r="123" spans="1:8">
      <c r="A123" s="11"/>
      <c r="B123" s="11"/>
      <c r="C123" s="11"/>
      <c r="D123" s="11"/>
      <c r="E123" s="11"/>
      <c r="F123" s="11"/>
      <c r="G123" s="11"/>
      <c r="H123" s="11"/>
    </row>
    <row r="124" spans="1:8">
      <c r="A124" s="11"/>
      <c r="B124" s="11"/>
      <c r="C124" s="11"/>
      <c r="D124" s="11"/>
      <c r="E124" s="11"/>
      <c r="F124" s="11"/>
      <c r="G124" s="11"/>
      <c r="H124" s="11"/>
    </row>
    <row r="125" spans="1:8">
      <c r="A125" s="11"/>
      <c r="B125" s="11"/>
      <c r="C125" s="11"/>
      <c r="D125" s="11"/>
      <c r="E125" s="11"/>
      <c r="F125" s="11"/>
      <c r="G125" s="11"/>
      <c r="H125" s="11"/>
    </row>
    <row r="126" spans="1:8">
      <c r="A126" s="11"/>
      <c r="B126" s="11"/>
      <c r="C126" s="11"/>
      <c r="D126" s="11"/>
      <c r="E126" s="11"/>
      <c r="F126" s="11"/>
      <c r="G126" s="11"/>
      <c r="H126" s="11"/>
    </row>
    <row r="127" spans="1:8">
      <c r="A127" s="11"/>
      <c r="B127" s="11"/>
      <c r="C127" s="11"/>
      <c r="D127" s="11"/>
      <c r="E127" s="11"/>
      <c r="F127" s="11"/>
      <c r="G127" s="11"/>
      <c r="H127" s="11"/>
    </row>
    <row r="128" spans="1:8">
      <c r="A128" s="11"/>
      <c r="B128" s="11"/>
      <c r="C128" s="11"/>
      <c r="D128" s="11"/>
      <c r="E128" s="11"/>
      <c r="F128" s="11"/>
      <c r="G128" s="11"/>
      <c r="H128" s="11"/>
    </row>
    <row r="129" spans="1:8">
      <c r="A129" s="11"/>
      <c r="B129" s="11"/>
      <c r="C129" s="11"/>
      <c r="D129" s="11"/>
      <c r="E129" s="11"/>
      <c r="F129" s="11"/>
      <c r="G129" s="11"/>
      <c r="H129" s="11"/>
    </row>
    <row r="130" spans="1:8">
      <c r="A130" s="11"/>
      <c r="B130" s="11"/>
      <c r="C130" s="11"/>
      <c r="D130" s="11"/>
      <c r="E130" s="11"/>
      <c r="F130" s="11"/>
      <c r="G130" s="11"/>
      <c r="H130" s="11"/>
    </row>
    <row r="131" spans="1:8">
      <c r="A131" s="11"/>
      <c r="B131" s="11"/>
      <c r="C131" s="11"/>
      <c r="D131" s="11"/>
      <c r="E131" s="11"/>
      <c r="F131" s="11"/>
      <c r="G131" s="11"/>
      <c r="H131" s="11"/>
    </row>
    <row r="132" spans="1:8">
      <c r="A132" s="11"/>
      <c r="B132" s="11"/>
      <c r="C132" s="11"/>
      <c r="D132" s="11"/>
      <c r="E132" s="11"/>
      <c r="F132" s="11"/>
      <c r="G132" s="11"/>
      <c r="H132" s="11"/>
    </row>
    <row r="133" spans="1:8">
      <c r="A133" s="11"/>
      <c r="B133" s="11"/>
      <c r="C133" s="11"/>
      <c r="D133" s="11"/>
      <c r="E133" s="11"/>
      <c r="F133" s="11"/>
      <c r="G133" s="11"/>
      <c r="H133" s="11"/>
    </row>
    <row r="134" spans="1:8">
      <c r="A134" s="11"/>
      <c r="B134" s="11"/>
      <c r="C134" s="11"/>
      <c r="D134" s="11"/>
      <c r="E134" s="11"/>
      <c r="F134" s="11"/>
      <c r="G134" s="11"/>
      <c r="H134" s="11"/>
    </row>
    <row r="135" spans="1:8">
      <c r="A135" s="11"/>
      <c r="B135" s="11"/>
      <c r="C135" s="11"/>
      <c r="D135" s="11"/>
      <c r="E135" s="11"/>
      <c r="F135" s="11"/>
      <c r="G135" s="11"/>
      <c r="H135" s="11"/>
    </row>
    <row r="136" spans="1:8">
      <c r="A136" s="11"/>
      <c r="B136" s="11"/>
      <c r="C136" s="11"/>
      <c r="D136" s="11"/>
      <c r="E136" s="11"/>
      <c r="F136" s="11"/>
      <c r="G136" s="11"/>
      <c r="H136" s="11"/>
    </row>
    <row r="137" spans="1:8">
      <c r="A137" s="11"/>
      <c r="B137" s="11"/>
      <c r="C137" s="11"/>
      <c r="D137" s="11"/>
      <c r="E137" s="11"/>
      <c r="F137" s="11"/>
      <c r="G137" s="11"/>
      <c r="H137" s="11"/>
    </row>
    <row r="138" spans="1:8">
      <c r="A138" s="11"/>
      <c r="B138" s="11"/>
      <c r="C138" s="11"/>
      <c r="D138" s="11"/>
      <c r="E138" s="11"/>
      <c r="F138" s="11"/>
      <c r="G138" s="11"/>
      <c r="H138" s="11"/>
    </row>
    <row r="139" spans="1:8">
      <c r="A139" s="11"/>
      <c r="B139" s="11"/>
      <c r="C139" s="11"/>
      <c r="D139" s="11"/>
      <c r="E139" s="11"/>
      <c r="F139" s="11"/>
      <c r="G139" s="11"/>
      <c r="H139" s="11"/>
    </row>
    <row r="140" spans="1:8">
      <c r="A140" s="11"/>
      <c r="B140" s="11"/>
      <c r="C140" s="11"/>
      <c r="D140" s="11"/>
      <c r="E140" s="11"/>
      <c r="F140" s="11"/>
      <c r="G140" s="11"/>
      <c r="H140" s="11"/>
    </row>
    <row r="141" spans="1:8">
      <c r="A141" s="11"/>
      <c r="B141" s="11"/>
      <c r="C141" s="11"/>
      <c r="D141" s="11"/>
      <c r="E141" s="11"/>
      <c r="F141" s="11"/>
      <c r="G141" s="11"/>
      <c r="H141" s="11"/>
    </row>
    <row r="142" spans="1:8">
      <c r="A142" s="11"/>
      <c r="B142" s="11"/>
      <c r="C142" s="11"/>
      <c r="D142" s="11"/>
      <c r="E142" s="11"/>
      <c r="F142" s="11"/>
      <c r="G142" s="11"/>
      <c r="H142" s="11"/>
    </row>
    <row r="143" spans="1:8">
      <c r="A143" s="11"/>
      <c r="B143" s="11"/>
      <c r="C143" s="11"/>
      <c r="D143" s="11"/>
      <c r="E143" s="11"/>
      <c r="F143" s="11"/>
      <c r="G143" s="11"/>
      <c r="H143" s="11"/>
    </row>
    <row r="144" spans="1:8">
      <c r="A144" s="11"/>
      <c r="B144" s="11"/>
      <c r="C144" s="11"/>
      <c r="D144" s="11"/>
      <c r="E144" s="11"/>
      <c r="F144" s="11"/>
      <c r="G144" s="11"/>
      <c r="H144" s="11"/>
    </row>
    <row r="145" spans="1:8">
      <c r="A145" s="11"/>
      <c r="B145" s="11"/>
      <c r="C145" s="11"/>
      <c r="D145" s="11"/>
      <c r="E145" s="11"/>
      <c r="F145" s="11"/>
      <c r="G145" s="11"/>
      <c r="H145" s="11"/>
    </row>
    <row r="146" spans="1:8">
      <c r="A146" s="11"/>
      <c r="B146" s="11"/>
      <c r="C146" s="11"/>
      <c r="D146" s="11"/>
      <c r="E146" s="11"/>
      <c r="F146" s="11"/>
      <c r="G146" s="11"/>
      <c r="H146" s="11"/>
    </row>
    <row r="147" spans="1:8">
      <c r="A147" s="11"/>
      <c r="B147" s="11"/>
      <c r="C147" s="11"/>
      <c r="D147" s="11"/>
      <c r="E147" s="11"/>
      <c r="F147" s="11"/>
      <c r="G147" s="11"/>
      <c r="H147" s="11"/>
    </row>
    <row r="148" spans="1:8">
      <c r="A148" s="11"/>
      <c r="B148" s="11"/>
      <c r="C148" s="11"/>
      <c r="D148" s="11"/>
      <c r="E148" s="11"/>
      <c r="F148" s="11"/>
      <c r="G148" s="11"/>
      <c r="H148" s="11"/>
    </row>
    <row r="149" spans="1:8">
      <c r="A149" s="11"/>
      <c r="B149" s="11"/>
      <c r="C149" s="11"/>
      <c r="D149" s="11"/>
      <c r="E149" s="11"/>
      <c r="F149" s="11"/>
      <c r="G149" s="11"/>
      <c r="H149" s="11"/>
    </row>
    <row r="150" spans="1:8">
      <c r="A150" s="11"/>
      <c r="B150" s="11"/>
      <c r="C150" s="11"/>
      <c r="D150" s="11"/>
      <c r="E150" s="11"/>
      <c r="F150" s="11"/>
      <c r="G150" s="11"/>
      <c r="H150" s="11"/>
    </row>
    <row r="151" spans="1:8">
      <c r="A151" s="11"/>
      <c r="B151" s="11"/>
      <c r="C151" s="11"/>
      <c r="D151" s="11"/>
      <c r="E151" s="11"/>
      <c r="F151" s="11"/>
      <c r="G151" s="11"/>
      <c r="H151" s="11"/>
    </row>
    <row r="152" spans="1:8">
      <c r="A152" s="11"/>
      <c r="B152" s="11"/>
      <c r="C152" s="11"/>
      <c r="D152" s="11"/>
      <c r="E152" s="11"/>
      <c r="F152" s="11"/>
      <c r="G152" s="11"/>
      <c r="H152" s="11"/>
    </row>
    <row r="153" spans="1:8">
      <c r="A153" s="11"/>
      <c r="B153" s="11"/>
      <c r="C153" s="11"/>
      <c r="D153" s="11"/>
      <c r="E153" s="11"/>
      <c r="F153" s="11"/>
      <c r="G153" s="11"/>
      <c r="H153" s="11"/>
    </row>
    <row r="154" spans="1:8">
      <c r="A154" s="11"/>
      <c r="B154" s="11"/>
      <c r="C154" s="11"/>
      <c r="D154" s="11"/>
      <c r="E154" s="11"/>
      <c r="F154" s="11"/>
      <c r="G154" s="11"/>
      <c r="H154" s="11"/>
    </row>
    <row r="155" spans="1:8">
      <c r="A155" s="11"/>
      <c r="B155" s="11"/>
      <c r="C155" s="11"/>
      <c r="D155" s="11"/>
      <c r="E155" s="11"/>
      <c r="F155" s="11"/>
      <c r="G155" s="11"/>
      <c r="H155" s="11"/>
    </row>
    <row r="156" spans="1:8">
      <c r="A156" s="11"/>
      <c r="B156" s="11"/>
      <c r="C156" s="11"/>
      <c r="D156" s="11"/>
      <c r="E156" s="11"/>
      <c r="F156" s="11"/>
      <c r="G156" s="11"/>
      <c r="H156" s="11"/>
    </row>
    <row r="157" spans="1:8">
      <c r="A157" s="11"/>
      <c r="B157" s="11"/>
      <c r="C157" s="11"/>
      <c r="D157" s="11"/>
      <c r="E157" s="11"/>
      <c r="F157" s="11"/>
      <c r="G157" s="11"/>
      <c r="H157" s="11"/>
    </row>
    <row r="158" spans="1:8">
      <c r="A158" s="11"/>
      <c r="B158" s="11"/>
      <c r="C158" s="11"/>
      <c r="D158" s="11"/>
      <c r="E158" s="11"/>
      <c r="F158" s="11"/>
      <c r="G158" s="11"/>
      <c r="H158" s="11"/>
    </row>
    <row r="159" spans="1:8">
      <c r="A159" s="11"/>
      <c r="B159" s="11"/>
      <c r="C159" s="11"/>
      <c r="D159" s="11"/>
      <c r="E159" s="11"/>
      <c r="F159" s="11"/>
      <c r="G159" s="11"/>
      <c r="H159" s="11"/>
    </row>
    <row r="160" spans="1:8">
      <c r="A160" s="11"/>
      <c r="B160" s="11"/>
      <c r="C160" s="11"/>
      <c r="D160" s="11"/>
      <c r="E160" s="11"/>
      <c r="F160" s="11"/>
      <c r="G160" s="11"/>
      <c r="H160" s="11"/>
    </row>
    <row r="161" spans="1:8">
      <c r="A161" s="11"/>
      <c r="B161" s="11"/>
      <c r="C161" s="11"/>
      <c r="D161" s="11"/>
      <c r="E161" s="11"/>
      <c r="F161" s="11"/>
      <c r="G161" s="11"/>
      <c r="H161" s="11"/>
    </row>
    <row r="162" spans="1:8">
      <c r="A162" s="11"/>
      <c r="B162" s="11"/>
      <c r="C162" s="11"/>
      <c r="D162" s="11"/>
      <c r="E162" s="11"/>
      <c r="F162" s="11"/>
      <c r="G162" s="11"/>
      <c r="H162" s="11"/>
    </row>
    <row r="163" spans="1:8">
      <c r="A163" s="11"/>
      <c r="B163" s="11"/>
      <c r="C163" s="11"/>
      <c r="D163" s="11"/>
      <c r="E163" s="11"/>
      <c r="F163" s="11"/>
      <c r="G163" s="11"/>
      <c r="H163" s="11"/>
    </row>
    <row r="164" spans="1:8">
      <c r="A164" s="11"/>
      <c r="B164" s="11"/>
      <c r="C164" s="11"/>
      <c r="D164" s="11"/>
      <c r="E164" s="11"/>
      <c r="F164" s="11"/>
      <c r="G164" s="11"/>
      <c r="H164" s="11"/>
    </row>
    <row r="165" spans="1:8">
      <c r="A165" s="11"/>
      <c r="B165" s="11"/>
      <c r="C165" s="11"/>
      <c r="D165" s="11"/>
      <c r="E165" s="11"/>
      <c r="F165" s="11"/>
      <c r="G165" s="11"/>
      <c r="H165" s="11"/>
    </row>
    <row r="166" spans="1:8">
      <c r="A166" s="11"/>
      <c r="B166" s="11"/>
      <c r="C166" s="11"/>
      <c r="D166" s="11"/>
      <c r="E166" s="11"/>
      <c r="F166" s="11"/>
      <c r="G166" s="11"/>
      <c r="H166" s="11"/>
    </row>
    <row r="167" spans="1:8">
      <c r="A167" s="11"/>
      <c r="B167" s="11"/>
      <c r="C167" s="11"/>
      <c r="D167" s="11"/>
      <c r="E167" s="11"/>
      <c r="F167" s="11"/>
      <c r="G167" s="11"/>
      <c r="H167" s="11"/>
    </row>
    <row r="168" spans="1:8">
      <c r="A168" s="11"/>
      <c r="B168" s="11"/>
      <c r="C168" s="11"/>
      <c r="D168" s="11"/>
      <c r="E168" s="11"/>
      <c r="F168" s="11"/>
      <c r="G168" s="11"/>
      <c r="H168" s="11"/>
    </row>
    <row r="169" spans="1:8">
      <c r="A169" s="11"/>
      <c r="B169" s="11"/>
      <c r="C169" s="11"/>
      <c r="D169" s="11"/>
      <c r="E169" s="11"/>
      <c r="F169" s="11"/>
      <c r="G169" s="11"/>
      <c r="H169" s="11"/>
    </row>
    <row r="170" spans="1:8">
      <c r="A170" s="11"/>
      <c r="B170" s="11"/>
      <c r="C170" s="11"/>
      <c r="D170" s="11"/>
      <c r="E170" s="11"/>
      <c r="F170" s="11"/>
      <c r="G170" s="11"/>
      <c r="H170" s="11"/>
    </row>
    <row r="171" spans="1:8">
      <c r="A171" s="11"/>
      <c r="B171" s="11"/>
      <c r="C171" s="11"/>
      <c r="D171" s="11"/>
      <c r="E171" s="11"/>
      <c r="F171" s="11"/>
      <c r="G171" s="11"/>
      <c r="H171" s="11"/>
    </row>
    <row r="172" spans="1:8">
      <c r="A172" s="11"/>
      <c r="B172" s="11"/>
      <c r="C172" s="11"/>
      <c r="D172" s="11"/>
      <c r="E172" s="11"/>
      <c r="F172" s="11"/>
      <c r="G172" s="11"/>
      <c r="H172" s="11"/>
    </row>
    <row r="173" spans="1:8">
      <c r="A173" s="11"/>
      <c r="B173" s="11"/>
      <c r="C173" s="11"/>
      <c r="D173" s="11"/>
      <c r="E173" s="11"/>
      <c r="F173" s="11"/>
      <c r="G173" s="11"/>
      <c r="H173" s="11"/>
    </row>
    <row r="174" spans="1:8">
      <c r="A174" s="11"/>
      <c r="B174" s="11"/>
      <c r="C174" s="11"/>
      <c r="D174" s="11"/>
      <c r="E174" s="11"/>
      <c r="F174" s="11"/>
      <c r="G174" s="11"/>
      <c r="H174" s="11"/>
    </row>
    <row r="175" spans="1:8">
      <c r="A175" s="11"/>
      <c r="B175" s="11"/>
      <c r="C175" s="11"/>
      <c r="D175" s="11"/>
      <c r="E175" s="11"/>
      <c r="F175" s="11"/>
      <c r="G175" s="11"/>
      <c r="H175" s="11"/>
    </row>
    <row r="176" spans="1:8">
      <c r="A176" s="11"/>
      <c r="B176" s="11"/>
      <c r="C176" s="11"/>
      <c r="D176" s="11"/>
      <c r="E176" s="11"/>
      <c r="F176" s="11"/>
      <c r="G176" s="11"/>
      <c r="H176" s="11"/>
    </row>
    <row r="177" spans="1:8">
      <c r="A177" s="11"/>
      <c r="B177" s="11"/>
      <c r="C177" s="11"/>
      <c r="D177" s="11"/>
      <c r="E177" s="11"/>
      <c r="F177" s="11"/>
      <c r="G177" s="11"/>
      <c r="H177" s="11"/>
    </row>
    <row r="178" spans="1:8">
      <c r="A178" s="11"/>
      <c r="B178" s="11"/>
      <c r="C178" s="11"/>
      <c r="D178" s="11"/>
      <c r="E178" s="11"/>
      <c r="F178" s="11"/>
      <c r="G178" s="11"/>
      <c r="H178" s="11"/>
    </row>
    <row r="179" spans="1:8">
      <c r="A179" s="11"/>
      <c r="B179" s="11"/>
      <c r="C179" s="11"/>
      <c r="D179" s="11"/>
      <c r="E179" s="11"/>
      <c r="F179" s="11"/>
      <c r="G179" s="11"/>
      <c r="H179" s="11"/>
    </row>
    <row r="180" spans="1:8">
      <c r="A180" s="11"/>
      <c r="B180" s="11"/>
      <c r="C180" s="11"/>
      <c r="D180" s="11"/>
      <c r="E180" s="11"/>
      <c r="F180" s="11"/>
      <c r="G180" s="11"/>
      <c r="H180" s="11"/>
    </row>
    <row r="181" spans="1:8">
      <c r="A181" s="11"/>
      <c r="B181" s="11"/>
      <c r="C181" s="11"/>
      <c r="D181" s="11"/>
      <c r="E181" s="11"/>
      <c r="F181" s="11"/>
      <c r="G181" s="11"/>
      <c r="H181" s="11"/>
    </row>
    <row r="182" spans="1:8">
      <c r="A182" s="11"/>
      <c r="B182" s="11"/>
      <c r="C182" s="11"/>
      <c r="D182" s="11"/>
      <c r="E182" s="11"/>
      <c r="F182" s="11"/>
      <c r="G182" s="11"/>
      <c r="H182" s="11"/>
    </row>
    <row r="183" spans="1:8">
      <c r="A183" s="11"/>
      <c r="B183" s="11"/>
      <c r="C183" s="11"/>
      <c r="D183" s="11"/>
      <c r="E183" s="11"/>
      <c r="F183" s="11"/>
      <c r="G183" s="11"/>
      <c r="H183" s="11"/>
    </row>
    <row r="184" spans="1:8">
      <c r="A184" s="11"/>
      <c r="B184" s="11"/>
      <c r="C184" s="11"/>
      <c r="D184" s="11"/>
      <c r="E184" s="11"/>
      <c r="F184" s="11"/>
      <c r="G184" s="11"/>
      <c r="H184" s="11"/>
    </row>
    <row r="185" spans="1:8">
      <c r="A185" s="11"/>
      <c r="B185" s="11"/>
      <c r="C185" s="11"/>
      <c r="D185" s="11"/>
      <c r="E185" s="11"/>
      <c r="F185" s="11"/>
      <c r="G185" s="11"/>
      <c r="H185" s="11"/>
    </row>
    <row r="186" spans="1:8">
      <c r="A186" s="11"/>
      <c r="B186" s="11"/>
      <c r="C186" s="11"/>
      <c r="D186" s="11"/>
      <c r="E186" s="11"/>
      <c r="F186" s="11"/>
      <c r="G186" s="11"/>
      <c r="H186" s="11"/>
    </row>
    <row r="187" spans="1:8">
      <c r="A187" s="11"/>
      <c r="B187" s="11"/>
      <c r="C187" s="11"/>
      <c r="D187" s="11"/>
      <c r="E187" s="11"/>
      <c r="F187" s="11"/>
      <c r="G187" s="11"/>
      <c r="H187" s="11"/>
    </row>
    <row r="188" spans="1:8">
      <c r="A188" s="11"/>
      <c r="B188" s="11"/>
      <c r="C188" s="11"/>
      <c r="D188" s="11"/>
      <c r="E188" s="11"/>
      <c r="F188" s="11"/>
      <c r="G188" s="11"/>
      <c r="H188" s="11"/>
    </row>
    <row r="189" spans="1:8">
      <c r="A189" s="11"/>
      <c r="B189" s="11"/>
      <c r="C189" s="11"/>
      <c r="D189" s="11"/>
      <c r="E189" s="11"/>
      <c r="F189" s="11"/>
      <c r="G189" s="11"/>
      <c r="H189" s="11"/>
    </row>
    <row r="190" spans="1:8">
      <c r="A190" s="11"/>
      <c r="B190" s="11"/>
      <c r="C190" s="11"/>
      <c r="D190" s="11"/>
      <c r="E190" s="11"/>
      <c r="F190" s="11"/>
      <c r="G190" s="11"/>
      <c r="H190" s="11"/>
    </row>
    <row r="191" spans="1:8">
      <c r="A191" s="11"/>
      <c r="B191" s="11"/>
      <c r="C191" s="11"/>
      <c r="D191" s="11"/>
      <c r="E191" s="11"/>
      <c r="F191" s="11"/>
      <c r="G191" s="11"/>
      <c r="H191" s="11"/>
    </row>
    <row r="192" spans="1:8">
      <c r="A192" s="11"/>
      <c r="B192" s="11"/>
      <c r="C192" s="11"/>
      <c r="D192" s="11"/>
      <c r="E192" s="11"/>
      <c r="F192" s="11"/>
      <c r="G192" s="11"/>
      <c r="H192" s="11"/>
    </row>
    <row r="193" spans="1:8">
      <c r="A193" s="11"/>
      <c r="B193" s="11"/>
      <c r="C193" s="11"/>
      <c r="D193" s="11"/>
      <c r="E193" s="11"/>
      <c r="F193" s="11"/>
      <c r="G193" s="11"/>
      <c r="H193" s="11"/>
    </row>
    <row r="194" spans="1:8">
      <c r="A194" s="11"/>
      <c r="B194" s="11"/>
      <c r="C194" s="11"/>
      <c r="D194" s="11"/>
      <c r="E194" s="11"/>
      <c r="F194" s="11"/>
      <c r="G194" s="11"/>
      <c r="H194" s="11"/>
    </row>
    <row r="195" spans="1:8">
      <c r="A195" s="11"/>
      <c r="B195" s="11"/>
      <c r="C195" s="11"/>
      <c r="D195" s="11"/>
      <c r="E195" s="11"/>
      <c r="F195" s="11"/>
      <c r="G195" s="11"/>
      <c r="H195" s="11"/>
    </row>
    <row r="196" spans="1:8">
      <c r="A196" s="11"/>
      <c r="B196" s="11"/>
      <c r="C196" s="11"/>
      <c r="D196" s="11"/>
      <c r="E196" s="11"/>
      <c r="F196" s="11"/>
      <c r="G196" s="11"/>
      <c r="H196" s="11"/>
    </row>
    <row r="197" spans="1:8">
      <c r="A197" s="11"/>
      <c r="B197" s="11"/>
      <c r="C197" s="11"/>
      <c r="D197" s="11"/>
      <c r="E197" s="11"/>
      <c r="F197" s="11"/>
      <c r="G197" s="11"/>
      <c r="H197" s="11"/>
    </row>
    <row r="198" spans="1:8">
      <c r="A198" s="11"/>
      <c r="B198" s="11"/>
      <c r="C198" s="11"/>
      <c r="D198" s="11"/>
      <c r="E198" s="11"/>
      <c r="F198" s="11"/>
      <c r="G198" s="11"/>
      <c r="H198" s="11"/>
    </row>
    <row r="199" spans="1:8">
      <c r="A199" s="11"/>
      <c r="B199" s="11"/>
      <c r="C199" s="11"/>
      <c r="D199" s="11"/>
      <c r="E199" s="11"/>
      <c r="F199" s="11"/>
      <c r="G199" s="11"/>
      <c r="H199" s="11"/>
    </row>
    <row r="200" spans="1:8">
      <c r="A200" s="11"/>
      <c r="B200" s="11"/>
      <c r="C200" s="11"/>
      <c r="D200" s="11"/>
      <c r="E200" s="11"/>
      <c r="F200" s="11"/>
      <c r="G200" s="11"/>
      <c r="H200" s="11"/>
    </row>
    <row r="201" spans="1:8">
      <c r="A201" s="11"/>
      <c r="B201" s="11"/>
      <c r="C201" s="11"/>
      <c r="D201" s="11"/>
      <c r="E201" s="11"/>
      <c r="F201" s="11"/>
      <c r="G201" s="11"/>
      <c r="H201" s="11"/>
    </row>
    <row r="202" spans="1:8">
      <c r="A202" s="11"/>
      <c r="B202" s="11"/>
      <c r="C202" s="11"/>
      <c r="D202" s="11"/>
      <c r="E202" s="11"/>
      <c r="F202" s="11"/>
      <c r="G202" s="11"/>
      <c r="H202" s="11"/>
    </row>
    <row r="203" spans="1:8">
      <c r="A203" s="11"/>
      <c r="B203" s="11"/>
      <c r="C203" s="11"/>
      <c r="D203" s="11"/>
      <c r="E203" s="11"/>
      <c r="F203" s="11"/>
      <c r="G203" s="11"/>
      <c r="H203" s="11"/>
    </row>
    <row r="204" spans="1:8">
      <c r="A204" s="11"/>
      <c r="B204" s="11"/>
      <c r="C204" s="11"/>
      <c r="D204" s="11"/>
      <c r="E204" s="11"/>
      <c r="F204" s="11"/>
      <c r="G204" s="11"/>
      <c r="H204" s="11"/>
    </row>
    <row r="205" spans="1:8">
      <c r="A205" s="11"/>
      <c r="B205" s="11"/>
      <c r="C205" s="11"/>
      <c r="D205" s="11"/>
      <c r="E205" s="11"/>
      <c r="F205" s="11"/>
      <c r="G205" s="11"/>
      <c r="H205" s="11"/>
    </row>
    <row r="206" spans="1:8">
      <c r="A206" s="11"/>
      <c r="B206" s="11"/>
      <c r="C206" s="11"/>
      <c r="D206" s="11"/>
      <c r="E206" s="11"/>
      <c r="F206" s="11"/>
      <c r="G206" s="11"/>
      <c r="H206" s="11"/>
    </row>
    <row r="207" spans="1:8">
      <c r="A207" s="11"/>
      <c r="B207" s="11"/>
      <c r="C207" s="11"/>
      <c r="D207" s="11"/>
      <c r="E207" s="11"/>
      <c r="F207" s="11"/>
      <c r="G207" s="11"/>
      <c r="H207" s="11"/>
    </row>
    <row r="208" spans="1:8">
      <c r="A208" s="11"/>
      <c r="B208" s="11"/>
      <c r="C208" s="11"/>
      <c r="D208" s="11"/>
      <c r="E208" s="11"/>
      <c r="F208" s="11"/>
      <c r="G208" s="11"/>
      <c r="H208" s="1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"/>
  <sheetViews>
    <sheetView workbookViewId="0">
      <selection activeCell="G4" sqref="G4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42578125" customWidth="1"/>
    <col min="5" max="5" width="13.140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695</v>
      </c>
      <c r="B4" s="6"/>
      <c r="C4" s="6"/>
      <c r="D4" s="6" t="s">
        <v>10</v>
      </c>
      <c r="E4" s="6" t="s">
        <v>11</v>
      </c>
      <c r="F4" s="15">
        <v>3365</v>
      </c>
      <c r="G4" s="26" t="s">
        <v>12</v>
      </c>
      <c r="H4" s="4" t="s">
        <v>18</v>
      </c>
    </row>
    <row r="5" spans="1:8">
      <c r="A5" s="5">
        <v>695</v>
      </c>
      <c r="B5" s="6"/>
      <c r="C5" s="6"/>
      <c r="D5" s="6" t="s">
        <v>10</v>
      </c>
      <c r="E5" s="6" t="s">
        <v>14</v>
      </c>
      <c r="F5" s="15">
        <v>586</v>
      </c>
      <c r="G5" s="26" t="s">
        <v>12</v>
      </c>
      <c r="H5" s="4" t="s">
        <v>18</v>
      </c>
    </row>
    <row r="6" spans="1:8">
      <c r="A6" s="5">
        <v>695</v>
      </c>
      <c r="B6" s="6"/>
      <c r="C6" s="6"/>
      <c r="D6" s="6" t="s">
        <v>16</v>
      </c>
      <c r="E6" s="6" t="s">
        <v>14</v>
      </c>
      <c r="F6" s="15">
        <v>67</v>
      </c>
      <c r="G6" s="26" t="s">
        <v>12</v>
      </c>
      <c r="H6" s="4" t="s">
        <v>18</v>
      </c>
    </row>
    <row r="7" spans="1:8">
      <c r="A7" s="5">
        <v>695</v>
      </c>
      <c r="B7" s="6"/>
      <c r="C7" s="6"/>
      <c r="D7" s="6" t="s">
        <v>22</v>
      </c>
      <c r="E7" s="6" t="s">
        <v>14</v>
      </c>
      <c r="F7" s="15">
        <v>305</v>
      </c>
      <c r="G7" s="26" t="s">
        <v>12</v>
      </c>
      <c r="H7" s="4" t="s">
        <v>18</v>
      </c>
    </row>
    <row r="8" spans="1:8">
      <c r="E8" s="12" t="s">
        <v>17</v>
      </c>
      <c r="F8" s="13">
        <f>SUM(F4:F7)</f>
        <v>4323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selection activeCell="O10" sqref="O10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" customWidth="1"/>
    <col min="5" max="5" width="12.28515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702</v>
      </c>
      <c r="B4" s="6"/>
      <c r="C4" s="6"/>
      <c r="D4" s="6" t="s">
        <v>10</v>
      </c>
      <c r="E4" s="6" t="s">
        <v>11</v>
      </c>
      <c r="F4" s="15">
        <v>1794</v>
      </c>
      <c r="G4" s="26" t="s">
        <v>12</v>
      </c>
      <c r="H4" s="4" t="s">
        <v>18</v>
      </c>
    </row>
    <row r="5" spans="1:8">
      <c r="A5" s="5">
        <v>702</v>
      </c>
      <c r="B5" s="6"/>
      <c r="C5" s="6"/>
      <c r="D5" s="6" t="s">
        <v>10</v>
      </c>
      <c r="E5" s="6" t="s">
        <v>14</v>
      </c>
      <c r="F5" s="15">
        <v>717</v>
      </c>
      <c r="G5" s="26" t="s">
        <v>12</v>
      </c>
      <c r="H5" s="4" t="s">
        <v>18</v>
      </c>
    </row>
    <row r="6" spans="1:8">
      <c r="A6" s="5">
        <v>702</v>
      </c>
      <c r="B6" s="6"/>
      <c r="C6" s="6"/>
      <c r="D6" s="6" t="s">
        <v>22</v>
      </c>
      <c r="E6" s="6" t="s">
        <v>14</v>
      </c>
      <c r="F6" s="15">
        <v>72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2583</v>
      </c>
      <c r="G7" s="11"/>
      <c r="H7" s="1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8"/>
  <sheetViews>
    <sheetView workbookViewId="0">
      <selection activeCell="F5" sqref="F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5.5703125" customWidth="1"/>
    <col min="5" max="5" width="12.140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703</v>
      </c>
      <c r="B4" s="6"/>
      <c r="C4" s="6"/>
      <c r="D4" s="6" t="s">
        <v>10</v>
      </c>
      <c r="E4" s="6" t="s">
        <v>11</v>
      </c>
      <c r="F4" s="15">
        <v>203</v>
      </c>
      <c r="G4" s="26" t="s">
        <v>12</v>
      </c>
      <c r="H4" s="5" t="s">
        <v>18</v>
      </c>
    </row>
    <row r="5" spans="1:8">
      <c r="A5" s="5">
        <v>703</v>
      </c>
      <c r="B5" s="6"/>
      <c r="C5" s="6"/>
      <c r="D5" s="6" t="s">
        <v>10</v>
      </c>
      <c r="E5" s="6" t="s">
        <v>14</v>
      </c>
      <c r="F5" s="15">
        <v>2384</v>
      </c>
      <c r="G5" s="26" t="s">
        <v>12</v>
      </c>
      <c r="H5" s="5" t="s">
        <v>18</v>
      </c>
    </row>
    <row r="6" spans="1:8">
      <c r="A6" s="5">
        <v>703</v>
      </c>
      <c r="B6" s="6"/>
      <c r="C6" s="6"/>
      <c r="D6" s="6" t="s">
        <v>29</v>
      </c>
      <c r="E6" s="6" t="s">
        <v>14</v>
      </c>
      <c r="F6" s="15">
        <v>1700</v>
      </c>
      <c r="G6" s="26" t="s">
        <v>12</v>
      </c>
      <c r="H6" s="5" t="s">
        <v>18</v>
      </c>
    </row>
    <row r="7" spans="1:8">
      <c r="A7" s="5">
        <v>703</v>
      </c>
      <c r="B7" s="6"/>
      <c r="C7" s="6"/>
      <c r="D7" s="6" t="s">
        <v>16</v>
      </c>
      <c r="E7" s="6" t="s">
        <v>14</v>
      </c>
      <c r="F7" s="15">
        <v>994</v>
      </c>
      <c r="G7" s="26" t="s">
        <v>12</v>
      </c>
      <c r="H7" s="5" t="s">
        <v>18</v>
      </c>
    </row>
    <row r="8" spans="1:8">
      <c r="E8" s="12" t="s">
        <v>17</v>
      </c>
      <c r="F8" s="13">
        <f>SUM(F4:F7)</f>
        <v>5281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"/>
  <sheetViews>
    <sheetView workbookViewId="0">
      <selection activeCell="Q10" sqref="Q10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3.140625" customWidth="1"/>
    <col min="5" max="5" width="12.71093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715</v>
      </c>
      <c r="B4" s="6"/>
      <c r="C4" s="6"/>
      <c r="D4" s="6" t="s">
        <v>10</v>
      </c>
      <c r="E4" s="6" t="s">
        <v>14</v>
      </c>
      <c r="F4" s="7">
        <v>160</v>
      </c>
      <c r="G4" s="26" t="s">
        <v>12</v>
      </c>
      <c r="H4" s="4" t="s">
        <v>18</v>
      </c>
    </row>
    <row r="5" spans="1:8">
      <c r="A5" s="5">
        <v>715</v>
      </c>
      <c r="B5" s="6"/>
      <c r="C5" s="6"/>
      <c r="D5" s="6" t="s">
        <v>21</v>
      </c>
      <c r="E5" s="6" t="s">
        <v>14</v>
      </c>
      <c r="F5" s="7">
        <v>55</v>
      </c>
      <c r="G5" s="26" t="s">
        <v>12</v>
      </c>
      <c r="H5" s="4" t="s">
        <v>18</v>
      </c>
    </row>
    <row r="6" spans="1:8">
      <c r="E6" s="12" t="s">
        <v>17</v>
      </c>
      <c r="F6" s="14">
        <f>SUM(F4:F5)</f>
        <v>215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>
      <selection activeCell="G9" sqref="G9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3.28515625" customWidth="1"/>
    <col min="5" max="5" width="11.28515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748</v>
      </c>
      <c r="B4" s="6"/>
      <c r="C4" s="6"/>
      <c r="D4" s="6" t="s">
        <v>10</v>
      </c>
      <c r="E4" s="6" t="s">
        <v>14</v>
      </c>
      <c r="F4" s="15">
        <v>767</v>
      </c>
      <c r="G4" s="26" t="s">
        <v>12</v>
      </c>
      <c r="H4" s="4" t="s">
        <v>18</v>
      </c>
    </row>
    <row r="5" spans="1:8">
      <c r="A5" s="5">
        <v>748</v>
      </c>
      <c r="B5" s="6"/>
      <c r="C5" s="6"/>
      <c r="D5" s="6" t="s">
        <v>22</v>
      </c>
      <c r="E5" s="6" t="s">
        <v>14</v>
      </c>
      <c r="F5" s="15">
        <v>99</v>
      </c>
      <c r="G5" s="26" t="s">
        <v>12</v>
      </c>
      <c r="H5" s="4" t="s">
        <v>18</v>
      </c>
    </row>
    <row r="6" spans="1:8">
      <c r="A6" s="5">
        <v>748</v>
      </c>
      <c r="B6" s="6"/>
      <c r="C6" s="6"/>
      <c r="D6" s="6" t="s">
        <v>24</v>
      </c>
      <c r="E6" s="6" t="s">
        <v>14</v>
      </c>
      <c r="F6" s="15">
        <v>150</v>
      </c>
      <c r="G6" s="26" t="s">
        <v>12</v>
      </c>
      <c r="H6" s="4" t="s">
        <v>18</v>
      </c>
    </row>
    <row r="7" spans="1:8">
      <c r="E7" s="12" t="s">
        <v>17</v>
      </c>
      <c r="F7" s="13">
        <f>SUM(F4:F6)</f>
        <v>1016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8"/>
  <sheetViews>
    <sheetView workbookViewId="0">
      <selection activeCell="F5" sqref="F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28515625" customWidth="1"/>
    <col min="5" max="5" width="12.425781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749</v>
      </c>
      <c r="B4" s="6"/>
      <c r="C4" s="6"/>
      <c r="D4" s="6" t="s">
        <v>10</v>
      </c>
      <c r="E4" s="6" t="s">
        <v>11</v>
      </c>
      <c r="F4" s="7">
        <v>460</v>
      </c>
      <c r="G4" s="26" t="s">
        <v>12</v>
      </c>
      <c r="H4" s="4" t="s">
        <v>18</v>
      </c>
    </row>
    <row r="5" spans="1:8">
      <c r="A5" s="5">
        <v>749</v>
      </c>
      <c r="B5" s="6"/>
      <c r="C5" s="6"/>
      <c r="D5" s="6" t="s">
        <v>10</v>
      </c>
      <c r="E5" s="6" t="s">
        <v>14</v>
      </c>
      <c r="F5" s="7">
        <v>1411</v>
      </c>
      <c r="G5" s="26" t="s">
        <v>12</v>
      </c>
      <c r="H5" s="4" t="s">
        <v>18</v>
      </c>
    </row>
    <row r="6" spans="1:8">
      <c r="A6" s="5">
        <v>749</v>
      </c>
      <c r="B6" s="6"/>
      <c r="C6" s="6"/>
      <c r="D6" s="6" t="s">
        <v>16</v>
      </c>
      <c r="E6" s="6" t="s">
        <v>14</v>
      </c>
      <c r="F6" s="7">
        <v>129</v>
      </c>
      <c r="G6" s="26" t="s">
        <v>12</v>
      </c>
      <c r="H6" s="4" t="s">
        <v>18</v>
      </c>
    </row>
    <row r="7" spans="1:8">
      <c r="A7" s="5">
        <v>749</v>
      </c>
      <c r="B7" s="6"/>
      <c r="C7" s="6"/>
      <c r="D7" s="6" t="s">
        <v>22</v>
      </c>
      <c r="E7" s="6" t="s">
        <v>14</v>
      </c>
      <c r="F7" s="7">
        <v>104</v>
      </c>
      <c r="G7" s="26" t="s">
        <v>12</v>
      </c>
      <c r="H7" s="4" t="s">
        <v>18</v>
      </c>
    </row>
    <row r="8" spans="1:8">
      <c r="E8" s="16" t="s">
        <v>17</v>
      </c>
      <c r="F8" s="17">
        <f>SUM(F4:F7)</f>
        <v>2104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7"/>
  <sheetViews>
    <sheetView workbookViewId="0">
      <selection activeCell="P25" sqref="P2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" customWidth="1"/>
    <col min="5" max="5" width="12.28515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759</v>
      </c>
      <c r="B4" s="6"/>
      <c r="C4" s="6"/>
      <c r="D4" s="6" t="s">
        <v>10</v>
      </c>
      <c r="E4" s="6" t="s">
        <v>11</v>
      </c>
      <c r="F4" s="15">
        <v>2070</v>
      </c>
      <c r="G4" s="26" t="s">
        <v>12</v>
      </c>
      <c r="H4" s="5" t="s">
        <v>18</v>
      </c>
    </row>
    <row r="5" spans="1:8">
      <c r="A5" s="5">
        <v>759</v>
      </c>
      <c r="B5" s="6"/>
      <c r="C5" s="6"/>
      <c r="D5" s="6" t="s">
        <v>10</v>
      </c>
      <c r="E5" s="6" t="s">
        <v>14</v>
      </c>
      <c r="F5" s="15">
        <v>543</v>
      </c>
      <c r="G5" s="26" t="s">
        <v>12</v>
      </c>
      <c r="H5" s="5" t="s">
        <v>18</v>
      </c>
    </row>
    <row r="6" spans="1:8">
      <c r="A6" s="5">
        <v>759</v>
      </c>
      <c r="B6" s="6"/>
      <c r="C6" s="6"/>
      <c r="D6" s="6" t="s">
        <v>22</v>
      </c>
      <c r="E6" s="6" t="s">
        <v>14</v>
      </c>
      <c r="F6" s="15">
        <v>200</v>
      </c>
      <c r="G6" s="26" t="s">
        <v>12</v>
      </c>
      <c r="H6" s="5" t="s">
        <v>18</v>
      </c>
    </row>
    <row r="7" spans="1:8">
      <c r="E7" s="12" t="s">
        <v>17</v>
      </c>
      <c r="F7" s="13">
        <f>SUM(F4:F6)</f>
        <v>2813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"/>
  <sheetViews>
    <sheetView workbookViewId="0">
      <selection activeCell="H10" sqref="H10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28515625" customWidth="1"/>
    <col min="5" max="5" width="11.425781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763</v>
      </c>
      <c r="B4" s="6"/>
      <c r="C4" s="6"/>
      <c r="D4" s="6" t="s">
        <v>10</v>
      </c>
      <c r="E4" s="6" t="s">
        <v>14</v>
      </c>
      <c r="F4" s="15">
        <v>301</v>
      </c>
      <c r="G4" s="26" t="s">
        <v>12</v>
      </c>
      <c r="H4" s="5" t="s">
        <v>18</v>
      </c>
    </row>
    <row r="5" spans="1:8">
      <c r="A5" s="5">
        <v>763</v>
      </c>
      <c r="B5" s="6"/>
      <c r="C5" s="6"/>
      <c r="D5" s="6" t="s">
        <v>22</v>
      </c>
      <c r="E5" s="6" t="s">
        <v>14</v>
      </c>
      <c r="F5" s="15">
        <v>1016</v>
      </c>
      <c r="G5" s="26" t="s">
        <v>12</v>
      </c>
      <c r="H5" s="5" t="s">
        <v>18</v>
      </c>
    </row>
    <row r="6" spans="1:8">
      <c r="E6" s="12" t="s">
        <v>17</v>
      </c>
      <c r="F6" s="13">
        <f>SUM(F4:F5)</f>
        <v>1317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7"/>
  <sheetViews>
    <sheetView workbookViewId="0">
      <selection activeCell="J1" sqref="J1:K1048576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28515625" customWidth="1"/>
    <col min="5" max="5" width="13.28515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764</v>
      </c>
      <c r="B4" s="6"/>
      <c r="C4" s="6"/>
      <c r="D4" s="6" t="s">
        <v>10</v>
      </c>
      <c r="E4" s="6" t="s">
        <v>34</v>
      </c>
      <c r="F4" s="15">
        <v>1184</v>
      </c>
      <c r="G4" s="26" t="s">
        <v>12</v>
      </c>
      <c r="H4" s="5" t="s">
        <v>18</v>
      </c>
    </row>
    <row r="5" spans="1:8">
      <c r="A5" s="5">
        <v>764</v>
      </c>
      <c r="B5" s="6"/>
      <c r="C5" s="6"/>
      <c r="D5" s="6" t="s">
        <v>21</v>
      </c>
      <c r="E5" s="6" t="s">
        <v>14</v>
      </c>
      <c r="F5" s="15">
        <v>64</v>
      </c>
      <c r="G5" s="26" t="s">
        <v>12</v>
      </c>
      <c r="H5" s="5" t="s">
        <v>18</v>
      </c>
    </row>
    <row r="6" spans="1:8">
      <c r="A6" s="5">
        <v>764</v>
      </c>
      <c r="B6" s="6"/>
      <c r="C6" s="6"/>
      <c r="D6" s="6" t="s">
        <v>16</v>
      </c>
      <c r="E6" s="6" t="s">
        <v>34</v>
      </c>
      <c r="F6" s="15">
        <v>78</v>
      </c>
      <c r="G6" s="26" t="s">
        <v>12</v>
      </c>
      <c r="H6" s="5" t="s">
        <v>18</v>
      </c>
    </row>
    <row r="7" spans="1:8">
      <c r="E7" s="12" t="s">
        <v>17</v>
      </c>
      <c r="F7" s="13">
        <f>SUM(F4:F6)</f>
        <v>1326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8"/>
  <sheetViews>
    <sheetView workbookViewId="0">
      <selection activeCell="H12" sqref="H12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3.85546875" customWidth="1"/>
    <col min="5" max="5" width="11.855468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765</v>
      </c>
      <c r="B4" s="6"/>
      <c r="C4" s="6"/>
      <c r="D4" s="6" t="s">
        <v>10</v>
      </c>
      <c r="E4" s="6" t="s">
        <v>11</v>
      </c>
      <c r="F4" s="15">
        <v>1171</v>
      </c>
      <c r="G4" s="26" t="s">
        <v>12</v>
      </c>
      <c r="H4" s="5" t="s">
        <v>18</v>
      </c>
    </row>
    <row r="5" spans="1:8">
      <c r="A5" s="5">
        <v>765</v>
      </c>
      <c r="B5" s="6"/>
      <c r="C5" s="6"/>
      <c r="D5" s="6" t="s">
        <v>10</v>
      </c>
      <c r="E5" s="6" t="s">
        <v>14</v>
      </c>
      <c r="F5" s="15">
        <v>1083</v>
      </c>
      <c r="G5" s="26" t="s">
        <v>12</v>
      </c>
      <c r="H5" s="5" t="s">
        <v>18</v>
      </c>
    </row>
    <row r="6" spans="1:8">
      <c r="A6" s="5">
        <v>765</v>
      </c>
      <c r="B6" s="6"/>
      <c r="C6" s="6"/>
      <c r="D6" s="6" t="s">
        <v>16</v>
      </c>
      <c r="E6" s="6" t="s">
        <v>14</v>
      </c>
      <c r="F6" s="15">
        <v>298</v>
      </c>
      <c r="G6" s="26" t="s">
        <v>12</v>
      </c>
      <c r="H6" s="5" t="s">
        <v>18</v>
      </c>
    </row>
    <row r="7" spans="1:8">
      <c r="A7" s="5">
        <v>765</v>
      </c>
      <c r="B7" s="6"/>
      <c r="C7" s="6"/>
      <c r="D7" s="6" t="s">
        <v>19</v>
      </c>
      <c r="E7" s="6" t="s">
        <v>14</v>
      </c>
      <c r="F7" s="15">
        <v>1230</v>
      </c>
      <c r="G7" s="26" t="s">
        <v>12</v>
      </c>
      <c r="H7" s="5" t="s">
        <v>18</v>
      </c>
    </row>
    <row r="8" spans="1:8">
      <c r="E8" s="12" t="s">
        <v>17</v>
      </c>
      <c r="F8" s="13">
        <f>SUM(F4:F7)</f>
        <v>3782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"/>
  <sheetViews>
    <sheetView workbookViewId="0">
      <selection activeCell="K28" sqref="K28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7109375" customWidth="1"/>
    <col min="5" max="5" width="11.140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766</v>
      </c>
      <c r="B4" s="6"/>
      <c r="C4" s="6"/>
      <c r="D4" s="6" t="s">
        <v>10</v>
      </c>
      <c r="E4" s="6" t="s">
        <v>14</v>
      </c>
      <c r="F4" s="7">
        <v>200</v>
      </c>
      <c r="G4" s="26" t="s">
        <v>12</v>
      </c>
      <c r="H4" s="5" t="s">
        <v>18</v>
      </c>
    </row>
    <row r="5" spans="1:8">
      <c r="A5" s="5">
        <v>766</v>
      </c>
      <c r="B5" s="6"/>
      <c r="C5" s="6"/>
      <c r="D5" s="6" t="s">
        <v>22</v>
      </c>
      <c r="E5" s="6" t="s">
        <v>14</v>
      </c>
      <c r="F5" s="7">
        <v>74</v>
      </c>
      <c r="G5" s="26" t="s">
        <v>12</v>
      </c>
      <c r="H5" s="5" t="s">
        <v>18</v>
      </c>
    </row>
    <row r="6" spans="1:8">
      <c r="A6" s="11"/>
      <c r="B6" s="11"/>
      <c r="C6" s="11"/>
      <c r="D6" s="11"/>
      <c r="E6" s="12" t="s">
        <v>17</v>
      </c>
      <c r="F6" s="14">
        <f>SUM(F4:F5)</f>
        <v>274</v>
      </c>
      <c r="G6" s="12"/>
      <c r="H6" s="1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"/>
  <sheetViews>
    <sheetView workbookViewId="0">
      <selection activeCell="G29" sqref="G29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5703125" customWidth="1"/>
    <col min="5" max="5" width="12.855468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821</v>
      </c>
      <c r="B4" s="6"/>
      <c r="C4" s="6"/>
      <c r="D4" s="6" t="s">
        <v>30</v>
      </c>
      <c r="E4" s="6" t="s">
        <v>14</v>
      </c>
      <c r="F4" s="7">
        <v>252</v>
      </c>
      <c r="G4" s="26" t="s">
        <v>12</v>
      </c>
      <c r="H4" s="5" t="s">
        <v>18</v>
      </c>
    </row>
    <row r="5" spans="1:8">
      <c r="E5" s="12" t="s">
        <v>17</v>
      </c>
      <c r="F5" s="14">
        <f>SUM(F4)</f>
        <v>252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8"/>
  <sheetViews>
    <sheetView workbookViewId="0">
      <selection activeCell="F5" sqref="F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4.140625" customWidth="1"/>
    <col min="5" max="5" width="11.71093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841</v>
      </c>
      <c r="B4" s="6"/>
      <c r="C4" s="6"/>
      <c r="D4" s="6" t="s">
        <v>10</v>
      </c>
      <c r="E4" s="6" t="s">
        <v>11</v>
      </c>
      <c r="F4" s="15">
        <v>11948</v>
      </c>
      <c r="G4" s="26" t="s">
        <v>12</v>
      </c>
      <c r="H4" s="5" t="s">
        <v>18</v>
      </c>
    </row>
    <row r="5" spans="1:8">
      <c r="A5" s="5">
        <v>841</v>
      </c>
      <c r="B5" s="6"/>
      <c r="C5" s="6"/>
      <c r="D5" s="6" t="s">
        <v>22</v>
      </c>
      <c r="E5" s="6" t="s">
        <v>14</v>
      </c>
      <c r="F5" s="15">
        <v>354</v>
      </c>
      <c r="G5" s="26" t="s">
        <v>12</v>
      </c>
      <c r="H5" s="5" t="s">
        <v>18</v>
      </c>
    </row>
    <row r="6" spans="1:8">
      <c r="A6" s="5">
        <v>841</v>
      </c>
      <c r="B6" s="6"/>
      <c r="C6" s="6"/>
      <c r="D6" s="6" t="s">
        <v>16</v>
      </c>
      <c r="E6" s="6" t="s">
        <v>14</v>
      </c>
      <c r="F6" s="15">
        <v>677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12979</v>
      </c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"/>
  <sheetViews>
    <sheetView workbookViewId="0">
      <selection activeCell="F5" sqref="F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3.5703125" customWidth="1"/>
    <col min="5" max="5" width="11.28515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845</v>
      </c>
      <c r="B4" s="6"/>
      <c r="C4" s="6"/>
      <c r="D4" s="6" t="s">
        <v>22</v>
      </c>
      <c r="E4" s="6" t="s">
        <v>14</v>
      </c>
      <c r="F4" s="7">
        <v>76</v>
      </c>
      <c r="G4" s="26" t="s">
        <v>12</v>
      </c>
      <c r="H4" s="5" t="s">
        <v>18</v>
      </c>
    </row>
    <row r="5" spans="1:8">
      <c r="E5" s="12" t="s">
        <v>17</v>
      </c>
      <c r="F5" s="14">
        <f>SUM(F4)</f>
        <v>76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7"/>
  <sheetViews>
    <sheetView workbookViewId="0">
      <selection activeCell="F6" sqref="F6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1.7109375" customWidth="1"/>
    <col min="5" max="5" width="11.2851562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855</v>
      </c>
      <c r="B4" s="6"/>
      <c r="C4" s="6"/>
      <c r="D4" s="6" t="s">
        <v>10</v>
      </c>
      <c r="E4" s="6" t="s">
        <v>14</v>
      </c>
      <c r="F4" s="15">
        <v>1355</v>
      </c>
      <c r="G4" s="26" t="s">
        <v>12</v>
      </c>
      <c r="H4" s="5" t="s">
        <v>18</v>
      </c>
    </row>
    <row r="5" spans="1:8">
      <c r="A5" s="5">
        <v>855</v>
      </c>
      <c r="B5" s="6"/>
      <c r="C5" s="6"/>
      <c r="D5" s="6" t="s">
        <v>10</v>
      </c>
      <c r="E5" s="6" t="s">
        <v>26</v>
      </c>
      <c r="F5" s="15">
        <v>174</v>
      </c>
      <c r="G5" s="26" t="s">
        <v>12</v>
      </c>
      <c r="H5" s="5" t="s">
        <v>18</v>
      </c>
    </row>
    <row r="6" spans="1:8">
      <c r="A6" s="5">
        <v>855</v>
      </c>
      <c r="B6" s="6"/>
      <c r="C6" s="6"/>
      <c r="D6" s="6" t="s">
        <v>21</v>
      </c>
      <c r="E6" s="6" t="s">
        <v>14</v>
      </c>
      <c r="F6" s="15">
        <v>64</v>
      </c>
      <c r="G6" s="26" t="s">
        <v>12</v>
      </c>
      <c r="H6" s="5" t="s">
        <v>18</v>
      </c>
    </row>
    <row r="7" spans="1:8">
      <c r="E7" s="12" t="s">
        <v>17</v>
      </c>
      <c r="F7" s="13">
        <f>SUM(F4:F6)</f>
        <v>1593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7"/>
  <sheetViews>
    <sheetView workbookViewId="0">
      <selection activeCell="F5" sqref="F5"/>
    </sheetView>
  </sheetViews>
  <sheetFormatPr defaultRowHeight="15"/>
  <cols>
    <col min="1" max="1" width="12" customWidth="1"/>
    <col min="2" max="2" width="10" customWidth="1"/>
    <col min="3" max="3" width="10.28515625" customWidth="1"/>
    <col min="4" max="4" width="13.7109375" customWidth="1"/>
    <col min="5" max="5" width="10.85546875" customWidth="1"/>
    <col min="7" max="7" width="12.7109375" customWidth="1"/>
    <col min="8" max="8" width="9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 ht="16.5" customHeight="1">
      <c r="A2" s="31" t="s">
        <v>1</v>
      </c>
      <c r="B2" s="31"/>
      <c r="C2" s="31"/>
      <c r="D2" s="31"/>
      <c r="E2" s="31"/>
      <c r="F2" s="31"/>
      <c r="G2" s="31"/>
      <c r="H2" s="32"/>
    </row>
    <row r="3" spans="1:8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863</v>
      </c>
      <c r="B4" s="6"/>
      <c r="C4" s="6"/>
      <c r="D4" s="6" t="s">
        <v>10</v>
      </c>
      <c r="E4" s="6" t="s">
        <v>11</v>
      </c>
      <c r="F4" s="15">
        <v>4084</v>
      </c>
      <c r="G4" s="26" t="s">
        <v>12</v>
      </c>
      <c r="H4" s="5" t="s">
        <v>18</v>
      </c>
    </row>
    <row r="5" spans="1:8">
      <c r="A5" s="5">
        <v>863</v>
      </c>
      <c r="B5" s="6"/>
      <c r="C5" s="6"/>
      <c r="D5" s="6" t="s">
        <v>10</v>
      </c>
      <c r="E5" s="6" t="s">
        <v>14</v>
      </c>
      <c r="F5" s="15">
        <v>1896</v>
      </c>
      <c r="G5" s="26" t="s">
        <v>12</v>
      </c>
      <c r="H5" s="5" t="s">
        <v>18</v>
      </c>
    </row>
    <row r="6" spans="1:8">
      <c r="A6" s="5">
        <v>863</v>
      </c>
      <c r="B6" s="6"/>
      <c r="C6" s="6"/>
      <c r="D6" s="6" t="s">
        <v>22</v>
      </c>
      <c r="E6" s="6" t="s">
        <v>14</v>
      </c>
      <c r="F6" s="15">
        <v>256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6236</v>
      </c>
      <c r="G7" s="11"/>
      <c r="H7" s="1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7"/>
  <sheetViews>
    <sheetView workbookViewId="0">
      <selection activeCell="F5" sqref="F5"/>
    </sheetView>
  </sheetViews>
  <sheetFormatPr defaultRowHeight="15"/>
  <cols>
    <col min="4" max="4" width="22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864</v>
      </c>
      <c r="B4" s="6"/>
      <c r="C4" s="6"/>
      <c r="D4" s="6" t="s">
        <v>10</v>
      </c>
      <c r="E4" s="6" t="s">
        <v>11</v>
      </c>
      <c r="F4" s="15">
        <v>1952</v>
      </c>
      <c r="G4" s="26" t="s">
        <v>12</v>
      </c>
      <c r="H4" s="5" t="s">
        <v>18</v>
      </c>
    </row>
    <row r="5" spans="1:8">
      <c r="A5" s="5">
        <v>864</v>
      </c>
      <c r="B5" s="6"/>
      <c r="C5" s="6"/>
      <c r="D5" s="6" t="s">
        <v>10</v>
      </c>
      <c r="E5" s="6" t="s">
        <v>14</v>
      </c>
      <c r="F5" s="15">
        <v>766</v>
      </c>
      <c r="G5" s="26" t="s">
        <v>12</v>
      </c>
      <c r="H5" s="5" t="s">
        <v>18</v>
      </c>
    </row>
    <row r="6" spans="1:8">
      <c r="A6" s="5">
        <v>864</v>
      </c>
      <c r="B6" s="6"/>
      <c r="C6" s="6"/>
      <c r="D6" s="6" t="s">
        <v>16</v>
      </c>
      <c r="E6" s="6" t="s">
        <v>14</v>
      </c>
      <c r="F6" s="15">
        <v>550</v>
      </c>
      <c r="G6" s="26" t="s">
        <v>12</v>
      </c>
      <c r="H6" s="5" t="s">
        <v>18</v>
      </c>
    </row>
    <row r="7" spans="1:8">
      <c r="A7" s="5">
        <v>864</v>
      </c>
      <c r="B7" s="6"/>
      <c r="C7" s="6"/>
      <c r="D7" s="6" t="s">
        <v>36</v>
      </c>
      <c r="E7" s="6" t="s">
        <v>14</v>
      </c>
      <c r="F7" s="15">
        <v>1426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4694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3"/>
  <sheetViews>
    <sheetView workbookViewId="0">
      <selection activeCell="F5" sqref="F5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866</v>
      </c>
      <c r="B4" s="6"/>
      <c r="C4" s="6"/>
      <c r="D4" s="6" t="s">
        <v>37</v>
      </c>
      <c r="E4" s="6" t="s">
        <v>14</v>
      </c>
      <c r="F4" s="15">
        <v>208</v>
      </c>
      <c r="G4" s="26" t="s">
        <v>12</v>
      </c>
      <c r="H4" s="5" t="s">
        <v>18</v>
      </c>
    </row>
    <row r="5" spans="1:8">
      <c r="A5" s="5">
        <v>866</v>
      </c>
      <c r="B5" s="6"/>
      <c r="C5" s="6"/>
      <c r="D5" s="6" t="s">
        <v>10</v>
      </c>
      <c r="E5" s="6" t="s">
        <v>14</v>
      </c>
      <c r="F5" s="15">
        <v>1926</v>
      </c>
      <c r="G5" s="26" t="s">
        <v>12</v>
      </c>
      <c r="H5" s="5" t="s">
        <v>18</v>
      </c>
    </row>
    <row r="6" spans="1:8">
      <c r="A6" s="5">
        <v>866</v>
      </c>
      <c r="B6" s="6"/>
      <c r="C6" s="6"/>
      <c r="D6" s="6" t="s">
        <v>16</v>
      </c>
      <c r="E6" s="6" t="s">
        <v>14</v>
      </c>
      <c r="F6" s="15">
        <v>1456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3590</v>
      </c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</sheetData>
  <mergeCells count="2">
    <mergeCell ref="A1:H1"/>
    <mergeCell ref="A2:H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79"/>
  <sheetViews>
    <sheetView workbookViewId="0">
      <selection activeCell="F4" sqref="F4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888</v>
      </c>
      <c r="B4" s="6"/>
      <c r="C4" s="6"/>
      <c r="D4" s="6" t="s">
        <v>10</v>
      </c>
      <c r="E4" s="6" t="s">
        <v>11</v>
      </c>
      <c r="F4" s="15">
        <v>260</v>
      </c>
      <c r="G4" s="26" t="s">
        <v>12</v>
      </c>
      <c r="H4" s="5" t="s">
        <v>18</v>
      </c>
    </row>
    <row r="5" spans="1:8">
      <c r="A5" s="5">
        <v>888</v>
      </c>
      <c r="B5" s="6"/>
      <c r="C5" s="6"/>
      <c r="D5" s="6" t="s">
        <v>10</v>
      </c>
      <c r="E5" s="6" t="s">
        <v>14</v>
      </c>
      <c r="F5" s="15">
        <v>263</v>
      </c>
      <c r="G5" s="26" t="s">
        <v>12</v>
      </c>
      <c r="H5" s="5" t="s">
        <v>18</v>
      </c>
    </row>
    <row r="6" spans="1:8">
      <c r="A6" s="5">
        <v>888</v>
      </c>
      <c r="B6" s="6"/>
      <c r="C6" s="6"/>
      <c r="D6" s="6" t="s">
        <v>21</v>
      </c>
      <c r="E6" s="6" t="s">
        <v>14</v>
      </c>
      <c r="F6" s="15">
        <v>34</v>
      </c>
      <c r="G6" s="26" t="s">
        <v>12</v>
      </c>
      <c r="H6" s="5" t="s">
        <v>18</v>
      </c>
    </row>
    <row r="7" spans="1:8">
      <c r="A7" s="5">
        <v>888</v>
      </c>
      <c r="B7" s="6"/>
      <c r="C7" s="6"/>
      <c r="D7" s="6" t="s">
        <v>24</v>
      </c>
      <c r="E7" s="6" t="s">
        <v>14</v>
      </c>
      <c r="F7" s="15">
        <v>140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SUM(F4+F5+F6+F7)</f>
        <v>697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</sheetData>
  <mergeCells count="2">
    <mergeCell ref="A1:H1"/>
    <mergeCell ref="A2:H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78"/>
  <sheetViews>
    <sheetView workbookViewId="0">
      <selection activeCell="P17" sqref="P17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890</v>
      </c>
      <c r="B4" s="6"/>
      <c r="C4" s="6"/>
      <c r="D4" s="6" t="s">
        <v>10</v>
      </c>
      <c r="E4" s="6" t="s">
        <v>14</v>
      </c>
      <c r="F4" s="7">
        <v>251</v>
      </c>
      <c r="G4" s="26" t="s">
        <v>12</v>
      </c>
      <c r="H4" s="5" t="s">
        <v>18</v>
      </c>
    </row>
    <row r="5" spans="1:8">
      <c r="A5" s="5">
        <v>890</v>
      </c>
      <c r="B5" s="6"/>
      <c r="C5" s="6"/>
      <c r="D5" s="6" t="s">
        <v>29</v>
      </c>
      <c r="E5" s="6" t="s">
        <v>14</v>
      </c>
      <c r="F5" s="7">
        <v>147</v>
      </c>
      <c r="G5" s="26" t="s">
        <v>12</v>
      </c>
      <c r="H5" s="5" t="s">
        <v>18</v>
      </c>
    </row>
    <row r="6" spans="1:8">
      <c r="A6" s="11"/>
      <c r="B6" s="11"/>
      <c r="C6" s="11"/>
      <c r="D6" s="11"/>
      <c r="E6" s="12" t="s">
        <v>17</v>
      </c>
      <c r="F6" s="14">
        <f>SUM(F4:F5)</f>
        <v>398</v>
      </c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</sheetData>
  <mergeCells count="2">
    <mergeCell ref="A1:H1"/>
    <mergeCell ref="A2:H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76"/>
  <sheetViews>
    <sheetView workbookViewId="0">
      <selection activeCell="H10" sqref="H10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1104</v>
      </c>
      <c r="B4" s="6"/>
      <c r="C4" s="6"/>
      <c r="D4" s="6" t="s">
        <v>10</v>
      </c>
      <c r="E4" s="6" t="s">
        <v>14</v>
      </c>
      <c r="F4" s="7">
        <v>545</v>
      </c>
      <c r="G4" s="26" t="s">
        <v>12</v>
      </c>
      <c r="H4" s="5" t="s">
        <v>18</v>
      </c>
    </row>
    <row r="5" spans="1:8">
      <c r="A5" s="18">
        <v>1104</v>
      </c>
      <c r="B5" s="6"/>
      <c r="C5" s="6"/>
      <c r="D5" s="6" t="s">
        <v>16</v>
      </c>
      <c r="E5" s="6" t="s">
        <v>14</v>
      </c>
      <c r="F5" s="7">
        <v>118</v>
      </c>
      <c r="G5" s="26" t="s">
        <v>12</v>
      </c>
      <c r="H5" s="5" t="s">
        <v>18</v>
      </c>
    </row>
    <row r="6" spans="1:8">
      <c r="A6" s="18">
        <v>1104</v>
      </c>
      <c r="B6" s="6"/>
      <c r="C6" s="6"/>
      <c r="D6" s="6" t="s">
        <v>21</v>
      </c>
      <c r="E6" s="6" t="s">
        <v>14</v>
      </c>
      <c r="F6" s="7">
        <v>49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4">
        <f>SUM(F4:F6)</f>
        <v>712</v>
      </c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</sheetData>
  <mergeCells count="2">
    <mergeCell ref="A1:H1"/>
    <mergeCell ref="A2:H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76"/>
  <sheetViews>
    <sheetView workbookViewId="0">
      <selection activeCell="N8" sqref="N8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1134</v>
      </c>
      <c r="B4" s="6"/>
      <c r="C4" s="6"/>
      <c r="D4" s="6" t="s">
        <v>10</v>
      </c>
      <c r="E4" s="6" t="s">
        <v>14</v>
      </c>
      <c r="F4" s="15">
        <v>1035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3">
        <f>SUM(F4)</f>
        <v>1035</v>
      </c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</sheetData>
  <mergeCells count="2">
    <mergeCell ref="A1:H1"/>
    <mergeCell ref="A2:H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0"/>
  <sheetViews>
    <sheetView workbookViewId="0">
      <selection activeCell="H8" sqref="H8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1424</v>
      </c>
      <c r="B4" s="6"/>
      <c r="C4" s="6"/>
      <c r="D4" s="6" t="s">
        <v>33</v>
      </c>
      <c r="E4" s="6" t="s">
        <v>14</v>
      </c>
      <c r="F4" s="15">
        <v>1485</v>
      </c>
      <c r="G4" s="26" t="s">
        <v>12</v>
      </c>
      <c r="H4" s="5" t="s">
        <v>18</v>
      </c>
    </row>
    <row r="5" spans="1:8">
      <c r="A5" s="18">
        <v>1424</v>
      </c>
      <c r="B5" s="6"/>
      <c r="C5" s="6"/>
      <c r="D5" s="6" t="s">
        <v>22</v>
      </c>
      <c r="E5" s="6" t="s">
        <v>14</v>
      </c>
      <c r="F5" s="15">
        <v>337</v>
      </c>
      <c r="G5" s="26" t="s">
        <v>12</v>
      </c>
      <c r="H5" s="5" t="s">
        <v>18</v>
      </c>
    </row>
    <row r="6" spans="1:8">
      <c r="A6" s="18">
        <v>1424</v>
      </c>
      <c r="B6" s="6"/>
      <c r="C6" s="6"/>
      <c r="D6" s="6" t="s">
        <v>16</v>
      </c>
      <c r="E6" s="6" t="s">
        <v>14</v>
      </c>
      <c r="F6" s="15">
        <v>209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2031</v>
      </c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79"/>
  <sheetViews>
    <sheetView workbookViewId="0">
      <selection activeCell="L28" sqref="L28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1557</v>
      </c>
      <c r="B4" s="6"/>
      <c r="C4" s="6"/>
      <c r="D4" s="6" t="s">
        <v>10</v>
      </c>
      <c r="E4" s="6" t="s">
        <v>11</v>
      </c>
      <c r="F4" s="15">
        <v>17638</v>
      </c>
      <c r="G4" s="26" t="s">
        <v>12</v>
      </c>
      <c r="H4" s="5" t="s">
        <v>18</v>
      </c>
    </row>
    <row r="5" spans="1:8">
      <c r="A5" s="18">
        <v>1557</v>
      </c>
      <c r="B5" s="6"/>
      <c r="C5" s="6"/>
      <c r="D5" s="6" t="s">
        <v>30</v>
      </c>
      <c r="E5" s="6" t="s">
        <v>14</v>
      </c>
      <c r="F5" s="15">
        <v>731</v>
      </c>
      <c r="G5" s="26" t="s">
        <v>12</v>
      </c>
      <c r="H5" s="5" t="s">
        <v>18</v>
      </c>
    </row>
    <row r="6" spans="1:8">
      <c r="A6" s="18">
        <v>1557</v>
      </c>
      <c r="B6" s="6"/>
      <c r="C6" s="6"/>
      <c r="D6" s="6" t="s">
        <v>16</v>
      </c>
      <c r="E6" s="6" t="s">
        <v>14</v>
      </c>
      <c r="F6" s="15">
        <v>65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18434</v>
      </c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</sheetData>
  <mergeCells count="2">
    <mergeCell ref="A1:H1"/>
    <mergeCell ref="A2:H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74"/>
  <sheetViews>
    <sheetView workbookViewId="0">
      <selection activeCell="P7" sqref="P7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1576</v>
      </c>
      <c r="B4" s="6"/>
      <c r="C4" s="6"/>
      <c r="D4" s="6" t="s">
        <v>10</v>
      </c>
      <c r="E4" s="6" t="s">
        <v>11</v>
      </c>
      <c r="F4" s="15">
        <v>7573</v>
      </c>
      <c r="G4" s="26" t="s">
        <v>12</v>
      </c>
      <c r="H4" s="5" t="s">
        <v>18</v>
      </c>
    </row>
    <row r="5" spans="1:8">
      <c r="A5" s="18">
        <v>1576</v>
      </c>
      <c r="B5" s="6"/>
      <c r="C5" s="6"/>
      <c r="D5" s="6" t="s">
        <v>10</v>
      </c>
      <c r="E5" s="6" t="s">
        <v>14</v>
      </c>
      <c r="F5" s="15">
        <v>557</v>
      </c>
      <c r="G5" s="26" t="s">
        <v>12</v>
      </c>
      <c r="H5" s="5" t="s">
        <v>18</v>
      </c>
    </row>
    <row r="6" spans="1:8">
      <c r="A6" s="18">
        <v>1576</v>
      </c>
      <c r="B6" s="6"/>
      <c r="C6" s="6"/>
      <c r="D6" s="6" t="s">
        <v>30</v>
      </c>
      <c r="E6" s="6" t="s">
        <v>14</v>
      </c>
      <c r="F6" s="15">
        <v>929</v>
      </c>
      <c r="G6" s="26" t="s">
        <v>12</v>
      </c>
      <c r="H6" s="5" t="s">
        <v>18</v>
      </c>
    </row>
    <row r="7" spans="1:8">
      <c r="A7" s="18">
        <v>1576</v>
      </c>
      <c r="B7" s="6"/>
      <c r="C7" s="6"/>
      <c r="D7" s="6" t="s">
        <v>16</v>
      </c>
      <c r="E7" s="6" t="s">
        <v>14</v>
      </c>
      <c r="F7" s="15">
        <v>343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9402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</sheetData>
  <mergeCells count="2">
    <mergeCell ref="A1:H1"/>
    <mergeCell ref="A2:H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79"/>
  <sheetViews>
    <sheetView workbookViewId="0">
      <selection activeCell="N31" sqref="N31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1581</v>
      </c>
      <c r="B4" s="6"/>
      <c r="C4" s="6"/>
      <c r="D4" s="6" t="s">
        <v>10</v>
      </c>
      <c r="E4" s="6" t="s">
        <v>11</v>
      </c>
      <c r="F4" s="15">
        <v>19825</v>
      </c>
      <c r="G4" s="26" t="s">
        <v>12</v>
      </c>
      <c r="H4" s="5" t="s">
        <v>18</v>
      </c>
    </row>
    <row r="5" spans="1:8">
      <c r="A5" s="18">
        <v>1581</v>
      </c>
      <c r="B5" s="6"/>
      <c r="C5" s="6"/>
      <c r="D5" s="6" t="s">
        <v>16</v>
      </c>
      <c r="E5" s="6" t="s">
        <v>14</v>
      </c>
      <c r="F5" s="15">
        <v>818</v>
      </c>
      <c r="G5" s="26" t="s">
        <v>12</v>
      </c>
      <c r="H5" s="5" t="s">
        <v>18</v>
      </c>
    </row>
    <row r="6" spans="1:8">
      <c r="A6" s="18">
        <v>1581</v>
      </c>
      <c r="B6" s="6"/>
      <c r="C6" s="6"/>
      <c r="D6" s="6" t="s">
        <v>22</v>
      </c>
      <c r="E6" s="6" t="s">
        <v>14</v>
      </c>
      <c r="F6" s="15">
        <v>487</v>
      </c>
      <c r="G6" s="26" t="s">
        <v>12</v>
      </c>
      <c r="H6" s="5" t="s">
        <v>18</v>
      </c>
    </row>
    <row r="7" spans="1:8">
      <c r="A7" s="18">
        <v>1581</v>
      </c>
      <c r="B7" s="6"/>
      <c r="C7" s="6"/>
      <c r="D7" s="6" t="s">
        <v>10</v>
      </c>
      <c r="E7" s="6" t="s">
        <v>14</v>
      </c>
      <c r="F7" s="15">
        <v>2332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23462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80"/>
  <sheetViews>
    <sheetView workbookViewId="0">
      <selection activeCell="F5" sqref="F5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1601</v>
      </c>
      <c r="B4" s="6"/>
      <c r="C4" s="6"/>
      <c r="D4" s="6" t="s">
        <v>10</v>
      </c>
      <c r="E4" s="6" t="s">
        <v>11</v>
      </c>
      <c r="F4" s="15">
        <v>9935</v>
      </c>
      <c r="G4" s="26" t="s">
        <v>12</v>
      </c>
      <c r="H4" s="5" t="s">
        <v>18</v>
      </c>
    </row>
    <row r="5" spans="1:8">
      <c r="A5" s="18">
        <v>1601</v>
      </c>
      <c r="B5" s="6"/>
      <c r="C5" s="6"/>
      <c r="D5" s="6" t="s">
        <v>10</v>
      </c>
      <c r="E5" s="6" t="s">
        <v>14</v>
      </c>
      <c r="F5" s="15">
        <v>747</v>
      </c>
      <c r="G5" s="26" t="s">
        <v>12</v>
      </c>
      <c r="H5" s="5" t="s">
        <v>18</v>
      </c>
    </row>
    <row r="6" spans="1:8">
      <c r="A6" s="18">
        <v>1601</v>
      </c>
      <c r="B6" s="6"/>
      <c r="C6" s="6"/>
      <c r="D6" s="6" t="s">
        <v>30</v>
      </c>
      <c r="E6" s="6" t="s">
        <v>14</v>
      </c>
      <c r="F6" s="15">
        <v>374</v>
      </c>
      <c r="G6" s="26" t="s">
        <v>12</v>
      </c>
      <c r="H6" s="5" t="s">
        <v>18</v>
      </c>
    </row>
    <row r="7" spans="1:8">
      <c r="A7" s="18">
        <v>1601</v>
      </c>
      <c r="B7" s="6"/>
      <c r="C7" s="6"/>
      <c r="D7" s="6" t="s">
        <v>16</v>
      </c>
      <c r="E7" s="6" t="s">
        <v>14</v>
      </c>
      <c r="F7" s="15">
        <v>350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11406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80"/>
  <sheetViews>
    <sheetView workbookViewId="0">
      <selection activeCell="F5" sqref="F5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1685</v>
      </c>
      <c r="B4" s="6"/>
      <c r="C4" s="6"/>
      <c r="D4" s="6" t="s">
        <v>10</v>
      </c>
      <c r="E4" s="6" t="s">
        <v>11</v>
      </c>
      <c r="F4" s="15">
        <v>1560</v>
      </c>
      <c r="G4" s="26" t="s">
        <v>12</v>
      </c>
      <c r="H4" s="5" t="s">
        <v>18</v>
      </c>
    </row>
    <row r="5" spans="1:8">
      <c r="A5" s="18">
        <v>1685</v>
      </c>
      <c r="B5" s="6"/>
      <c r="C5" s="6"/>
      <c r="D5" s="6" t="s">
        <v>10</v>
      </c>
      <c r="E5" s="6" t="s">
        <v>14</v>
      </c>
      <c r="F5" s="15">
        <v>1314</v>
      </c>
      <c r="G5" s="26" t="s">
        <v>12</v>
      </c>
      <c r="H5" s="5" t="s">
        <v>18</v>
      </c>
    </row>
    <row r="6" spans="1:8">
      <c r="A6" s="18">
        <v>1685</v>
      </c>
      <c r="B6" s="6"/>
      <c r="C6" s="6"/>
      <c r="D6" s="6" t="s">
        <v>22</v>
      </c>
      <c r="E6" s="6" t="s">
        <v>14</v>
      </c>
      <c r="F6" s="15">
        <v>187</v>
      </c>
      <c r="G6" s="26" t="s">
        <v>12</v>
      </c>
      <c r="H6" s="5" t="s">
        <v>18</v>
      </c>
    </row>
    <row r="7" spans="1:8">
      <c r="A7" s="18">
        <v>1685</v>
      </c>
      <c r="B7" s="6"/>
      <c r="C7" s="6"/>
      <c r="D7" s="6" t="s">
        <v>16</v>
      </c>
      <c r="E7" s="6" t="s">
        <v>14</v>
      </c>
      <c r="F7" s="15">
        <v>134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3195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80"/>
  <sheetViews>
    <sheetView workbookViewId="0">
      <selection activeCell="M13" sqref="M13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1730</v>
      </c>
      <c r="B4" s="6"/>
      <c r="C4" s="6"/>
      <c r="D4" s="6" t="s">
        <v>10</v>
      </c>
      <c r="E4" s="6" t="s">
        <v>11</v>
      </c>
      <c r="F4" s="15">
        <v>1879</v>
      </c>
      <c r="G4" s="26" t="s">
        <v>12</v>
      </c>
      <c r="H4" s="5" t="s">
        <v>18</v>
      </c>
    </row>
    <row r="5" spans="1:8">
      <c r="A5" s="18">
        <v>1730</v>
      </c>
      <c r="B5" s="6"/>
      <c r="C5" s="6"/>
      <c r="D5" s="6" t="s">
        <v>10</v>
      </c>
      <c r="E5" s="6" t="s">
        <v>14</v>
      </c>
      <c r="F5" s="15">
        <v>169</v>
      </c>
      <c r="G5" s="26" t="s">
        <v>12</v>
      </c>
      <c r="H5" s="5" t="s">
        <v>18</v>
      </c>
    </row>
    <row r="6" spans="1:8">
      <c r="A6" s="18">
        <v>1730</v>
      </c>
      <c r="B6" s="6"/>
      <c r="C6" s="6"/>
      <c r="D6" s="6" t="s">
        <v>16</v>
      </c>
      <c r="E6" s="6" t="s">
        <v>14</v>
      </c>
      <c r="F6" s="15">
        <v>122</v>
      </c>
      <c r="G6" s="26" t="s">
        <v>12</v>
      </c>
      <c r="H6" s="5" t="s">
        <v>18</v>
      </c>
    </row>
    <row r="7" spans="1:8">
      <c r="A7" s="18">
        <v>1730</v>
      </c>
      <c r="B7" s="6"/>
      <c r="C7" s="6"/>
      <c r="D7" s="6" t="s">
        <v>22</v>
      </c>
      <c r="E7" s="6" t="s">
        <v>14</v>
      </c>
      <c r="F7" s="15">
        <v>68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2238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78"/>
  <sheetViews>
    <sheetView workbookViewId="0">
      <selection activeCell="H11" sqref="H11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1773</v>
      </c>
      <c r="B4" s="6"/>
      <c r="C4" s="6"/>
      <c r="D4" s="6" t="s">
        <v>22</v>
      </c>
      <c r="E4" s="6" t="s">
        <v>14</v>
      </c>
      <c r="F4" s="15">
        <v>585</v>
      </c>
      <c r="G4" s="26" t="s">
        <v>12</v>
      </c>
      <c r="H4" s="5" t="s">
        <v>18</v>
      </c>
    </row>
    <row r="5" spans="1:8">
      <c r="A5" s="18">
        <v>1773</v>
      </c>
      <c r="B5" s="6"/>
      <c r="C5" s="6"/>
      <c r="D5" s="6" t="s">
        <v>16</v>
      </c>
      <c r="E5" s="6" t="s">
        <v>14</v>
      </c>
      <c r="F5" s="15">
        <v>556</v>
      </c>
      <c r="G5" s="26" t="s">
        <v>12</v>
      </c>
      <c r="H5" s="5" t="s">
        <v>18</v>
      </c>
    </row>
    <row r="6" spans="1:8">
      <c r="A6" s="11"/>
      <c r="B6" s="11"/>
      <c r="C6" s="11"/>
      <c r="D6" s="11"/>
      <c r="E6" s="12" t="s">
        <v>17</v>
      </c>
      <c r="F6" s="13">
        <f>SUM(F4:F5)</f>
        <v>1141</v>
      </c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78"/>
  <sheetViews>
    <sheetView workbookViewId="0">
      <selection activeCell="P11" sqref="P11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1835</v>
      </c>
      <c r="B4" s="6"/>
      <c r="C4" s="6"/>
      <c r="D4" s="6" t="s">
        <v>10</v>
      </c>
      <c r="E4" s="6" t="s">
        <v>14</v>
      </c>
      <c r="F4" s="7">
        <v>288</v>
      </c>
      <c r="G4" s="26" t="s">
        <v>12</v>
      </c>
      <c r="H4" s="5" t="s">
        <v>18</v>
      </c>
    </row>
    <row r="5" spans="1:8">
      <c r="A5" s="18">
        <v>1835</v>
      </c>
      <c r="B5" s="6"/>
      <c r="C5" s="6"/>
      <c r="D5" s="6" t="s">
        <v>21</v>
      </c>
      <c r="E5" s="6" t="s">
        <v>14</v>
      </c>
      <c r="F5" s="7">
        <v>72</v>
      </c>
      <c r="G5" s="26" t="s">
        <v>12</v>
      </c>
      <c r="H5" s="5" t="s">
        <v>18</v>
      </c>
    </row>
    <row r="6" spans="1:8">
      <c r="A6" s="11"/>
      <c r="B6" s="11"/>
      <c r="C6" s="11"/>
      <c r="D6" s="11"/>
      <c r="E6" s="12" t="s">
        <v>17</v>
      </c>
      <c r="F6" s="14">
        <f>SUM(F4:F5)</f>
        <v>360</v>
      </c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80"/>
  <sheetViews>
    <sheetView workbookViewId="0">
      <selection activeCell="F5" sqref="F5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1864</v>
      </c>
      <c r="B4" s="6"/>
      <c r="C4" s="6"/>
      <c r="D4" s="6" t="s">
        <v>10</v>
      </c>
      <c r="E4" s="6" t="s">
        <v>11</v>
      </c>
      <c r="F4" s="15">
        <v>1070</v>
      </c>
      <c r="G4" s="26" t="s">
        <v>12</v>
      </c>
      <c r="H4" s="5" t="s">
        <v>18</v>
      </c>
    </row>
    <row r="5" spans="1:8">
      <c r="A5" s="18">
        <v>1864</v>
      </c>
      <c r="B5" s="6"/>
      <c r="C5" s="6"/>
      <c r="D5" s="6" t="s">
        <v>10</v>
      </c>
      <c r="E5" s="6" t="s">
        <v>14</v>
      </c>
      <c r="F5" s="15">
        <v>5028</v>
      </c>
      <c r="G5" s="26" t="s">
        <v>12</v>
      </c>
      <c r="H5" s="5" t="s">
        <v>18</v>
      </c>
    </row>
    <row r="6" spans="1:8">
      <c r="A6" s="18">
        <v>1864</v>
      </c>
      <c r="B6" s="6"/>
      <c r="C6" s="6"/>
      <c r="D6" s="6" t="s">
        <v>16</v>
      </c>
      <c r="E6" s="6" t="s">
        <v>11</v>
      </c>
      <c r="F6" s="15">
        <v>262</v>
      </c>
      <c r="G6" s="26" t="s">
        <v>12</v>
      </c>
      <c r="H6" s="5" t="s">
        <v>18</v>
      </c>
    </row>
    <row r="7" spans="1:8">
      <c r="A7" s="18">
        <v>1864</v>
      </c>
      <c r="B7" s="6"/>
      <c r="C7" s="6"/>
      <c r="D7" s="6" t="s">
        <v>22</v>
      </c>
      <c r="E7" s="6" t="s">
        <v>14</v>
      </c>
      <c r="F7" s="15">
        <v>336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6696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79"/>
  <sheetViews>
    <sheetView workbookViewId="0">
      <selection activeCell="O14" sqref="O14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1865</v>
      </c>
      <c r="B4" s="6"/>
      <c r="C4" s="6"/>
      <c r="D4" s="6" t="s">
        <v>10</v>
      </c>
      <c r="E4" s="6" t="s">
        <v>11</v>
      </c>
      <c r="F4" s="15">
        <v>5313</v>
      </c>
      <c r="G4" s="26" t="s">
        <v>12</v>
      </c>
      <c r="H4" s="5" t="s">
        <v>18</v>
      </c>
    </row>
    <row r="5" spans="1:8">
      <c r="A5" s="18">
        <v>1865</v>
      </c>
      <c r="B5" s="6"/>
      <c r="C5" s="6"/>
      <c r="D5" s="6" t="s">
        <v>16</v>
      </c>
      <c r="E5" s="6" t="s">
        <v>14</v>
      </c>
      <c r="F5" s="15">
        <v>186</v>
      </c>
      <c r="G5" s="26" t="s">
        <v>12</v>
      </c>
      <c r="H5" s="5" t="s">
        <v>18</v>
      </c>
    </row>
    <row r="6" spans="1:8">
      <c r="A6" s="18">
        <v>1865</v>
      </c>
      <c r="B6" s="6"/>
      <c r="C6" s="6"/>
      <c r="D6" s="6" t="s">
        <v>22</v>
      </c>
      <c r="E6" s="6" t="s">
        <v>14</v>
      </c>
      <c r="F6" s="15">
        <v>174</v>
      </c>
      <c r="G6" s="26" t="s">
        <v>12</v>
      </c>
      <c r="H6" s="5" t="s">
        <v>18</v>
      </c>
    </row>
    <row r="7" spans="1:8">
      <c r="A7" s="18">
        <v>1865</v>
      </c>
      <c r="B7" s="6"/>
      <c r="C7" s="6"/>
      <c r="D7" s="6" t="s">
        <v>10</v>
      </c>
      <c r="E7" s="6" t="s">
        <v>14</v>
      </c>
      <c r="F7" s="15">
        <v>86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5759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77"/>
  <sheetViews>
    <sheetView workbookViewId="0">
      <selection activeCell="F5" sqref="F5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1891</v>
      </c>
      <c r="B4" s="6"/>
      <c r="C4" s="6"/>
      <c r="D4" s="6" t="s">
        <v>10</v>
      </c>
      <c r="E4" s="6" t="s">
        <v>11</v>
      </c>
      <c r="F4" s="15">
        <v>996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3">
        <f>SUM(F4)</f>
        <v>996</v>
      </c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77"/>
  <sheetViews>
    <sheetView workbookViewId="0">
      <selection activeCell="N12" sqref="N12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1895</v>
      </c>
      <c r="B4" s="6"/>
      <c r="C4" s="6"/>
      <c r="D4" s="6" t="s">
        <v>22</v>
      </c>
      <c r="E4" s="6" t="s">
        <v>14</v>
      </c>
      <c r="F4" s="7">
        <v>122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4">
        <f>SUM(F4)</f>
        <v>122</v>
      </c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80"/>
  <sheetViews>
    <sheetView workbookViewId="0">
      <selection activeCell="F8" sqref="F8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1900</v>
      </c>
      <c r="B4" s="6"/>
      <c r="C4" s="6"/>
      <c r="D4" s="6" t="s">
        <v>10</v>
      </c>
      <c r="E4" s="6" t="s">
        <v>11</v>
      </c>
      <c r="F4" s="15">
        <v>955</v>
      </c>
      <c r="G4" s="26" t="s">
        <v>12</v>
      </c>
      <c r="H4" s="5" t="s">
        <v>18</v>
      </c>
    </row>
    <row r="5" spans="1:8">
      <c r="A5" s="18">
        <v>1900</v>
      </c>
      <c r="B5" s="6"/>
      <c r="C5" s="6"/>
      <c r="D5" s="6" t="s">
        <v>10</v>
      </c>
      <c r="E5" s="6" t="s">
        <v>14</v>
      </c>
      <c r="F5" s="15">
        <v>3172</v>
      </c>
      <c r="G5" s="26" t="s">
        <v>12</v>
      </c>
      <c r="H5" s="5" t="s">
        <v>18</v>
      </c>
    </row>
    <row r="6" spans="1:8">
      <c r="A6" s="18">
        <v>1900</v>
      </c>
      <c r="B6" s="6"/>
      <c r="C6" s="6"/>
      <c r="D6" s="6" t="s">
        <v>22</v>
      </c>
      <c r="E6" s="6" t="s">
        <v>14</v>
      </c>
      <c r="F6" s="15">
        <v>201</v>
      </c>
      <c r="G6" s="26" t="s">
        <v>12</v>
      </c>
      <c r="H6" s="5" t="s">
        <v>18</v>
      </c>
    </row>
    <row r="7" spans="1:8">
      <c r="A7" s="18">
        <v>1900</v>
      </c>
      <c r="B7" s="6"/>
      <c r="C7" s="6"/>
      <c r="D7" s="6" t="s">
        <v>16</v>
      </c>
      <c r="E7" s="6" t="s">
        <v>38</v>
      </c>
      <c r="F7" s="15">
        <v>327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4655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80"/>
  <sheetViews>
    <sheetView workbookViewId="0">
      <selection activeCell="F5" sqref="F5"/>
    </sheetView>
  </sheetViews>
  <sheetFormatPr defaultRowHeight="15"/>
  <cols>
    <col min="4" max="4" width="21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1914</v>
      </c>
      <c r="B4" s="6"/>
      <c r="C4" s="6"/>
      <c r="D4" s="6" t="s">
        <v>33</v>
      </c>
      <c r="E4" s="6" t="s">
        <v>11</v>
      </c>
      <c r="F4" s="15">
        <v>2514</v>
      </c>
      <c r="G4" s="26" t="s">
        <v>12</v>
      </c>
      <c r="H4" s="5" t="s">
        <v>18</v>
      </c>
    </row>
    <row r="5" spans="1:8">
      <c r="A5" s="18">
        <v>1914</v>
      </c>
      <c r="B5" s="6"/>
      <c r="C5" s="6"/>
      <c r="D5" s="6" t="s">
        <v>33</v>
      </c>
      <c r="E5" s="6" t="s">
        <v>14</v>
      </c>
      <c r="F5" s="15">
        <v>445</v>
      </c>
      <c r="G5" s="26" t="s">
        <v>12</v>
      </c>
      <c r="H5" s="5" t="s">
        <v>18</v>
      </c>
    </row>
    <row r="6" spans="1:8">
      <c r="A6" s="18">
        <v>1914</v>
      </c>
      <c r="B6" s="6"/>
      <c r="C6" s="6"/>
      <c r="D6" s="6" t="s">
        <v>39</v>
      </c>
      <c r="E6" s="6" t="s">
        <v>14</v>
      </c>
      <c r="F6" s="15">
        <v>1393</v>
      </c>
      <c r="G6" s="26" t="s">
        <v>12</v>
      </c>
      <c r="H6" s="5" t="s">
        <v>18</v>
      </c>
    </row>
    <row r="7" spans="1:8">
      <c r="A7" s="18">
        <v>1914</v>
      </c>
      <c r="B7" s="6"/>
      <c r="C7" s="6"/>
      <c r="D7" s="6" t="s">
        <v>16</v>
      </c>
      <c r="E7" s="6" t="s">
        <v>14</v>
      </c>
      <c r="F7" s="15">
        <v>876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5228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77"/>
  <sheetViews>
    <sheetView workbookViewId="0">
      <selection activeCell="N8" sqref="N8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1951</v>
      </c>
      <c r="B4" s="6"/>
      <c r="C4" s="6"/>
      <c r="D4" s="6" t="s">
        <v>21</v>
      </c>
      <c r="E4" s="6" t="s">
        <v>14</v>
      </c>
      <c r="F4" s="7">
        <v>25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4">
        <f>SUM(F4)</f>
        <v>25</v>
      </c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77"/>
  <sheetViews>
    <sheetView workbookViewId="0">
      <selection activeCell="O20" sqref="O20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1952</v>
      </c>
      <c r="B4" s="6"/>
      <c r="C4" s="6"/>
      <c r="D4" s="6" t="s">
        <v>21</v>
      </c>
      <c r="E4" s="6" t="s">
        <v>14</v>
      </c>
      <c r="F4" s="7">
        <v>25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4">
        <f>SUM(F4)</f>
        <v>25</v>
      </c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77"/>
  <sheetViews>
    <sheetView workbookViewId="0">
      <selection activeCell="M9" sqref="M9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1953</v>
      </c>
      <c r="B4" s="6"/>
      <c r="C4" s="6"/>
      <c r="D4" s="6" t="s">
        <v>21</v>
      </c>
      <c r="E4" s="6" t="s">
        <v>14</v>
      </c>
      <c r="F4" s="7">
        <v>25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4">
        <f>SUM(F4)</f>
        <v>25</v>
      </c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77"/>
  <sheetViews>
    <sheetView workbookViewId="0">
      <selection activeCell="M9" sqref="M9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1954</v>
      </c>
      <c r="B4" s="6"/>
      <c r="C4" s="6"/>
      <c r="D4" s="6" t="s">
        <v>21</v>
      </c>
      <c r="E4" s="6" t="s">
        <v>14</v>
      </c>
      <c r="F4" s="7">
        <v>25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4">
        <f>SUM(F4)</f>
        <v>25</v>
      </c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77"/>
  <sheetViews>
    <sheetView workbookViewId="0">
      <selection activeCell="G26" sqref="G26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1955</v>
      </c>
      <c r="B4" s="6"/>
      <c r="C4" s="6"/>
      <c r="D4" s="6" t="s">
        <v>21</v>
      </c>
      <c r="E4" s="6" t="s">
        <v>14</v>
      </c>
      <c r="F4" s="7">
        <v>25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4">
        <f>SUM(F4)</f>
        <v>25</v>
      </c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80"/>
  <sheetViews>
    <sheetView workbookViewId="0">
      <selection activeCell="F5" sqref="F5"/>
    </sheetView>
  </sheetViews>
  <sheetFormatPr defaultRowHeight="15"/>
  <cols>
    <col min="4" max="4" width="21.57031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3133</v>
      </c>
      <c r="B4" s="6"/>
      <c r="C4" s="6"/>
      <c r="D4" s="6" t="s">
        <v>10</v>
      </c>
      <c r="E4" s="6" t="s">
        <v>11</v>
      </c>
      <c r="F4" s="15">
        <v>5136</v>
      </c>
      <c r="G4" s="26" t="s">
        <v>12</v>
      </c>
      <c r="H4" s="5" t="s">
        <v>18</v>
      </c>
    </row>
    <row r="5" spans="1:8">
      <c r="A5" s="18">
        <v>3133</v>
      </c>
      <c r="B5" s="6"/>
      <c r="C5" s="6"/>
      <c r="D5" s="6" t="s">
        <v>10</v>
      </c>
      <c r="E5" s="6" t="s">
        <v>14</v>
      </c>
      <c r="F5" s="15">
        <v>459</v>
      </c>
      <c r="G5" s="26" t="s">
        <v>12</v>
      </c>
      <c r="H5" s="5" t="s">
        <v>18</v>
      </c>
    </row>
    <row r="6" spans="1:8">
      <c r="A6" s="18">
        <v>3133</v>
      </c>
      <c r="B6" s="6"/>
      <c r="C6" s="6"/>
      <c r="D6" s="6" t="s">
        <v>40</v>
      </c>
      <c r="E6" s="6" t="s">
        <v>14</v>
      </c>
      <c r="F6" s="15">
        <v>1178</v>
      </c>
      <c r="G6" s="26" t="s">
        <v>12</v>
      </c>
      <c r="H6" s="5" t="s">
        <v>18</v>
      </c>
    </row>
    <row r="7" spans="1:8">
      <c r="A7" s="18">
        <v>3133</v>
      </c>
      <c r="B7" s="6"/>
      <c r="C7" s="6"/>
      <c r="D7" s="6" t="s">
        <v>16</v>
      </c>
      <c r="E7" s="6" t="s">
        <v>14</v>
      </c>
      <c r="F7" s="15">
        <v>692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7465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80"/>
  <sheetViews>
    <sheetView workbookViewId="0">
      <selection activeCell="F5" sqref="F5"/>
    </sheetView>
  </sheetViews>
  <sheetFormatPr defaultRowHeight="15"/>
  <cols>
    <col min="4" max="4" width="21.425781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3137</v>
      </c>
      <c r="B4" s="6"/>
      <c r="C4" s="6"/>
      <c r="D4" s="6" t="s">
        <v>10</v>
      </c>
      <c r="E4" s="6" t="s">
        <v>11</v>
      </c>
      <c r="F4" s="15">
        <v>3620</v>
      </c>
      <c r="G4" s="26" t="s">
        <v>41</v>
      </c>
      <c r="H4" s="5" t="s">
        <v>18</v>
      </c>
    </row>
    <row r="5" spans="1:8">
      <c r="A5" s="18">
        <v>3137</v>
      </c>
      <c r="B5" s="6"/>
      <c r="C5" s="6"/>
      <c r="D5" s="6" t="s">
        <v>10</v>
      </c>
      <c r="E5" s="6" t="s">
        <v>14</v>
      </c>
      <c r="F5" s="15">
        <v>1142</v>
      </c>
      <c r="G5" s="26" t="s">
        <v>41</v>
      </c>
      <c r="H5" s="5" t="s">
        <v>18</v>
      </c>
    </row>
    <row r="6" spans="1:8">
      <c r="A6" s="18">
        <v>3137</v>
      </c>
      <c r="B6" s="6"/>
      <c r="C6" s="6"/>
      <c r="D6" s="6" t="s">
        <v>16</v>
      </c>
      <c r="E6" s="6" t="s">
        <v>14</v>
      </c>
      <c r="F6" s="15">
        <v>342</v>
      </c>
      <c r="G6" s="26" t="s">
        <v>41</v>
      </c>
      <c r="H6" s="5" t="s">
        <v>18</v>
      </c>
    </row>
    <row r="7" spans="1:8">
      <c r="A7" s="18">
        <v>3137</v>
      </c>
      <c r="B7" s="6"/>
      <c r="C7" s="6"/>
      <c r="D7" s="6" t="s">
        <v>36</v>
      </c>
      <c r="E7" s="6" t="s">
        <v>14</v>
      </c>
      <c r="F7" s="15">
        <v>1027</v>
      </c>
      <c r="G7" s="26" t="s">
        <v>41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6131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78"/>
  <sheetViews>
    <sheetView workbookViewId="0">
      <selection activeCell="N9" sqref="N9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3146</v>
      </c>
      <c r="B4" s="6"/>
      <c r="C4" s="6"/>
      <c r="D4" s="6" t="s">
        <v>10</v>
      </c>
      <c r="E4" s="6" t="s">
        <v>14</v>
      </c>
      <c r="F4" s="15">
        <v>2672</v>
      </c>
      <c r="G4" s="26" t="s">
        <v>12</v>
      </c>
      <c r="H4" s="5" t="s">
        <v>18</v>
      </c>
    </row>
    <row r="5" spans="1:8">
      <c r="A5" s="18">
        <v>3146</v>
      </c>
      <c r="B5" s="6"/>
      <c r="C5" s="6"/>
      <c r="D5" s="6" t="s">
        <v>22</v>
      </c>
      <c r="E5" s="6" t="s">
        <v>14</v>
      </c>
      <c r="F5" s="15">
        <v>553</v>
      </c>
      <c r="G5" s="26" t="s">
        <v>12</v>
      </c>
      <c r="H5" s="5" t="s">
        <v>18</v>
      </c>
    </row>
    <row r="6" spans="1:8">
      <c r="A6" s="11"/>
      <c r="B6" s="11"/>
      <c r="C6" s="11"/>
      <c r="D6" s="11"/>
      <c r="E6" s="12" t="s">
        <v>17</v>
      </c>
      <c r="F6" s="13">
        <f>SUM(F4:F5)</f>
        <v>3225</v>
      </c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</sheetData>
  <mergeCells count="2">
    <mergeCell ref="A1:H1"/>
    <mergeCell ref="A2:H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80"/>
  <sheetViews>
    <sheetView workbookViewId="0">
      <selection activeCell="O37" sqref="O37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3157</v>
      </c>
      <c r="B4" s="6"/>
      <c r="C4" s="6"/>
      <c r="D4" s="6" t="s">
        <v>10</v>
      </c>
      <c r="E4" s="6" t="s">
        <v>11</v>
      </c>
      <c r="F4" s="15">
        <v>16358</v>
      </c>
      <c r="G4" s="26" t="s">
        <v>12</v>
      </c>
      <c r="H4" s="5" t="s">
        <v>18</v>
      </c>
    </row>
    <row r="5" spans="1:8">
      <c r="A5" s="18">
        <v>3157</v>
      </c>
      <c r="B5" s="6"/>
      <c r="C5" s="6"/>
      <c r="D5" s="6" t="s">
        <v>10</v>
      </c>
      <c r="E5" s="6" t="s">
        <v>14</v>
      </c>
      <c r="F5" s="15">
        <v>4740</v>
      </c>
      <c r="G5" s="26" t="s">
        <v>12</v>
      </c>
      <c r="H5" s="5" t="s">
        <v>18</v>
      </c>
    </row>
    <row r="6" spans="1:8">
      <c r="A6" s="18">
        <v>3157</v>
      </c>
      <c r="B6" s="6"/>
      <c r="C6" s="6"/>
      <c r="D6" s="6" t="s">
        <v>15</v>
      </c>
      <c r="E6" s="6" t="s">
        <v>14</v>
      </c>
      <c r="F6" s="15">
        <v>933</v>
      </c>
      <c r="G6" s="26" t="s">
        <v>12</v>
      </c>
      <c r="H6" s="5" t="s">
        <v>18</v>
      </c>
    </row>
    <row r="7" spans="1:8">
      <c r="A7" s="18">
        <v>3157</v>
      </c>
      <c r="B7" s="6"/>
      <c r="C7" s="6"/>
      <c r="D7" s="6" t="s">
        <v>16</v>
      </c>
      <c r="E7" s="6" t="s">
        <v>14</v>
      </c>
      <c r="F7" s="15">
        <v>463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22494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80"/>
  <sheetViews>
    <sheetView workbookViewId="0">
      <selection activeCell="F5" sqref="F5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42</v>
      </c>
      <c r="B4" s="6"/>
      <c r="C4" s="6"/>
      <c r="D4" s="6" t="s">
        <v>10</v>
      </c>
      <c r="E4" s="6" t="s">
        <v>11</v>
      </c>
      <c r="F4" s="15">
        <v>2939</v>
      </c>
      <c r="G4" s="26" t="s">
        <v>12</v>
      </c>
      <c r="H4" s="5" t="s">
        <v>18</v>
      </c>
    </row>
    <row r="5" spans="1:8">
      <c r="A5" s="5" t="s">
        <v>42</v>
      </c>
      <c r="B5" s="6"/>
      <c r="C5" s="6"/>
      <c r="D5" s="6" t="s">
        <v>10</v>
      </c>
      <c r="E5" s="6" t="s">
        <v>14</v>
      </c>
      <c r="F5" s="15">
        <v>283</v>
      </c>
      <c r="G5" s="26" t="s">
        <v>12</v>
      </c>
      <c r="H5" s="5" t="s">
        <v>18</v>
      </c>
    </row>
    <row r="6" spans="1:8">
      <c r="A6" s="5" t="s">
        <v>42</v>
      </c>
      <c r="B6" s="6"/>
      <c r="C6" s="6"/>
      <c r="D6" s="6" t="s">
        <v>22</v>
      </c>
      <c r="E6" s="6" t="s">
        <v>14</v>
      </c>
      <c r="F6" s="15">
        <v>213</v>
      </c>
      <c r="G6" s="26" t="s">
        <v>12</v>
      </c>
      <c r="H6" s="5" t="s">
        <v>18</v>
      </c>
    </row>
    <row r="7" spans="1:8">
      <c r="A7" s="5" t="s">
        <v>42</v>
      </c>
      <c r="B7" s="6"/>
      <c r="C7" s="6"/>
      <c r="D7" s="6" t="s">
        <v>16</v>
      </c>
      <c r="E7" s="6" t="s">
        <v>14</v>
      </c>
      <c r="F7" s="15">
        <v>120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3555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79"/>
  <sheetViews>
    <sheetView workbookViewId="0">
      <selection activeCell="L9" sqref="L9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43</v>
      </c>
      <c r="B4" s="6"/>
      <c r="C4" s="6"/>
      <c r="D4" s="6" t="s">
        <v>10</v>
      </c>
      <c r="E4" s="6" t="s">
        <v>11</v>
      </c>
      <c r="F4" s="15">
        <v>4111</v>
      </c>
      <c r="G4" s="26" t="s">
        <v>12</v>
      </c>
      <c r="H4" s="5" t="s">
        <v>18</v>
      </c>
    </row>
    <row r="5" spans="1:8">
      <c r="A5" s="5" t="s">
        <v>43</v>
      </c>
      <c r="B5" s="6"/>
      <c r="C5" s="6"/>
      <c r="D5" s="6" t="s">
        <v>22</v>
      </c>
      <c r="E5" s="6" t="s">
        <v>14</v>
      </c>
      <c r="F5" s="15">
        <v>203</v>
      </c>
      <c r="G5" s="26" t="s">
        <v>12</v>
      </c>
      <c r="H5" s="5" t="s">
        <v>18</v>
      </c>
    </row>
    <row r="6" spans="1:8">
      <c r="A6" s="5" t="s">
        <v>43</v>
      </c>
      <c r="B6" s="6"/>
      <c r="C6" s="6"/>
      <c r="D6" s="6" t="s">
        <v>16</v>
      </c>
      <c r="E6" s="6" t="s">
        <v>14</v>
      </c>
      <c r="F6" s="15">
        <v>91</v>
      </c>
      <c r="G6" s="26" t="s">
        <v>12</v>
      </c>
      <c r="H6" s="5" t="s">
        <v>18</v>
      </c>
    </row>
    <row r="7" spans="1:8">
      <c r="A7" s="5" t="s">
        <v>43</v>
      </c>
      <c r="B7" s="6"/>
      <c r="C7" s="6"/>
      <c r="D7" s="6" t="s">
        <v>10</v>
      </c>
      <c r="E7" s="6" t="s">
        <v>38</v>
      </c>
      <c r="F7" s="15">
        <v>108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4513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79"/>
  <sheetViews>
    <sheetView workbookViewId="0">
      <selection activeCell="G33" sqref="G33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44</v>
      </c>
      <c r="B4" s="6"/>
      <c r="C4" s="6"/>
      <c r="D4" s="6" t="s">
        <v>10</v>
      </c>
      <c r="E4" s="6" t="s">
        <v>11</v>
      </c>
      <c r="F4" s="15">
        <v>4181</v>
      </c>
      <c r="G4" s="26" t="s">
        <v>12</v>
      </c>
      <c r="H4" s="5" t="s">
        <v>18</v>
      </c>
    </row>
    <row r="5" spans="1:8">
      <c r="A5" s="5" t="s">
        <v>44</v>
      </c>
      <c r="B5" s="6"/>
      <c r="C5" s="6"/>
      <c r="D5" s="6" t="s">
        <v>30</v>
      </c>
      <c r="E5" s="6" t="s">
        <v>14</v>
      </c>
      <c r="F5" s="15">
        <v>384</v>
      </c>
      <c r="G5" s="26" t="s">
        <v>12</v>
      </c>
      <c r="H5" s="5" t="s">
        <v>18</v>
      </c>
    </row>
    <row r="6" spans="1:8">
      <c r="A6" s="5" t="s">
        <v>44</v>
      </c>
      <c r="B6" s="6"/>
      <c r="C6" s="6"/>
      <c r="D6" s="6" t="s">
        <v>16</v>
      </c>
      <c r="E6" s="6" t="s">
        <v>14</v>
      </c>
      <c r="F6" s="15">
        <v>180</v>
      </c>
      <c r="G6" s="26" t="s">
        <v>12</v>
      </c>
      <c r="H6" s="5" t="s">
        <v>18</v>
      </c>
    </row>
    <row r="7" spans="1:8">
      <c r="A7" s="5" t="s">
        <v>44</v>
      </c>
      <c r="B7" s="6"/>
      <c r="C7" s="6"/>
      <c r="D7" s="6" t="s">
        <v>10</v>
      </c>
      <c r="E7" s="6" t="s">
        <v>14</v>
      </c>
      <c r="F7" s="15">
        <v>59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4804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79"/>
  <sheetViews>
    <sheetView workbookViewId="0">
      <selection activeCell="G21" sqref="G21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45</v>
      </c>
      <c r="B4" s="6"/>
      <c r="C4" s="6"/>
      <c r="D4" s="6" t="s">
        <v>10</v>
      </c>
      <c r="E4" s="6" t="s">
        <v>11</v>
      </c>
      <c r="F4" s="15">
        <v>4335</v>
      </c>
      <c r="G4" s="26" t="s">
        <v>12</v>
      </c>
      <c r="H4" s="5" t="s">
        <v>18</v>
      </c>
    </row>
    <row r="5" spans="1:8">
      <c r="A5" s="5" t="s">
        <v>45</v>
      </c>
      <c r="B5" s="6"/>
      <c r="C5" s="6"/>
      <c r="D5" s="6" t="s">
        <v>10</v>
      </c>
      <c r="E5" s="6" t="s">
        <v>14</v>
      </c>
      <c r="F5" s="15">
        <v>3538</v>
      </c>
      <c r="G5" s="26" t="s">
        <v>12</v>
      </c>
      <c r="H5" s="5" t="s">
        <v>18</v>
      </c>
    </row>
    <row r="6" spans="1:8">
      <c r="A6" s="5" t="s">
        <v>45</v>
      </c>
      <c r="B6" s="6"/>
      <c r="C6" s="6"/>
      <c r="D6" s="6" t="s">
        <v>22</v>
      </c>
      <c r="E6" s="6" t="s">
        <v>14</v>
      </c>
      <c r="F6" s="15">
        <v>306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8179</v>
      </c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79"/>
  <sheetViews>
    <sheetView workbookViewId="0">
      <selection activeCell="F5" sqref="F5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46</v>
      </c>
      <c r="B4" s="6"/>
      <c r="C4" s="6"/>
      <c r="D4" s="6" t="s">
        <v>10</v>
      </c>
      <c r="E4" s="6" t="s">
        <v>11</v>
      </c>
      <c r="F4" s="15">
        <v>10179</v>
      </c>
      <c r="G4" s="26" t="s">
        <v>12</v>
      </c>
      <c r="H4" s="5" t="s">
        <v>18</v>
      </c>
    </row>
    <row r="5" spans="1:8">
      <c r="A5" s="5" t="s">
        <v>46</v>
      </c>
      <c r="B5" s="6"/>
      <c r="C5" s="6"/>
      <c r="D5" s="6" t="s">
        <v>10</v>
      </c>
      <c r="E5" s="6" t="s">
        <v>14</v>
      </c>
      <c r="F5" s="15">
        <v>847</v>
      </c>
      <c r="G5" s="26" t="s">
        <v>12</v>
      </c>
      <c r="H5" s="5" t="s">
        <v>18</v>
      </c>
    </row>
    <row r="6" spans="1:8">
      <c r="A6" s="5" t="s">
        <v>46</v>
      </c>
      <c r="B6" s="6"/>
      <c r="C6" s="6"/>
      <c r="D6" s="6" t="s">
        <v>30</v>
      </c>
      <c r="E6" s="6" t="s">
        <v>14</v>
      </c>
      <c r="F6" s="15">
        <v>550</v>
      </c>
      <c r="G6" s="26" t="s">
        <v>12</v>
      </c>
      <c r="H6" s="5" t="s">
        <v>18</v>
      </c>
    </row>
    <row r="7" spans="1:8">
      <c r="A7" s="5" t="s">
        <v>46</v>
      </c>
      <c r="B7" s="6"/>
      <c r="C7" s="6"/>
      <c r="D7" s="6" t="s">
        <v>24</v>
      </c>
      <c r="E7" s="6" t="s">
        <v>14</v>
      </c>
      <c r="F7" s="15">
        <v>200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11776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78"/>
  <sheetViews>
    <sheetView workbookViewId="0">
      <selection activeCell="G8" sqref="G8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47</v>
      </c>
      <c r="B4" s="6"/>
      <c r="C4" s="6"/>
      <c r="D4" s="6" t="s">
        <v>10</v>
      </c>
      <c r="E4" s="6" t="s">
        <v>14</v>
      </c>
      <c r="F4" s="7">
        <v>283</v>
      </c>
      <c r="G4" s="26" t="s">
        <v>12</v>
      </c>
      <c r="H4" s="5" t="s">
        <v>18</v>
      </c>
    </row>
    <row r="5" spans="1:8">
      <c r="A5" s="5" t="s">
        <v>47</v>
      </c>
      <c r="B5" s="6"/>
      <c r="C5" s="6"/>
      <c r="D5" s="6" t="s">
        <v>22</v>
      </c>
      <c r="E5" s="6" t="s">
        <v>14</v>
      </c>
      <c r="F5" s="7">
        <v>190</v>
      </c>
      <c r="G5" s="26" t="s">
        <v>12</v>
      </c>
      <c r="H5" s="5" t="s">
        <v>18</v>
      </c>
    </row>
    <row r="6" spans="1:8">
      <c r="A6" s="11"/>
      <c r="B6" s="11"/>
      <c r="C6" s="11"/>
      <c r="D6" s="11"/>
      <c r="E6" s="12" t="s">
        <v>17</v>
      </c>
      <c r="F6" s="14">
        <f>SUM(F4:F5)</f>
        <v>473</v>
      </c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80"/>
  <sheetViews>
    <sheetView workbookViewId="0">
      <selection activeCell="K26" sqref="K26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48</v>
      </c>
      <c r="B4" s="6"/>
      <c r="C4" s="6"/>
      <c r="D4" s="6" t="s">
        <v>10</v>
      </c>
      <c r="E4" s="6" t="s">
        <v>11</v>
      </c>
      <c r="F4" s="15">
        <v>4220</v>
      </c>
      <c r="G4" s="26" t="s">
        <v>12</v>
      </c>
      <c r="H4" s="5" t="s">
        <v>18</v>
      </c>
    </row>
    <row r="5" spans="1:8">
      <c r="A5" s="5" t="s">
        <v>48</v>
      </c>
      <c r="B5" s="6"/>
      <c r="C5" s="6"/>
      <c r="D5" s="6" t="s">
        <v>10</v>
      </c>
      <c r="E5" s="6" t="s">
        <v>14</v>
      </c>
      <c r="F5" s="15">
        <v>68</v>
      </c>
      <c r="G5" s="26" t="s">
        <v>12</v>
      </c>
      <c r="H5" s="5" t="s">
        <v>18</v>
      </c>
    </row>
    <row r="6" spans="1:8">
      <c r="A6" s="5" t="s">
        <v>48</v>
      </c>
      <c r="B6" s="6"/>
      <c r="C6" s="6"/>
      <c r="D6" s="6" t="s">
        <v>22</v>
      </c>
      <c r="E6" s="6" t="s">
        <v>14</v>
      </c>
      <c r="F6" s="15">
        <v>300</v>
      </c>
      <c r="G6" s="26" t="s">
        <v>12</v>
      </c>
      <c r="H6" s="5" t="s">
        <v>18</v>
      </c>
    </row>
    <row r="7" spans="1:8">
      <c r="A7" s="5" t="s">
        <v>48</v>
      </c>
      <c r="B7" s="6"/>
      <c r="C7" s="6"/>
      <c r="D7" s="6" t="s">
        <v>16</v>
      </c>
      <c r="E7" s="6" t="s">
        <v>14</v>
      </c>
      <c r="F7" s="15">
        <v>156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4744</v>
      </c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77"/>
  <sheetViews>
    <sheetView workbookViewId="0">
      <selection activeCell="J17" sqref="J17"/>
    </sheetView>
  </sheetViews>
  <sheetFormatPr defaultRowHeight="15"/>
  <cols>
    <col min="4" max="4" width="12.140625" customWidth="1"/>
    <col min="5" max="5" width="11.42578125" customWidth="1"/>
    <col min="7" max="7" width="12.85546875" customWidth="1"/>
  </cols>
  <sheetData>
    <row r="1" spans="1:8" ht="15" customHeight="1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49</v>
      </c>
      <c r="B4" s="6"/>
      <c r="C4" s="6"/>
      <c r="D4" s="6" t="s">
        <v>10</v>
      </c>
      <c r="E4" s="6" t="s">
        <v>14</v>
      </c>
      <c r="F4" s="7">
        <v>500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4">
        <f>SUM(F4)</f>
        <v>500</v>
      </c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1"/>
      <c r="B8" s="11"/>
      <c r="C8" s="11"/>
      <c r="D8" s="11"/>
      <c r="E8" s="11"/>
      <c r="F8" s="11"/>
      <c r="G8" s="11"/>
      <c r="H8" s="11"/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1"/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693A-2D76-4FC8-A478-BD354116484B}">
  <dimension ref="A1:H9"/>
  <sheetViews>
    <sheetView workbookViewId="0">
      <selection activeCell="G12" sqref="G12"/>
    </sheetView>
  </sheetViews>
  <sheetFormatPr defaultRowHeight="15"/>
  <sheetData>
    <row r="1" spans="1:8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303</v>
      </c>
      <c r="B4" s="6"/>
      <c r="C4" s="6"/>
      <c r="D4" s="6" t="s">
        <v>10</v>
      </c>
      <c r="E4" s="6" t="s">
        <v>11</v>
      </c>
      <c r="F4" s="15">
        <v>4541</v>
      </c>
      <c r="G4" s="26" t="s">
        <v>12</v>
      </c>
      <c r="H4" s="5" t="s">
        <v>18</v>
      </c>
    </row>
    <row r="5" spans="1:8">
      <c r="A5" s="5">
        <v>303</v>
      </c>
      <c r="B5" s="6"/>
      <c r="C5" s="6"/>
      <c r="D5" s="6" t="s">
        <v>10</v>
      </c>
      <c r="E5" s="6" t="s">
        <v>14</v>
      </c>
      <c r="F5" s="15">
        <v>443</v>
      </c>
      <c r="G5" s="26" t="s">
        <v>12</v>
      </c>
      <c r="H5" s="5" t="s">
        <v>18</v>
      </c>
    </row>
    <row r="6" spans="1:8">
      <c r="A6" s="5">
        <v>303</v>
      </c>
      <c r="B6" s="6"/>
      <c r="C6" s="6"/>
      <c r="D6" s="6" t="s">
        <v>10</v>
      </c>
      <c r="E6" s="6" t="s">
        <v>28</v>
      </c>
      <c r="F6" s="15">
        <v>1488</v>
      </c>
      <c r="G6" s="26" t="s">
        <v>12</v>
      </c>
      <c r="H6" s="5" t="s">
        <v>18</v>
      </c>
    </row>
    <row r="7" spans="1:8">
      <c r="A7" s="5">
        <v>303</v>
      </c>
      <c r="B7" s="6"/>
      <c r="C7" s="6"/>
      <c r="D7" s="6" t="s">
        <v>50</v>
      </c>
      <c r="E7" s="6" t="s">
        <v>14</v>
      </c>
      <c r="F7" s="15">
        <v>486</v>
      </c>
      <c r="G7" s="26" t="s">
        <v>12</v>
      </c>
      <c r="H7" s="5" t="s">
        <v>18</v>
      </c>
    </row>
    <row r="8" spans="1:8">
      <c r="A8" s="5">
        <v>303</v>
      </c>
      <c r="B8" s="6"/>
      <c r="C8" s="6"/>
      <c r="D8" s="6" t="s">
        <v>16</v>
      </c>
      <c r="E8" s="6" t="s">
        <v>14</v>
      </c>
      <c r="F8" s="15">
        <v>1223</v>
      </c>
      <c r="G8" s="26" t="s">
        <v>12</v>
      </c>
      <c r="H8" s="5" t="s">
        <v>18</v>
      </c>
    </row>
    <row r="9" spans="1:8">
      <c r="A9" s="11"/>
      <c r="B9" s="11"/>
      <c r="C9" s="11"/>
      <c r="D9" s="11"/>
      <c r="E9" s="12" t="s">
        <v>17</v>
      </c>
      <c r="F9" s="13">
        <f>SUM(F4:F8)</f>
        <v>8181</v>
      </c>
      <c r="G9" s="11"/>
      <c r="H9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1D97-D99A-4020-AAA7-9BAAD148514F}">
  <dimension ref="A1:H5"/>
  <sheetViews>
    <sheetView workbookViewId="0">
      <selection activeCell="G8" sqref="G8"/>
    </sheetView>
  </sheetViews>
  <sheetFormatPr defaultRowHeight="15"/>
  <cols>
    <col min="4" max="4" width="12.7109375" customWidth="1"/>
  </cols>
  <sheetData>
    <row r="1" spans="1:8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731</v>
      </c>
      <c r="B4" s="6"/>
      <c r="C4" s="6"/>
      <c r="D4" s="6" t="s">
        <v>50</v>
      </c>
      <c r="E4" s="6" t="s">
        <v>14</v>
      </c>
      <c r="F4" s="15">
        <v>55</v>
      </c>
      <c r="G4" s="26" t="s">
        <v>12</v>
      </c>
      <c r="H4" s="5" t="s">
        <v>18</v>
      </c>
    </row>
    <row r="5" spans="1:8">
      <c r="A5" s="11"/>
      <c r="B5" s="11"/>
      <c r="C5" s="11"/>
      <c r="D5" s="11"/>
      <c r="E5" s="12" t="s">
        <v>17</v>
      </c>
      <c r="F5" s="13">
        <f>SUM(F4:F4)</f>
        <v>55</v>
      </c>
      <c r="G5" s="11"/>
      <c r="H5" s="11"/>
    </row>
  </sheetData>
  <mergeCells count="2">
    <mergeCell ref="A1:H1"/>
    <mergeCell ref="A2:H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18BF-A58D-4BDC-ACD6-EB43E2356C46}">
  <dimension ref="A1:H7"/>
  <sheetViews>
    <sheetView workbookViewId="0">
      <selection activeCell="A7" sqref="A7"/>
    </sheetView>
  </sheetViews>
  <sheetFormatPr defaultRowHeight="15"/>
  <sheetData>
    <row r="1" spans="1:8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>
        <v>880</v>
      </c>
      <c r="B4" s="6"/>
      <c r="C4" s="6"/>
      <c r="D4" s="6" t="s">
        <v>10</v>
      </c>
      <c r="E4" s="6" t="s">
        <v>28</v>
      </c>
      <c r="F4" s="15">
        <v>662</v>
      </c>
      <c r="G4" s="26" t="s">
        <v>12</v>
      </c>
      <c r="H4" s="5" t="s">
        <v>18</v>
      </c>
    </row>
    <row r="5" spans="1:8">
      <c r="A5" s="5">
        <v>880</v>
      </c>
      <c r="B5" s="6"/>
      <c r="C5" s="6"/>
      <c r="D5" s="6" t="s">
        <v>50</v>
      </c>
      <c r="E5" s="6" t="s">
        <v>14</v>
      </c>
      <c r="F5" s="15">
        <v>48</v>
      </c>
      <c r="G5" s="26" t="s">
        <v>12</v>
      </c>
      <c r="H5" s="5" t="s">
        <v>18</v>
      </c>
    </row>
    <row r="6" spans="1:8">
      <c r="A6" s="5">
        <v>880</v>
      </c>
      <c r="B6" s="6"/>
      <c r="C6" s="6"/>
      <c r="D6" s="6" t="s">
        <v>16</v>
      </c>
      <c r="E6" s="6" t="s">
        <v>14</v>
      </c>
      <c r="F6" s="15">
        <v>99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809</v>
      </c>
      <c r="G7" s="11"/>
      <c r="H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C283-0B9D-4AB7-8E22-BFCC4FFA97D3}">
  <dimension ref="A1:H7"/>
  <sheetViews>
    <sheetView workbookViewId="0">
      <selection activeCell="K6" sqref="K6"/>
    </sheetView>
  </sheetViews>
  <sheetFormatPr defaultRowHeight="15"/>
  <sheetData>
    <row r="1" spans="1:8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27">
        <v>1662</v>
      </c>
      <c r="B4" s="6"/>
      <c r="C4" s="6"/>
      <c r="D4" s="6" t="s">
        <v>10</v>
      </c>
      <c r="E4" s="6" t="s">
        <v>11</v>
      </c>
      <c r="F4" s="15">
        <v>4313</v>
      </c>
      <c r="G4" s="26" t="s">
        <v>12</v>
      </c>
      <c r="H4" s="5" t="s">
        <v>18</v>
      </c>
    </row>
    <row r="5" spans="1:8">
      <c r="A5" s="27">
        <v>1662</v>
      </c>
      <c r="B5" s="6"/>
      <c r="C5" s="6"/>
      <c r="D5" s="6" t="s">
        <v>10</v>
      </c>
      <c r="E5" s="6" t="s">
        <v>14</v>
      </c>
      <c r="F5" s="15">
        <v>73</v>
      </c>
      <c r="G5" s="26" t="s">
        <v>12</v>
      </c>
      <c r="H5" s="5" t="s">
        <v>18</v>
      </c>
    </row>
    <row r="6" spans="1:8">
      <c r="A6" s="27">
        <v>1662</v>
      </c>
      <c r="B6" s="6"/>
      <c r="C6" s="6"/>
      <c r="D6" s="6" t="s">
        <v>50</v>
      </c>
      <c r="E6" s="6" t="s">
        <v>14</v>
      </c>
      <c r="F6" s="15">
        <v>351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4737</v>
      </c>
      <c r="G7" s="11"/>
      <c r="H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E700-F097-4AA4-AFA2-2970C305C021}">
  <dimension ref="A1:H8"/>
  <sheetViews>
    <sheetView workbookViewId="0">
      <selection activeCell="L10" sqref="L10"/>
    </sheetView>
  </sheetViews>
  <sheetFormatPr defaultRowHeight="15"/>
  <sheetData>
    <row r="1" spans="1:8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28">
        <v>3200</v>
      </c>
      <c r="B4" s="6"/>
      <c r="C4" s="6"/>
      <c r="D4" s="6" t="s">
        <v>10</v>
      </c>
      <c r="E4" s="6" t="s">
        <v>11</v>
      </c>
      <c r="F4" s="15">
        <v>1100</v>
      </c>
      <c r="G4" s="26" t="s">
        <v>12</v>
      </c>
      <c r="H4" s="5" t="s">
        <v>18</v>
      </c>
    </row>
    <row r="5" spans="1:8">
      <c r="A5" s="28">
        <v>3200</v>
      </c>
      <c r="B5" s="6"/>
      <c r="C5" s="6"/>
      <c r="D5" s="6" t="s">
        <v>10</v>
      </c>
      <c r="E5" s="6" t="s">
        <v>28</v>
      </c>
      <c r="F5" s="15">
        <v>800</v>
      </c>
      <c r="G5" s="26" t="s">
        <v>12</v>
      </c>
      <c r="H5" s="5" t="s">
        <v>18</v>
      </c>
    </row>
    <row r="6" spans="1:8">
      <c r="A6" s="28">
        <v>3200</v>
      </c>
      <c r="B6" s="6"/>
      <c r="C6" s="6"/>
      <c r="D6" s="6" t="s">
        <v>50</v>
      </c>
      <c r="E6" s="6" t="s">
        <v>14</v>
      </c>
      <c r="F6" s="15">
        <v>80</v>
      </c>
      <c r="G6" s="26" t="s">
        <v>12</v>
      </c>
      <c r="H6" s="5" t="s">
        <v>18</v>
      </c>
    </row>
    <row r="7" spans="1:8">
      <c r="A7" s="28">
        <v>3200</v>
      </c>
      <c r="B7" s="6"/>
      <c r="C7" s="6"/>
      <c r="D7" s="6" t="s">
        <v>16</v>
      </c>
      <c r="E7" s="6" t="s">
        <v>14</v>
      </c>
      <c r="F7" s="15">
        <v>70</v>
      </c>
      <c r="G7" s="26" t="s">
        <v>12</v>
      </c>
      <c r="H7" s="5" t="s">
        <v>18</v>
      </c>
    </row>
    <row r="8" spans="1:8">
      <c r="A8" s="11"/>
      <c r="B8" s="11"/>
      <c r="C8" s="11"/>
      <c r="D8" s="11"/>
      <c r="E8" s="12" t="s">
        <v>17</v>
      </c>
      <c r="F8" s="13">
        <f>SUM(F4:F7)</f>
        <v>2050</v>
      </c>
      <c r="G8" s="11"/>
      <c r="H8" s="11"/>
    </row>
  </sheetData>
  <mergeCells count="2">
    <mergeCell ref="A1:H1"/>
    <mergeCell ref="A2:H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A3A7-B3B2-4237-A7B0-577BF6A9F8D4}">
  <dimension ref="A1:H7"/>
  <sheetViews>
    <sheetView workbookViewId="0">
      <selection activeCell="N32" sqref="N32"/>
    </sheetView>
  </sheetViews>
  <sheetFormatPr defaultRowHeight="15"/>
  <sheetData>
    <row r="1" spans="1:8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51</v>
      </c>
      <c r="B4" s="6"/>
      <c r="C4" s="6"/>
      <c r="D4" s="6" t="s">
        <v>10</v>
      </c>
      <c r="E4" s="6" t="s">
        <v>11</v>
      </c>
      <c r="F4" s="15">
        <v>3710</v>
      </c>
      <c r="G4" s="26" t="s">
        <v>12</v>
      </c>
      <c r="H4" s="5" t="s">
        <v>18</v>
      </c>
    </row>
    <row r="5" spans="1:8">
      <c r="A5" s="5" t="s">
        <v>51</v>
      </c>
      <c r="B5" s="6"/>
      <c r="C5" s="6"/>
      <c r="D5" s="6" t="s">
        <v>50</v>
      </c>
      <c r="E5" s="6" t="s">
        <v>14</v>
      </c>
      <c r="F5" s="15">
        <v>197</v>
      </c>
      <c r="G5" s="26" t="s">
        <v>12</v>
      </c>
      <c r="H5" s="5" t="s">
        <v>18</v>
      </c>
    </row>
    <row r="6" spans="1:8">
      <c r="A6" s="5" t="s">
        <v>51</v>
      </c>
      <c r="B6" s="6"/>
      <c r="C6" s="6"/>
      <c r="D6" s="6" t="s">
        <v>16</v>
      </c>
      <c r="E6" s="6" t="s">
        <v>14</v>
      </c>
      <c r="F6" s="15">
        <v>157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4064</v>
      </c>
      <c r="G7" s="11"/>
      <c r="H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9F2F-32BA-4802-B520-170774A9AC56}">
  <dimension ref="A1:H7"/>
  <sheetViews>
    <sheetView workbookViewId="0">
      <selection activeCell="N26" sqref="N26"/>
    </sheetView>
  </sheetViews>
  <sheetFormatPr defaultRowHeight="15"/>
  <sheetData>
    <row r="1" spans="1:8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5" t="s">
        <v>52</v>
      </c>
      <c r="B4" s="6"/>
      <c r="C4" s="6"/>
      <c r="D4" s="6" t="s">
        <v>10</v>
      </c>
      <c r="E4" s="6" t="s">
        <v>11</v>
      </c>
      <c r="F4" s="15">
        <v>3710</v>
      </c>
      <c r="G4" s="26" t="s">
        <v>12</v>
      </c>
      <c r="H4" s="5" t="s">
        <v>18</v>
      </c>
    </row>
    <row r="5" spans="1:8">
      <c r="A5" s="5" t="s">
        <v>52</v>
      </c>
      <c r="B5" s="6"/>
      <c r="C5" s="6"/>
      <c r="D5" s="6" t="s">
        <v>50</v>
      </c>
      <c r="E5" s="6" t="s">
        <v>14</v>
      </c>
      <c r="F5" s="15">
        <v>197</v>
      </c>
      <c r="G5" s="26" t="s">
        <v>12</v>
      </c>
      <c r="H5" s="5" t="s">
        <v>18</v>
      </c>
    </row>
    <row r="6" spans="1:8">
      <c r="A6" s="5" t="s">
        <v>52</v>
      </c>
      <c r="B6" s="6"/>
      <c r="C6" s="6"/>
      <c r="D6" s="6" t="s">
        <v>16</v>
      </c>
      <c r="E6" s="6" t="s">
        <v>14</v>
      </c>
      <c r="F6" s="15">
        <v>157</v>
      </c>
      <c r="G6" s="26" t="s">
        <v>12</v>
      </c>
      <c r="H6" s="5" t="s">
        <v>18</v>
      </c>
    </row>
    <row r="7" spans="1:8">
      <c r="A7" s="11"/>
      <c r="B7" s="11"/>
      <c r="C7" s="11"/>
      <c r="D7" s="11"/>
      <c r="E7" s="12" t="s">
        <v>17</v>
      </c>
      <c r="F7" s="13">
        <f>SUM(F4:F6)</f>
        <v>4064</v>
      </c>
      <c r="G7" s="11"/>
      <c r="H7" s="11"/>
    </row>
  </sheetData>
  <mergeCells count="2">
    <mergeCell ref="A1:H1"/>
    <mergeCell ref="A2:H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D4D6-C1F8-43E8-A0AD-DEAB7F2AB814}">
  <dimension ref="A1:H8"/>
  <sheetViews>
    <sheetView tabSelected="1" workbookViewId="0">
      <selection activeCell="Q24" sqref="Q24"/>
    </sheetView>
  </sheetViews>
  <sheetFormatPr defaultRowHeight="15"/>
  <cols>
    <col min="4" max="4" width="12.140625" customWidth="1"/>
  </cols>
  <sheetData>
    <row r="1" spans="1:8">
      <c r="A1" s="29" t="s">
        <v>0</v>
      </c>
      <c r="B1" s="29"/>
      <c r="C1" s="29"/>
      <c r="D1" s="29"/>
      <c r="E1" s="29"/>
      <c r="F1" s="29"/>
      <c r="G1" s="29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2"/>
    </row>
    <row r="3" spans="1:8" ht="38.25">
      <c r="A3" s="8" t="s">
        <v>35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8</v>
      </c>
      <c r="H3" s="8" t="s">
        <v>9</v>
      </c>
    </row>
    <row r="4" spans="1:8">
      <c r="A4" s="18">
        <v>869</v>
      </c>
      <c r="B4" s="6"/>
      <c r="C4" s="6"/>
      <c r="D4" s="6" t="s">
        <v>22</v>
      </c>
      <c r="E4" s="6" t="s">
        <v>14</v>
      </c>
      <c r="F4" s="15">
        <v>60</v>
      </c>
      <c r="G4" s="26" t="s">
        <v>12</v>
      </c>
      <c r="H4" s="5" t="s">
        <v>18</v>
      </c>
    </row>
    <row r="5" spans="1:8">
      <c r="A5" s="18"/>
      <c r="B5" s="6"/>
      <c r="C5" s="6"/>
      <c r="D5" s="6"/>
      <c r="E5" s="6"/>
      <c r="F5" s="15"/>
      <c r="G5" s="26"/>
      <c r="H5" s="5"/>
    </row>
    <row r="6" spans="1:8">
      <c r="A6" s="18"/>
      <c r="B6" s="6"/>
      <c r="C6" s="6"/>
      <c r="D6" s="6"/>
      <c r="E6" s="6"/>
      <c r="F6" s="15"/>
      <c r="G6" s="26"/>
      <c r="H6" s="5"/>
    </row>
    <row r="7" spans="1:8">
      <c r="A7" s="18"/>
      <c r="B7" s="6"/>
      <c r="C7" s="6"/>
      <c r="D7" s="6"/>
      <c r="E7" s="6"/>
      <c r="F7" s="15"/>
      <c r="G7" s="26"/>
      <c r="H7" s="5"/>
    </row>
    <row r="8" spans="1:8">
      <c r="A8" s="11"/>
      <c r="B8" s="11"/>
      <c r="C8" s="11"/>
      <c r="D8" s="11"/>
      <c r="E8" s="12" t="s">
        <v>17</v>
      </c>
      <c r="F8" s="13">
        <f>SUM(F4:F7)</f>
        <v>60</v>
      </c>
      <c r="G8" s="11"/>
      <c r="H8" s="11"/>
    </row>
  </sheetData>
  <mergeCells count="2">
    <mergeCell ref="A1:H1"/>
    <mergeCell ref="A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0a373da26d21645226900e2d7ea562b3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859b85f2aa58925d0ae3520354540a66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766D36-02FC-48A0-B84E-B815E97F9392}"/>
</file>

<file path=customXml/itemProps2.xml><?xml version="1.0" encoding="utf-8"?>
<ds:datastoreItem xmlns:ds="http://schemas.openxmlformats.org/officeDocument/2006/customXml" ds:itemID="{E86A0AC2-437A-458A-A804-8B1BD3278EF6}"/>
</file>

<file path=customXml/itemProps3.xml><?xml version="1.0" encoding="utf-8"?>
<ds:datastoreItem xmlns:ds="http://schemas.openxmlformats.org/officeDocument/2006/customXml" ds:itemID="{4FCB09F3-828B-4953-876E-F04D0FC67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Gilkes, Shonn M CIV USN NAVFAC WASHINGTON DC (USA)</cp:lastModifiedBy>
  <cp:revision/>
  <dcterms:created xsi:type="dcterms:W3CDTF">2017-04-14T18:23:25Z</dcterms:created>
  <dcterms:modified xsi:type="dcterms:W3CDTF">2025-12-29T18:49:39Z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