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32" documentId="11_F25DC773A252ABDACC1048B4815A5C105BDE58FF" xr6:coauthVersionLast="47" xr6:coauthVersionMax="47" xr10:uidLastSave="{81461155-71A7-4B96-BC3B-1404CBB358BA}"/>
  <bookViews>
    <workbookView xWindow="-120" yWindow="270" windowWidth="29040" windowHeight="1533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2" i="1" l="1"/>
  <c r="M42" i="1"/>
  <c r="X42" i="1" s="1"/>
  <c r="I42" i="1"/>
  <c r="F32" i="1"/>
  <c r="V32" i="1" s="1"/>
  <c r="AB32" i="1" s="1"/>
  <c r="O31" i="1"/>
  <c r="M31" i="1"/>
  <c r="X31" i="1" s="1"/>
  <c r="I31" i="1"/>
  <c r="V31" i="1" s="1"/>
  <c r="AB31" i="1" s="1"/>
  <c r="F16" i="1"/>
  <c r="V16" i="1" s="1"/>
  <c r="AB16" i="1" s="1"/>
  <c r="O15" i="1"/>
  <c r="M15" i="1"/>
  <c r="X15" i="1" s="1"/>
  <c r="I15" i="1"/>
  <c r="V15" i="1" s="1"/>
  <c r="AB15" i="1" l="1"/>
  <c r="AF15" i="1"/>
  <c r="AJ15" i="1" s="1"/>
  <c r="D11" i="1"/>
  <c r="D12" i="1" s="1"/>
  <c r="D35" i="1"/>
  <c r="AF31" i="1"/>
  <c r="AJ31" i="1" s="1"/>
  <c r="D27" i="1"/>
  <c r="F43" i="1" l="1"/>
  <c r="V43" i="1" s="1"/>
  <c r="AB43" i="1" s="1"/>
  <c r="G42" i="1"/>
  <c r="V42" i="1" s="1"/>
  <c r="AB42" i="1" s="1"/>
  <c r="D39" i="1" s="1"/>
  <c r="AF42" i="1" l="1"/>
  <c r="AJ42" i="1" s="1"/>
  <c r="D40" i="1" s="1"/>
</calcChain>
</file>

<file path=xl/sharedStrings.xml><?xml version="1.0" encoding="utf-8"?>
<sst xmlns="http://schemas.openxmlformats.org/spreadsheetml/2006/main" count="99" uniqueCount="35">
  <si>
    <t>DMP</t>
  </si>
  <si>
    <t>DMP is determined seperately for each fleet using total information for all 3 sorties, each measured day. DMP is YES or NO</t>
  </si>
  <si>
    <t>C1</t>
  </si>
  <si>
    <r>
      <t>Contracted Aircraft</t>
    </r>
    <r>
      <rPr>
        <sz val="10"/>
        <rFont val="Arial"/>
        <family val="2"/>
      </rPr>
      <t xml:space="preserve"> (The lower of Total Aircraft Requested or Attachment 0004 Required Aircraft Table Requirement</t>
    </r>
    <r>
      <rPr>
        <b/>
        <sz val="10"/>
        <rFont val="Arial"/>
        <family val="2"/>
      </rPr>
      <t>)</t>
    </r>
  </si>
  <si>
    <t>C2</t>
  </si>
  <si>
    <r>
      <t>Initial Issue Aircraft Total</t>
    </r>
    <r>
      <rPr>
        <sz val="10"/>
        <rFont val="Arial"/>
        <family val="2"/>
      </rPr>
      <t xml:space="preserve"> (The total number of Initial Issue aircraft including spares). This does not include Surge aircraft</t>
    </r>
  </si>
  <si>
    <t>C3</t>
  </si>
  <si>
    <r>
      <t>Initial Issue Aircraft Rejects</t>
    </r>
    <r>
      <rPr>
        <sz val="10"/>
        <rFont val="Arial"/>
        <family val="2"/>
      </rPr>
      <t xml:space="preserve"> (The total number of Initial Issue aircraft rejects for all launch periods for the day)</t>
    </r>
  </si>
  <si>
    <t>C4</t>
  </si>
  <si>
    <r>
      <t>Approved IRAPs</t>
    </r>
    <r>
      <rPr>
        <sz val="10"/>
        <rFont val="Arial"/>
        <family val="2"/>
      </rPr>
      <t xml:space="preserve"> (The total number approved IRAPs for rejected Initial Issue aircraft)</t>
    </r>
  </si>
  <si>
    <t>C5</t>
  </si>
  <si>
    <r>
      <rPr>
        <b/>
        <sz val="10"/>
        <rFont val="Arial"/>
        <family val="2"/>
      </rPr>
      <t>Adjusted Initial Issue Aircraf</t>
    </r>
    <r>
      <rPr>
        <sz val="10"/>
        <rFont val="Arial"/>
        <family val="2"/>
      </rPr>
      <t>t (=</t>
    </r>
    <r>
      <rPr>
        <b/>
        <sz val="10"/>
        <rFont val="Arial"/>
        <family val="2"/>
      </rPr>
      <t>Initial Issue Aircraft Total</t>
    </r>
    <r>
      <rPr>
        <sz val="10"/>
        <rFont val="Arial"/>
        <family val="2"/>
      </rPr>
      <t xml:space="preserve"> - (</t>
    </r>
    <r>
      <rPr>
        <b/>
        <sz val="10"/>
        <rFont val="Arial"/>
        <family val="2"/>
      </rPr>
      <t>Initial Issue Aircraft Rejects</t>
    </r>
    <r>
      <rPr>
        <sz val="10"/>
        <rFont val="Arial"/>
        <family val="2"/>
      </rPr>
      <t>-</t>
    </r>
    <r>
      <rPr>
        <b/>
        <sz val="10"/>
        <rFont val="Arial"/>
        <family val="2"/>
      </rPr>
      <t>Approved IRAPs</t>
    </r>
    <r>
      <rPr>
        <sz val="10"/>
        <rFont val="Arial"/>
        <family val="2"/>
      </rPr>
      <t>))</t>
    </r>
  </si>
  <si>
    <t>-</t>
  </si>
  <si>
    <t>(</t>
  </si>
  <si>
    <t>)</t>
  </si>
  <si>
    <t>X</t>
  </si>
  <si>
    <t>=</t>
  </si>
  <si>
    <t>MSMP</t>
  </si>
  <si>
    <t xml:space="preserve">MSMP is a cumulative monthly measure for each fleet </t>
  </si>
  <si>
    <r>
      <t xml:space="preserve">Contracted Aircraft </t>
    </r>
    <r>
      <rPr>
        <sz val="10"/>
        <rFont val="Arial"/>
        <family val="2"/>
      </rPr>
      <t>(The lower of Total Aircraft Requested or Attachment 0004 Required Aircraft Table Requirement)</t>
    </r>
  </si>
  <si>
    <r>
      <rPr>
        <b/>
        <sz val="10"/>
        <rFont val="Arial"/>
        <family val="2"/>
      </rPr>
      <t>Adjusted Initial Issue Aircraf</t>
    </r>
    <r>
      <rPr>
        <sz val="10"/>
        <rFont val="Arial"/>
        <family val="2"/>
      </rPr>
      <t>t (=Initial Issue Aircraft Total - (Initial Issue Aircraft Rejects-Approved IRAPs))</t>
    </r>
  </si>
  <si>
    <t>C6</t>
  </si>
  <si>
    <r>
      <t xml:space="preserve">Adjusted Initial Issue Aircraft </t>
    </r>
    <r>
      <rPr>
        <sz val="10"/>
        <rFont val="Arial"/>
        <family val="2"/>
      </rPr>
      <t>(not to excee</t>
    </r>
    <r>
      <rPr>
        <b/>
        <sz val="10"/>
        <rFont val="Arial"/>
        <family val="2"/>
      </rPr>
      <t xml:space="preserve">d Contracted Aircraft; </t>
    </r>
    <r>
      <rPr>
        <sz val="10"/>
        <rFont val="Arial"/>
        <family val="2"/>
      </rPr>
      <t>capped at 100% prior to surge)</t>
    </r>
  </si>
  <si>
    <t>C7</t>
  </si>
  <si>
    <t>C8</t>
  </si>
  <si>
    <t>C9</t>
  </si>
  <si>
    <t>C10</t>
  </si>
  <si>
    <t>+</t>
  </si>
  <si>
    <r>
      <t>Additional Issue/Surge Aircraft Issued</t>
    </r>
    <r>
      <rPr>
        <sz val="10"/>
        <rFont val="Arial"/>
        <family val="2"/>
      </rPr>
      <t xml:space="preserve"> (The total number of Additional Issue/surge aircraft issued, including spares)</t>
    </r>
  </si>
  <si>
    <r>
      <t xml:space="preserve">Additional Issue/Surge Aircraft Rejects </t>
    </r>
    <r>
      <rPr>
        <sz val="10"/>
        <rFont val="Arial"/>
        <family val="2"/>
      </rPr>
      <t>(The total number of Additional Issue/Surge aircraft rejects for all launch periods for the day)</t>
    </r>
  </si>
  <si>
    <r>
      <t xml:space="preserve">Approved Additional Issue/Surge IRAPs </t>
    </r>
    <r>
      <rPr>
        <sz val="10"/>
        <rFont val="Arial"/>
        <family val="2"/>
      </rPr>
      <t>(The total number approved IRAPs for rejected Additional Issue/Surge aircraft)</t>
    </r>
  </si>
  <si>
    <r>
      <t xml:space="preserve">Additional Issue/Surge Aicraft Total </t>
    </r>
    <r>
      <rPr>
        <sz val="10"/>
        <rFont val="Arial"/>
        <family val="2"/>
      </rPr>
      <t>(=(Adjusted Initial Issue Aircraft + Additional Issue/Surge Aircraft Issued)- (Additional Issue/Surge Aircraft Rejects-Approved Additional Issue/Surge IRAPs))</t>
    </r>
  </si>
  <si>
    <r>
      <t>MSMP</t>
    </r>
    <r>
      <rPr>
        <sz val="10"/>
        <rFont val="Arial"/>
        <family val="2"/>
      </rPr>
      <t xml:space="preserve"> (=(Additional Issue/Surge Aircraft Total divided by (/) Adjusted Initial Issue Aircraft) x 100)</t>
    </r>
  </si>
  <si>
    <r>
      <t xml:space="preserve">DMP </t>
    </r>
    <r>
      <rPr>
        <sz val="10"/>
        <rFont val="Arial"/>
        <family val="2"/>
      </rPr>
      <t>(DMP is Yes for the fleet for the day if C5-Adjusted Initial Issue Aircraft is &gt;= C1 Contracted Aircraft. DMP is NO for the day for a fleet if C5-Adjusted Initial Issue Aircraft is &lt; C1 Contracted Aircraft</t>
    </r>
  </si>
  <si>
    <r>
      <t xml:space="preserve">ATTACHMENT 0002 Mission Performance Calculation                                                                                           </t>
    </r>
    <r>
      <rPr>
        <sz val="11"/>
        <rFont val="Arial"/>
        <family val="2"/>
      </rPr>
      <t>(v1.7 7APR26)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</si>
</sst>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sz val="14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/>
      <right/>
      <top/>
      <bottom style="thick">
        <color indexed="10"/>
      </bottom>
      <diagonal/>
    </border>
    <border>
      <left style="thick">
        <color indexed="10"/>
      </left>
      <right/>
      <top style="thick">
        <color indexed="10"/>
      </top>
      <bottom/>
      <diagonal/>
    </border>
    <border>
      <left/>
      <right/>
      <top style="thick">
        <color indexed="10"/>
      </top>
      <bottom/>
      <diagonal/>
    </border>
    <border>
      <left/>
      <right style="thick">
        <color indexed="10"/>
      </right>
      <top style="thick">
        <color indexed="10"/>
      </top>
      <bottom/>
      <diagonal/>
    </border>
    <border>
      <left style="thick">
        <color indexed="10"/>
      </left>
      <right/>
      <top/>
      <bottom/>
      <diagonal/>
    </border>
    <border>
      <left/>
      <right style="thick">
        <color indexed="1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1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ck">
        <color indexed="10"/>
      </left>
      <right/>
      <top/>
      <bottom style="thick">
        <color indexed="10"/>
      </bottom>
      <diagonal/>
    </border>
    <border>
      <left/>
      <right style="thick">
        <color indexed="10"/>
      </right>
      <top/>
      <bottom style="thick">
        <color indexed="1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0" xfId="0" applyFont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/>
    <xf numFmtId="0" fontId="2" fillId="0" borderId="3" xfId="0" applyFont="1" applyBorder="1"/>
    <xf numFmtId="0" fontId="0" fillId="0" borderId="4" xfId="0" applyBorder="1"/>
    <xf numFmtId="0" fontId="2" fillId="0" borderId="0" xfId="0" applyFont="1"/>
    <xf numFmtId="0" fontId="0" fillId="0" borderId="5" xfId="0" applyBorder="1"/>
    <xf numFmtId="0" fontId="3" fillId="0" borderId="0" xfId="0" applyFont="1" applyAlignment="1">
      <alignment horizontal="center"/>
    </xf>
    <xf numFmtId="0" fontId="4" fillId="0" borderId="0" xfId="0" applyFont="1"/>
    <xf numFmtId="0" fontId="0" fillId="0" borderId="6" xfId="0" applyBorder="1"/>
    <xf numFmtId="0" fontId="2" fillId="0" borderId="5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3" fillId="0" borderId="5" xfId="0" applyFont="1" applyBorder="1" applyAlignment="1">
      <alignment horizontal="center"/>
    </xf>
    <xf numFmtId="1" fontId="5" fillId="0" borderId="0" xfId="0" applyNumberFormat="1" applyFont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7" xfId="0" applyBorder="1"/>
    <xf numFmtId="0" fontId="0" fillId="0" borderId="8" xfId="0" applyBorder="1"/>
    <xf numFmtId="0" fontId="5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2" fillId="0" borderId="11" xfId="0" applyFont="1" applyBorder="1" applyAlignment="1">
      <alignment horizontal="right"/>
    </xf>
    <xf numFmtId="0" fontId="3" fillId="0" borderId="11" xfId="0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left"/>
    </xf>
    <xf numFmtId="1" fontId="3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right"/>
    </xf>
    <xf numFmtId="0" fontId="0" fillId="0" borderId="12" xfId="0" applyBorder="1"/>
    <xf numFmtId="1" fontId="2" fillId="0" borderId="0" xfId="0" applyNumberFormat="1" applyFont="1" applyAlignment="1">
      <alignment horizontal="center"/>
    </xf>
    <xf numFmtId="0" fontId="0" fillId="0" borderId="13" xfId="0" applyBorder="1"/>
    <xf numFmtId="0" fontId="3" fillId="0" borderId="14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3" fillId="0" borderId="14" xfId="0" applyFont="1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0" borderId="17" xfId="0" applyBorder="1"/>
    <xf numFmtId="0" fontId="6" fillId="0" borderId="0" xfId="0" applyFont="1"/>
    <xf numFmtId="1" fontId="5" fillId="0" borderId="0" xfId="0" applyNumberFormat="1" applyFont="1" applyAlignment="1" applyProtection="1">
      <alignment horizontal="right"/>
      <protection locked="0"/>
    </xf>
    <xf numFmtId="0" fontId="4" fillId="0" borderId="0" xfId="0" applyFont="1" applyAlignment="1">
      <alignment horizontal="left"/>
    </xf>
    <xf numFmtId="0" fontId="0" fillId="0" borderId="18" xfId="0" applyBorder="1"/>
    <xf numFmtId="0" fontId="0" fillId="0" borderId="19" xfId="0" applyBorder="1"/>
    <xf numFmtId="0" fontId="5" fillId="0" borderId="19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3" fillId="0" borderId="24" xfId="0" applyFont="1" applyBorder="1" applyAlignment="1">
      <alignment horizontal="center"/>
    </xf>
    <xf numFmtId="0" fontId="3" fillId="0" borderId="24" xfId="0" applyFont="1" applyBorder="1"/>
    <xf numFmtId="0" fontId="0" fillId="0" borderId="24" xfId="0" applyBorder="1"/>
    <xf numFmtId="0" fontId="0" fillId="0" borderId="25" xfId="0" applyBorder="1"/>
    <xf numFmtId="1" fontId="5" fillId="0" borderId="0" xfId="0" applyNumberFormat="1" applyFont="1" applyAlignment="1">
      <alignment horizontal="center"/>
    </xf>
    <xf numFmtId="0" fontId="3" fillId="0" borderId="0" xfId="0" applyFont="1"/>
    <xf numFmtId="0" fontId="5" fillId="0" borderId="0" xfId="0" applyFont="1" applyAlignment="1">
      <alignment horizontal="right"/>
    </xf>
    <xf numFmtId="165" fontId="5" fillId="0" borderId="0" xfId="0" applyNumberFormat="1" applyFont="1" applyAlignment="1" applyProtection="1">
      <alignment horizontal="center"/>
      <protection locked="0"/>
    </xf>
    <xf numFmtId="0" fontId="0" fillId="0" borderId="5" xfId="0" applyBorder="1" applyAlignment="1">
      <alignment wrapText="1"/>
    </xf>
    <xf numFmtId="0" fontId="5" fillId="0" borderId="0" xfId="0" applyFont="1" applyAlignment="1">
      <alignment horizontal="center" wrapText="1"/>
    </xf>
    <xf numFmtId="1" fontId="5" fillId="0" borderId="0" xfId="0" applyNumberFormat="1" applyFont="1" applyAlignment="1" applyProtection="1">
      <alignment horizontal="center" wrapText="1"/>
      <protection locked="0"/>
    </xf>
    <xf numFmtId="0" fontId="0" fillId="0" borderId="6" xfId="0" applyBorder="1" applyAlignment="1">
      <alignment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0" xfId="0" applyFont="1" applyAlignment="1">
      <alignment horizontal="left" wrapText="1"/>
    </xf>
    <xf numFmtId="1" fontId="2" fillId="0" borderId="0" xfId="0" applyNumberFormat="1" applyFont="1" applyAlignment="1" applyProtection="1">
      <alignment horizontal="left"/>
      <protection locked="0"/>
    </xf>
    <xf numFmtId="1" fontId="3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" fontId="5" fillId="0" borderId="14" xfId="0" applyNumberFormat="1" applyFont="1" applyBorder="1" applyAlignment="1">
      <alignment horizontal="center"/>
    </xf>
    <xf numFmtId="1" fontId="2" fillId="0" borderId="5" xfId="0" applyNumberFormat="1" applyFont="1" applyBorder="1" applyAlignment="1" applyProtection="1">
      <alignment horizontal="left"/>
      <protection locked="0"/>
    </xf>
    <xf numFmtId="1" fontId="5" fillId="0" borderId="24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O46"/>
  <sheetViews>
    <sheetView tabSelected="1" workbookViewId="0">
      <selection activeCell="AN12" sqref="AN12"/>
    </sheetView>
  </sheetViews>
  <sheetFormatPr defaultRowHeight="15" x14ac:dyDescent="0.25"/>
  <cols>
    <col min="1" max="1" width="2.7109375" customWidth="1"/>
    <col min="2" max="2" width="3.28515625" customWidth="1"/>
    <col min="3" max="3" width="6" customWidth="1"/>
    <col min="4" max="4" width="9" customWidth="1"/>
    <col min="5" max="5" width="8.7109375" customWidth="1"/>
    <col min="6" max="6" width="2.42578125" customWidth="1"/>
    <col min="7" max="7" width="5.7109375" customWidth="1"/>
    <col min="8" max="8" width="2.5703125" customWidth="1"/>
    <col min="9" max="9" width="5.7109375" customWidth="1"/>
    <col min="10" max="12" width="2.42578125" customWidth="1"/>
    <col min="13" max="13" width="5.7109375" customWidth="1"/>
    <col min="14" max="14" width="2.5703125" customWidth="1"/>
    <col min="15" max="15" width="5.7109375" customWidth="1"/>
    <col min="16" max="16" width="2.7109375" customWidth="1"/>
    <col min="17" max="17" width="5.7109375" customWidth="1"/>
    <col min="18" max="18" width="2.42578125" customWidth="1"/>
    <col min="19" max="19" width="3.7109375" customWidth="1"/>
    <col min="20" max="20" width="5.7109375" customWidth="1"/>
    <col min="21" max="21" width="3.7109375" customWidth="1"/>
    <col min="22" max="22" width="5.7109375" customWidth="1"/>
    <col min="23" max="23" width="2.42578125" customWidth="1"/>
    <col min="24" max="24" width="5.7109375" customWidth="1"/>
    <col min="25" max="25" width="3.7109375" customWidth="1"/>
    <col min="26" max="26" width="5.7109375" customWidth="1"/>
    <col min="27" max="27" width="3.7109375" customWidth="1"/>
    <col min="28" max="28" width="5.7109375" customWidth="1"/>
    <col min="29" max="29" width="3.7109375" customWidth="1"/>
    <col min="30" max="30" width="5.7109375" customWidth="1"/>
    <col min="31" max="31" width="3.7109375" customWidth="1"/>
    <col min="32" max="32" width="6.7109375" customWidth="1"/>
    <col min="33" max="33" width="3.7109375" customWidth="1"/>
    <col min="34" max="34" width="5.7109375" customWidth="1"/>
    <col min="35" max="35" width="3.7109375" customWidth="1"/>
    <col min="36" max="36" width="7.7109375" customWidth="1"/>
    <col min="37" max="37" width="2.5703125" customWidth="1"/>
    <col min="38" max="39" width="2.7109375" customWidth="1"/>
    <col min="40" max="40" width="6.85546875" customWidth="1"/>
    <col min="41" max="41" width="46" customWidth="1"/>
  </cols>
  <sheetData>
    <row r="1" spans="2:41" ht="12.75" customHeight="1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2:41" ht="18" x14ac:dyDescent="0.25">
      <c r="B2" s="68" t="s">
        <v>34</v>
      </c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</row>
    <row r="3" spans="2:41" ht="15.75" thickBot="1" x14ac:dyDescent="0.3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2:41" ht="15.75" thickTop="1" x14ac:dyDescent="0.25">
      <c r="B4" s="3"/>
      <c r="C4" s="4"/>
      <c r="D4" s="5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6"/>
      <c r="AO4" s="7"/>
    </row>
    <row r="5" spans="2:41" x14ac:dyDescent="0.25">
      <c r="B5" s="8"/>
      <c r="C5" s="9"/>
      <c r="D5" s="7"/>
      <c r="E5" s="10"/>
      <c r="AL5" s="11"/>
      <c r="AO5" s="7"/>
    </row>
    <row r="6" spans="2:41" x14ac:dyDescent="0.25">
      <c r="B6" s="69" t="s">
        <v>1</v>
      </c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11"/>
      <c r="AO6" s="7"/>
    </row>
    <row r="7" spans="2:41" x14ac:dyDescent="0.25">
      <c r="B7" s="12"/>
      <c r="C7" s="13" t="s">
        <v>2</v>
      </c>
      <c r="D7" s="15">
        <v>28</v>
      </c>
      <c r="E7" s="67" t="s">
        <v>3</v>
      </c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11"/>
      <c r="AO7" s="7"/>
    </row>
    <row r="8" spans="2:41" x14ac:dyDescent="0.25">
      <c r="B8" s="14"/>
      <c r="C8" s="13" t="s">
        <v>4</v>
      </c>
      <c r="D8" s="15">
        <v>30</v>
      </c>
      <c r="E8" s="67" t="s">
        <v>5</v>
      </c>
      <c r="F8" s="67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11"/>
      <c r="AO8" s="7"/>
    </row>
    <row r="9" spans="2:41" x14ac:dyDescent="0.25">
      <c r="B9" s="14"/>
      <c r="C9" s="13" t="s">
        <v>6</v>
      </c>
      <c r="D9" s="15">
        <v>2</v>
      </c>
      <c r="E9" s="67" t="s">
        <v>7</v>
      </c>
      <c r="F9" s="67"/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11"/>
    </row>
    <row r="10" spans="2:41" x14ac:dyDescent="0.25">
      <c r="B10" s="14"/>
      <c r="C10" s="13" t="s">
        <v>8</v>
      </c>
      <c r="D10" s="15">
        <v>1</v>
      </c>
      <c r="E10" s="67" t="s">
        <v>9</v>
      </c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11"/>
    </row>
    <row r="11" spans="2:41" x14ac:dyDescent="0.25">
      <c r="B11" s="8"/>
      <c r="C11" s="13" t="s">
        <v>10</v>
      </c>
      <c r="D11" s="15">
        <f>AB15</f>
        <v>29</v>
      </c>
      <c r="E11" s="67" t="s">
        <v>11</v>
      </c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11"/>
    </row>
    <row r="12" spans="2:41" ht="27.75" customHeight="1" x14ac:dyDescent="0.25">
      <c r="B12" s="8"/>
      <c r="C12" s="13" t="s">
        <v>0</v>
      </c>
      <c r="D12" s="15" t="str">
        <f>IF(D11&gt;=D7,"YES","NO")</f>
        <v>YES</v>
      </c>
      <c r="E12" s="70" t="s">
        <v>33</v>
      </c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11"/>
    </row>
    <row r="13" spans="2:41" x14ac:dyDescent="0.25">
      <c r="B13" s="8"/>
      <c r="C13" s="16"/>
      <c r="D13" s="71"/>
      <c r="E13" s="71"/>
      <c r="F13" s="71"/>
      <c r="G13" s="71"/>
      <c r="H13" s="71"/>
      <c r="I13" s="71"/>
      <c r="J13" s="71"/>
      <c r="K13" s="71"/>
      <c r="L13" s="71"/>
      <c r="M13" s="71"/>
      <c r="N13" s="71"/>
      <c r="O13" s="71"/>
      <c r="P13" s="71"/>
      <c r="Q13" s="71"/>
      <c r="R13" s="71"/>
      <c r="S13" s="71"/>
      <c r="T13" s="71"/>
      <c r="U13" s="71"/>
      <c r="V13" s="71"/>
      <c r="W13" s="71"/>
      <c r="X13" s="71"/>
      <c r="Y13" s="71"/>
      <c r="Z13" s="71"/>
      <c r="AA13" s="71"/>
      <c r="AB13" s="71"/>
      <c r="AC13" s="71"/>
      <c r="AD13" s="71"/>
      <c r="AE13" s="71"/>
      <c r="AF13" s="71"/>
      <c r="AG13" s="71"/>
      <c r="AH13" s="71"/>
      <c r="AI13" s="71"/>
      <c r="AJ13" s="71"/>
      <c r="AK13" s="71"/>
      <c r="AL13" s="11"/>
    </row>
    <row r="14" spans="2:41" x14ac:dyDescent="0.25">
      <c r="B14" s="8"/>
      <c r="D14" s="17"/>
      <c r="E14" s="18"/>
      <c r="F14" s="19"/>
      <c r="G14" s="19"/>
      <c r="H14" s="20"/>
      <c r="I14" s="20" t="s">
        <v>4</v>
      </c>
      <c r="J14" s="20"/>
      <c r="K14" s="20"/>
      <c r="L14" s="20"/>
      <c r="M14" s="20" t="s">
        <v>6</v>
      </c>
      <c r="N14" s="20"/>
      <c r="O14" s="20" t="s">
        <v>8</v>
      </c>
      <c r="P14" s="20"/>
      <c r="Q14" s="20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0" t="s">
        <v>10</v>
      </c>
      <c r="AC14" s="21"/>
      <c r="AD14" s="21"/>
      <c r="AE14" s="21"/>
      <c r="AF14" s="21"/>
      <c r="AG14" s="21"/>
      <c r="AH14" s="21"/>
      <c r="AI14" s="21"/>
      <c r="AJ14" s="20"/>
      <c r="AK14" s="22"/>
      <c r="AL14" s="11"/>
    </row>
    <row r="15" spans="2:41" ht="15.75" thickBot="1" x14ac:dyDescent="0.3">
      <c r="B15" s="8"/>
      <c r="D15" s="17"/>
      <c r="E15" s="23"/>
      <c r="F15" s="24"/>
      <c r="G15" s="24"/>
      <c r="H15" s="25"/>
      <c r="I15" s="26">
        <f>D8</f>
        <v>30</v>
      </c>
      <c r="J15" s="27"/>
      <c r="K15" s="28" t="s">
        <v>12</v>
      </c>
      <c r="L15" s="29" t="s">
        <v>13</v>
      </c>
      <c r="M15" s="26">
        <f>D9</f>
        <v>2</v>
      </c>
      <c r="N15" s="28" t="s">
        <v>12</v>
      </c>
      <c r="O15" s="26">
        <f>D10</f>
        <v>1</v>
      </c>
      <c r="P15" s="27" t="s">
        <v>14</v>
      </c>
      <c r="Q15" s="26"/>
      <c r="S15" s="72" t="s">
        <v>15</v>
      </c>
      <c r="T15" s="73">
        <v>100</v>
      </c>
      <c r="U15" s="72" t="s">
        <v>16</v>
      </c>
      <c r="V15" s="26">
        <f>I15</f>
        <v>30</v>
      </c>
      <c r="W15" s="25" t="s">
        <v>12</v>
      </c>
      <c r="X15" s="26">
        <f>M15-O15</f>
        <v>1</v>
      </c>
      <c r="Y15" s="72" t="s">
        <v>15</v>
      </c>
      <c r="Z15" s="73">
        <v>100</v>
      </c>
      <c r="AA15" s="72" t="s">
        <v>16</v>
      </c>
      <c r="AB15" s="26">
        <f>V15-X15</f>
        <v>29</v>
      </c>
      <c r="AC15" s="72" t="s">
        <v>15</v>
      </c>
      <c r="AD15" s="73">
        <v>100</v>
      </c>
      <c r="AE15" s="72" t="s">
        <v>16</v>
      </c>
      <c r="AF15" s="74">
        <f>AB15/AB16</f>
        <v>1.0357142857142858</v>
      </c>
      <c r="AG15" s="72" t="s">
        <v>15</v>
      </c>
      <c r="AH15" s="73">
        <v>100</v>
      </c>
      <c r="AI15" s="72" t="s">
        <v>16</v>
      </c>
      <c r="AJ15" s="75">
        <f>ROUNDDOWN(AF15*AH15,1)</f>
        <v>103.5</v>
      </c>
      <c r="AK15" s="30"/>
      <c r="AL15" s="11"/>
    </row>
    <row r="16" spans="2:41" x14ac:dyDescent="0.25">
      <c r="B16" s="8"/>
      <c r="D16" s="17"/>
      <c r="E16" s="23"/>
      <c r="F16" s="76">
        <f>D7</f>
        <v>28</v>
      </c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6"/>
      <c r="R16" s="76"/>
      <c r="S16" s="72"/>
      <c r="T16" s="73"/>
      <c r="U16" s="72"/>
      <c r="V16" s="76">
        <f>F16</f>
        <v>28</v>
      </c>
      <c r="W16" s="77"/>
      <c r="X16" s="77"/>
      <c r="Y16" s="72"/>
      <c r="Z16" s="73"/>
      <c r="AA16" s="72"/>
      <c r="AB16" s="31">
        <f>V16</f>
        <v>28</v>
      </c>
      <c r="AC16" s="72"/>
      <c r="AD16" s="73"/>
      <c r="AE16" s="72"/>
      <c r="AF16" s="74"/>
      <c r="AG16" s="72"/>
      <c r="AH16" s="73"/>
      <c r="AI16" s="72"/>
      <c r="AJ16" s="75"/>
      <c r="AK16" s="30"/>
      <c r="AL16" s="11"/>
    </row>
    <row r="17" spans="2:38" x14ac:dyDescent="0.25">
      <c r="B17" s="8"/>
      <c r="D17" s="17"/>
      <c r="E17" s="32"/>
      <c r="F17" s="78" t="s">
        <v>2</v>
      </c>
      <c r="G17" s="78"/>
      <c r="H17" s="78"/>
      <c r="I17" s="78"/>
      <c r="J17" s="78"/>
      <c r="K17" s="78"/>
      <c r="L17" s="78"/>
      <c r="M17" s="78"/>
      <c r="N17" s="78"/>
      <c r="O17" s="78"/>
      <c r="P17" s="78"/>
      <c r="Q17" s="78"/>
      <c r="R17" s="78"/>
      <c r="S17" s="33"/>
      <c r="T17" s="33"/>
      <c r="U17" s="33"/>
      <c r="V17" s="33"/>
      <c r="W17" s="33"/>
      <c r="X17" s="33"/>
      <c r="Y17" s="33"/>
      <c r="Z17" s="33"/>
      <c r="AA17" s="33"/>
      <c r="AB17" s="34" t="s">
        <v>2</v>
      </c>
      <c r="AC17" s="35"/>
      <c r="AD17" s="33"/>
      <c r="AE17" s="36"/>
      <c r="AF17" s="36"/>
      <c r="AG17" s="36"/>
      <c r="AH17" s="36"/>
      <c r="AI17" s="36"/>
      <c r="AJ17" s="36"/>
      <c r="AK17" s="37"/>
      <c r="AL17" s="11"/>
    </row>
    <row r="18" spans="2:38" ht="15.75" thickBot="1" x14ac:dyDescent="0.3">
      <c r="B18" s="38"/>
      <c r="C18" s="39"/>
      <c r="D18" s="40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39"/>
      <c r="AI18" s="39"/>
      <c r="AJ18" s="39"/>
      <c r="AK18" s="39"/>
      <c r="AL18" s="41"/>
    </row>
    <row r="19" spans="2:38" ht="16.5" thickTop="1" thickBot="1" x14ac:dyDescent="0.3">
      <c r="W19" s="42"/>
    </row>
    <row r="20" spans="2:38" ht="15.75" thickTop="1" x14ac:dyDescent="0.25">
      <c r="B20" s="3"/>
      <c r="C20" s="4"/>
      <c r="D20" s="5" t="s">
        <v>17</v>
      </c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6"/>
    </row>
    <row r="21" spans="2:38" x14ac:dyDescent="0.25">
      <c r="B21" s="8"/>
      <c r="C21" s="9"/>
      <c r="E21" s="10"/>
      <c r="AL21" s="11"/>
    </row>
    <row r="22" spans="2:38" x14ac:dyDescent="0.25">
      <c r="B22" s="79" t="s">
        <v>18</v>
      </c>
      <c r="C22" s="71"/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11"/>
    </row>
    <row r="23" spans="2:38" x14ac:dyDescent="0.25">
      <c r="B23" s="14"/>
      <c r="C23" s="13" t="s">
        <v>2</v>
      </c>
      <c r="D23" s="15">
        <v>28</v>
      </c>
      <c r="E23" s="67" t="s">
        <v>19</v>
      </c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11"/>
    </row>
    <row r="24" spans="2:38" x14ac:dyDescent="0.25">
      <c r="B24" s="14"/>
      <c r="C24" s="13" t="s">
        <v>4</v>
      </c>
      <c r="D24" s="15">
        <v>30</v>
      </c>
      <c r="E24" s="67" t="s">
        <v>5</v>
      </c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11"/>
    </row>
    <row r="25" spans="2:38" x14ac:dyDescent="0.25">
      <c r="B25" s="14"/>
      <c r="C25" s="13" t="s">
        <v>6</v>
      </c>
      <c r="D25" s="15">
        <v>2</v>
      </c>
      <c r="E25" s="67" t="s">
        <v>7</v>
      </c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11"/>
    </row>
    <row r="26" spans="2:38" x14ac:dyDescent="0.25">
      <c r="B26" s="14"/>
      <c r="C26" s="13" t="s">
        <v>8</v>
      </c>
      <c r="D26" s="15">
        <v>1</v>
      </c>
      <c r="E26" s="67" t="s">
        <v>9</v>
      </c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7"/>
      <c r="AC26" s="67"/>
      <c r="AD26" s="67"/>
      <c r="AE26" s="67"/>
      <c r="AF26" s="67"/>
      <c r="AG26" s="67"/>
      <c r="AH26" s="67"/>
      <c r="AI26" s="67"/>
      <c r="AJ26" s="67"/>
      <c r="AK26" s="67"/>
      <c r="AL26" s="11"/>
    </row>
    <row r="27" spans="2:38" x14ac:dyDescent="0.25">
      <c r="B27" s="8"/>
      <c r="C27" s="13" t="s">
        <v>10</v>
      </c>
      <c r="D27" s="15">
        <f>AB31</f>
        <v>29</v>
      </c>
      <c r="E27" s="67" t="s">
        <v>20</v>
      </c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7"/>
      <c r="AC27" s="67"/>
      <c r="AD27" s="67"/>
      <c r="AE27" s="67"/>
      <c r="AF27" s="67"/>
      <c r="AG27" s="67"/>
      <c r="AH27" s="67"/>
      <c r="AI27" s="67"/>
      <c r="AJ27" s="67"/>
      <c r="AK27" s="67"/>
      <c r="AL27" s="11"/>
    </row>
    <row r="28" spans="2:38" x14ac:dyDescent="0.25">
      <c r="B28" s="8"/>
      <c r="C28" s="13"/>
      <c r="D28" s="43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4"/>
      <c r="AH28" s="44"/>
      <c r="AL28" s="11"/>
    </row>
    <row r="29" spans="2:38" ht="15.75" thickBot="1" x14ac:dyDescent="0.3">
      <c r="B29" s="8"/>
      <c r="C29" s="16"/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11"/>
    </row>
    <row r="30" spans="2:38" x14ac:dyDescent="0.25">
      <c r="B30" s="8"/>
      <c r="D30" s="17"/>
      <c r="E30" s="45"/>
      <c r="F30" s="46"/>
      <c r="G30" s="46"/>
      <c r="H30" s="47"/>
      <c r="I30" s="47" t="s">
        <v>4</v>
      </c>
      <c r="J30" s="47"/>
      <c r="K30" s="47"/>
      <c r="L30" s="47"/>
      <c r="M30" s="47" t="s">
        <v>6</v>
      </c>
      <c r="N30" s="47"/>
      <c r="O30" s="47" t="s">
        <v>8</v>
      </c>
      <c r="P30" s="47"/>
      <c r="Q30" s="47"/>
      <c r="R30" s="48"/>
      <c r="S30" s="48"/>
      <c r="T30" s="48"/>
      <c r="U30" s="48"/>
      <c r="V30" s="48"/>
      <c r="W30" s="48"/>
      <c r="X30" s="48"/>
      <c r="Y30" s="48"/>
      <c r="Z30" s="48"/>
      <c r="AA30" s="48"/>
      <c r="AB30" s="47" t="s">
        <v>10</v>
      </c>
      <c r="AC30" s="48"/>
      <c r="AD30" s="48"/>
      <c r="AE30" s="48"/>
      <c r="AF30" s="48"/>
      <c r="AG30" s="48"/>
      <c r="AH30" s="48"/>
      <c r="AI30" s="48"/>
      <c r="AJ30" s="49"/>
      <c r="AK30" s="50"/>
      <c r="AL30" s="11"/>
    </row>
    <row r="31" spans="2:38" ht="15.75" thickBot="1" x14ac:dyDescent="0.3">
      <c r="B31" s="8"/>
      <c r="D31" s="17"/>
      <c r="E31" s="51"/>
      <c r="F31" s="24"/>
      <c r="G31" s="24"/>
      <c r="H31" s="25"/>
      <c r="I31" s="26">
        <f>D24</f>
        <v>30</v>
      </c>
      <c r="J31" s="27"/>
      <c r="K31" s="28" t="s">
        <v>12</v>
      </c>
      <c r="L31" s="29" t="s">
        <v>13</v>
      </c>
      <c r="M31" s="26">
        <f>D25</f>
        <v>2</v>
      </c>
      <c r="N31" s="28" t="s">
        <v>12</v>
      </c>
      <c r="O31" s="26">
        <f>D26</f>
        <v>1</v>
      </c>
      <c r="P31" s="27" t="s">
        <v>14</v>
      </c>
      <c r="Q31" s="26"/>
      <c r="S31" s="72" t="s">
        <v>15</v>
      </c>
      <c r="T31" s="73">
        <v>100</v>
      </c>
      <c r="U31" s="72" t="s">
        <v>16</v>
      </c>
      <c r="V31" s="26">
        <f>I31</f>
        <v>30</v>
      </c>
      <c r="W31" s="25" t="s">
        <v>12</v>
      </c>
      <c r="X31" s="26">
        <f>M31-O31</f>
        <v>1</v>
      </c>
      <c r="Y31" s="72" t="s">
        <v>15</v>
      </c>
      <c r="Z31" s="73">
        <v>100</v>
      </c>
      <c r="AA31" s="72" t="s">
        <v>16</v>
      </c>
      <c r="AB31" s="26">
        <f>V31-X31</f>
        <v>29</v>
      </c>
      <c r="AC31" s="72" t="s">
        <v>15</v>
      </c>
      <c r="AD31" s="73">
        <v>100</v>
      </c>
      <c r="AE31" s="72" t="s">
        <v>16</v>
      </c>
      <c r="AF31" s="74">
        <f>AB31/AB32</f>
        <v>1.0357142857142858</v>
      </c>
      <c r="AG31" s="72" t="s">
        <v>15</v>
      </c>
      <c r="AH31" s="73">
        <v>100</v>
      </c>
      <c r="AI31" s="72" t="s">
        <v>16</v>
      </c>
      <c r="AJ31" s="75">
        <f>ROUNDDOWN(AF31*AH31,1)</f>
        <v>103.5</v>
      </c>
      <c r="AK31" s="52"/>
      <c r="AL31" s="11"/>
    </row>
    <row r="32" spans="2:38" x14ac:dyDescent="0.25">
      <c r="B32" s="8"/>
      <c r="D32" s="17"/>
      <c r="E32" s="51"/>
      <c r="F32" s="76">
        <f>D23</f>
        <v>28</v>
      </c>
      <c r="G32" s="76"/>
      <c r="H32" s="76"/>
      <c r="I32" s="76"/>
      <c r="J32" s="76"/>
      <c r="K32" s="76"/>
      <c r="L32" s="76"/>
      <c r="M32" s="76"/>
      <c r="N32" s="76"/>
      <c r="O32" s="76"/>
      <c r="P32" s="76"/>
      <c r="Q32" s="76"/>
      <c r="R32" s="76"/>
      <c r="S32" s="72"/>
      <c r="T32" s="73"/>
      <c r="U32" s="72"/>
      <c r="V32" s="76">
        <f>F32</f>
        <v>28</v>
      </c>
      <c r="W32" s="77"/>
      <c r="X32" s="77"/>
      <c r="Y32" s="72"/>
      <c r="Z32" s="73"/>
      <c r="AA32" s="72"/>
      <c r="AB32" s="31">
        <f>V32</f>
        <v>28</v>
      </c>
      <c r="AC32" s="72"/>
      <c r="AD32" s="73"/>
      <c r="AE32" s="72"/>
      <c r="AF32" s="74"/>
      <c r="AG32" s="72"/>
      <c r="AH32" s="73"/>
      <c r="AI32" s="72"/>
      <c r="AJ32" s="75"/>
      <c r="AK32" s="52"/>
      <c r="AL32" s="11"/>
    </row>
    <row r="33" spans="2:38" ht="15.75" thickBot="1" x14ac:dyDescent="0.3">
      <c r="B33" s="8"/>
      <c r="D33" s="17"/>
      <c r="E33" s="53"/>
      <c r="F33" s="80" t="s">
        <v>2</v>
      </c>
      <c r="G33" s="80"/>
      <c r="H33" s="80"/>
      <c r="I33" s="80"/>
      <c r="J33" s="80"/>
      <c r="K33" s="80"/>
      <c r="L33" s="80"/>
      <c r="M33" s="80"/>
      <c r="N33" s="80"/>
      <c r="O33" s="80"/>
      <c r="P33" s="80"/>
      <c r="Q33" s="80"/>
      <c r="R33" s="80"/>
      <c r="S33" s="54"/>
      <c r="T33" s="54"/>
      <c r="U33" s="54"/>
      <c r="V33" s="54"/>
      <c r="W33" s="54"/>
      <c r="X33" s="54"/>
      <c r="Y33" s="54"/>
      <c r="Z33" s="54"/>
      <c r="AA33" s="54"/>
      <c r="AB33" s="54"/>
      <c r="AC33" s="55"/>
      <c r="AD33" s="56"/>
      <c r="AE33" s="56"/>
      <c r="AF33" s="56"/>
      <c r="AG33" s="56"/>
      <c r="AH33" s="56"/>
      <c r="AI33" s="56"/>
      <c r="AJ33" s="56"/>
      <c r="AK33" s="57"/>
      <c r="AL33" s="11"/>
    </row>
    <row r="34" spans="2:38" x14ac:dyDescent="0.25">
      <c r="B34" s="8"/>
      <c r="D34" s="31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9"/>
      <c r="T34" s="9"/>
      <c r="U34" s="9"/>
      <c r="V34" s="9"/>
      <c r="W34" s="9"/>
      <c r="X34" s="9"/>
      <c r="Y34" s="9"/>
      <c r="Z34" s="9"/>
      <c r="AA34" s="9"/>
      <c r="AB34" s="9"/>
      <c r="AC34" s="59"/>
      <c r="AL34" s="11"/>
    </row>
    <row r="35" spans="2:38" x14ac:dyDescent="0.25">
      <c r="B35" s="8"/>
      <c r="C35" s="13" t="s">
        <v>21</v>
      </c>
      <c r="D35" s="15">
        <f>IF(AB31&gt;AB32,AB32,AB31)</f>
        <v>28</v>
      </c>
      <c r="E35" s="67" t="s">
        <v>22</v>
      </c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11"/>
    </row>
    <row r="36" spans="2:38" x14ac:dyDescent="0.25">
      <c r="B36" s="8"/>
      <c r="C36" s="13" t="s">
        <v>23</v>
      </c>
      <c r="D36" s="15">
        <v>2</v>
      </c>
      <c r="E36" s="67" t="s">
        <v>28</v>
      </c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7"/>
      <c r="AC36" s="67"/>
      <c r="AD36" s="67"/>
      <c r="AE36" s="67"/>
      <c r="AF36" s="67"/>
      <c r="AG36" s="67"/>
      <c r="AH36" s="67"/>
      <c r="AI36" s="67"/>
      <c r="AJ36" s="67"/>
      <c r="AK36" s="67"/>
      <c r="AL36" s="11"/>
    </row>
    <row r="37" spans="2:38" x14ac:dyDescent="0.25">
      <c r="B37" s="8"/>
      <c r="C37" s="13" t="s">
        <v>24</v>
      </c>
      <c r="D37" s="15">
        <v>1</v>
      </c>
      <c r="E37" s="67" t="s">
        <v>29</v>
      </c>
      <c r="F37" s="67"/>
      <c r="G37" s="67"/>
      <c r="H37" s="67"/>
      <c r="I37" s="67"/>
      <c r="J37" s="67"/>
      <c r="K37" s="67"/>
      <c r="L37" s="67"/>
      <c r="M37" s="67"/>
      <c r="N37" s="67"/>
      <c r="O37" s="67"/>
      <c r="P37" s="67"/>
      <c r="Q37" s="67"/>
      <c r="R37" s="67"/>
      <c r="S37" s="67"/>
      <c r="T37" s="67"/>
      <c r="U37" s="67"/>
      <c r="V37" s="67"/>
      <c r="W37" s="67"/>
      <c r="X37" s="67"/>
      <c r="Y37" s="67"/>
      <c r="Z37" s="67"/>
      <c r="AA37" s="67"/>
      <c r="AB37" s="67"/>
      <c r="AC37" s="67"/>
      <c r="AD37" s="67"/>
      <c r="AE37" s="67"/>
      <c r="AF37" s="67"/>
      <c r="AG37" s="67"/>
      <c r="AH37" s="67"/>
      <c r="AI37" s="67"/>
      <c r="AJ37" s="67"/>
      <c r="AK37" s="67"/>
      <c r="AL37" s="11"/>
    </row>
    <row r="38" spans="2:38" x14ac:dyDescent="0.25">
      <c r="B38" s="8"/>
      <c r="C38" s="13" t="s">
        <v>25</v>
      </c>
      <c r="D38" s="15">
        <v>1</v>
      </c>
      <c r="E38" s="67" t="s">
        <v>30</v>
      </c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7"/>
      <c r="AC38" s="67"/>
      <c r="AD38" s="67"/>
      <c r="AE38" s="67"/>
      <c r="AF38" s="67"/>
      <c r="AG38" s="67"/>
      <c r="AH38" s="67"/>
      <c r="AI38" s="67"/>
      <c r="AJ38" s="67"/>
      <c r="AK38" s="67"/>
      <c r="AL38" s="11"/>
    </row>
    <row r="39" spans="2:38" s="66" customFormat="1" ht="30" customHeight="1" x14ac:dyDescent="0.25">
      <c r="B39" s="62"/>
      <c r="C39" s="63" t="s">
        <v>26</v>
      </c>
      <c r="D39" s="64">
        <f>AB42</f>
        <v>30</v>
      </c>
      <c r="E39" s="70" t="s">
        <v>31</v>
      </c>
      <c r="F39" s="70"/>
      <c r="G39" s="70"/>
      <c r="H39" s="70"/>
      <c r="I39" s="70"/>
      <c r="J39" s="70"/>
      <c r="K39" s="70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65"/>
    </row>
    <row r="40" spans="2:38" ht="15.75" thickBot="1" x14ac:dyDescent="0.3">
      <c r="B40" s="8"/>
      <c r="C40" s="60" t="s">
        <v>17</v>
      </c>
      <c r="D40" s="61">
        <f>AJ42</f>
        <v>107.1</v>
      </c>
      <c r="E40" s="67" t="s">
        <v>32</v>
      </c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7"/>
      <c r="AC40" s="67"/>
      <c r="AD40" s="67"/>
      <c r="AE40" s="67"/>
      <c r="AF40" s="67"/>
      <c r="AG40" s="67"/>
      <c r="AH40" s="67"/>
      <c r="AI40" s="67"/>
      <c r="AJ40" s="67"/>
      <c r="AK40" s="67"/>
      <c r="AL40" s="11"/>
    </row>
    <row r="41" spans="2:38" x14ac:dyDescent="0.25">
      <c r="B41" s="8"/>
      <c r="D41" s="17"/>
      <c r="E41" s="45"/>
      <c r="F41" s="46"/>
      <c r="G41" s="47" t="s">
        <v>21</v>
      </c>
      <c r="H41" s="47"/>
      <c r="I41" s="47" t="s">
        <v>23</v>
      </c>
      <c r="J41" s="47"/>
      <c r="K41" s="47"/>
      <c r="L41" s="47"/>
      <c r="M41" s="47" t="s">
        <v>24</v>
      </c>
      <c r="N41" s="47"/>
      <c r="O41" s="47" t="s">
        <v>25</v>
      </c>
      <c r="P41" s="47"/>
      <c r="Q41" s="47"/>
      <c r="R41" s="48"/>
      <c r="S41" s="48"/>
      <c r="T41" s="48"/>
      <c r="U41" s="48"/>
      <c r="V41" s="48"/>
      <c r="W41" s="48"/>
      <c r="X41" s="48"/>
      <c r="Y41" s="48"/>
      <c r="Z41" s="48"/>
      <c r="AA41" s="48"/>
      <c r="AB41" s="47" t="s">
        <v>26</v>
      </c>
      <c r="AC41" s="48"/>
      <c r="AD41" s="48"/>
      <c r="AE41" s="48"/>
      <c r="AF41" s="48"/>
      <c r="AG41" s="48"/>
      <c r="AH41" s="48"/>
      <c r="AI41" s="48"/>
      <c r="AJ41" s="47" t="s">
        <v>17</v>
      </c>
      <c r="AK41" s="50"/>
      <c r="AL41" s="11"/>
    </row>
    <row r="42" spans="2:38" ht="15.75" thickBot="1" x14ac:dyDescent="0.3">
      <c r="B42" s="8"/>
      <c r="D42" s="17"/>
      <c r="E42" s="51"/>
      <c r="F42" s="24" t="s">
        <v>13</v>
      </c>
      <c r="G42" s="26">
        <f>D35</f>
        <v>28</v>
      </c>
      <c r="H42" s="25" t="s">
        <v>27</v>
      </c>
      <c r="I42" s="26">
        <f>D36</f>
        <v>2</v>
      </c>
      <c r="J42" s="27" t="s">
        <v>14</v>
      </c>
      <c r="K42" s="28" t="s">
        <v>12</v>
      </c>
      <c r="L42" s="29" t="s">
        <v>13</v>
      </c>
      <c r="M42" s="26">
        <f>D37</f>
        <v>1</v>
      </c>
      <c r="N42" s="28" t="s">
        <v>12</v>
      </c>
      <c r="O42" s="26">
        <f>D38</f>
        <v>1</v>
      </c>
      <c r="P42" s="27" t="s">
        <v>14</v>
      </c>
      <c r="Q42" s="26"/>
      <c r="S42" s="72" t="s">
        <v>15</v>
      </c>
      <c r="T42" s="73">
        <v>100</v>
      </c>
      <c r="U42" s="72" t="s">
        <v>16</v>
      </c>
      <c r="V42" s="26">
        <f>G42+I42</f>
        <v>30</v>
      </c>
      <c r="W42" s="25" t="s">
        <v>12</v>
      </c>
      <c r="X42" s="26">
        <f>M42-O42</f>
        <v>0</v>
      </c>
      <c r="Y42" s="72" t="s">
        <v>15</v>
      </c>
      <c r="Z42" s="73">
        <v>100</v>
      </c>
      <c r="AA42" s="72" t="s">
        <v>16</v>
      </c>
      <c r="AB42" s="26">
        <f>V42-X42</f>
        <v>30</v>
      </c>
      <c r="AC42" s="72" t="s">
        <v>15</v>
      </c>
      <c r="AD42" s="73">
        <v>100</v>
      </c>
      <c r="AE42" s="72" t="s">
        <v>16</v>
      </c>
      <c r="AF42" s="74">
        <f>AB42/AB43</f>
        <v>1.0714285714285714</v>
      </c>
      <c r="AG42" s="72" t="s">
        <v>15</v>
      </c>
      <c r="AH42" s="73">
        <v>100</v>
      </c>
      <c r="AI42" s="72" t="s">
        <v>16</v>
      </c>
      <c r="AJ42" s="75">
        <f>ROUNDDOWN(AF42*AH42,1)</f>
        <v>107.1</v>
      </c>
      <c r="AK42" s="52"/>
      <c r="AL42" s="11"/>
    </row>
    <row r="43" spans="2:38" x14ac:dyDescent="0.25">
      <c r="B43" s="8"/>
      <c r="D43" s="17"/>
      <c r="E43" s="51"/>
      <c r="F43" s="76">
        <f>D35</f>
        <v>28</v>
      </c>
      <c r="G43" s="76"/>
      <c r="H43" s="76"/>
      <c r="I43" s="76"/>
      <c r="J43" s="76"/>
      <c r="K43" s="76"/>
      <c r="L43" s="76"/>
      <c r="M43" s="76"/>
      <c r="N43" s="76"/>
      <c r="O43" s="76"/>
      <c r="P43" s="76"/>
      <c r="Q43" s="76"/>
      <c r="R43" s="76"/>
      <c r="S43" s="72"/>
      <c r="T43" s="73"/>
      <c r="U43" s="72"/>
      <c r="V43" s="76">
        <f>F43</f>
        <v>28</v>
      </c>
      <c r="W43" s="77"/>
      <c r="X43" s="77"/>
      <c r="Y43" s="72"/>
      <c r="Z43" s="73"/>
      <c r="AA43" s="72"/>
      <c r="AB43" s="31">
        <f>V43</f>
        <v>28</v>
      </c>
      <c r="AC43" s="72"/>
      <c r="AD43" s="73"/>
      <c r="AE43" s="72"/>
      <c r="AF43" s="74"/>
      <c r="AG43" s="72"/>
      <c r="AH43" s="73"/>
      <c r="AI43" s="72"/>
      <c r="AJ43" s="75"/>
      <c r="AK43" s="52"/>
      <c r="AL43" s="11"/>
    </row>
    <row r="44" spans="2:38" ht="15.75" thickBot="1" x14ac:dyDescent="0.3">
      <c r="B44" s="8"/>
      <c r="D44" s="17"/>
      <c r="E44" s="53"/>
      <c r="F44" s="80" t="s">
        <v>21</v>
      </c>
      <c r="G44" s="80"/>
      <c r="H44" s="80"/>
      <c r="I44" s="80"/>
      <c r="J44" s="80"/>
      <c r="K44" s="80"/>
      <c r="L44" s="80"/>
      <c r="M44" s="80"/>
      <c r="N44" s="80"/>
      <c r="O44" s="80"/>
      <c r="P44" s="80"/>
      <c r="Q44" s="80"/>
      <c r="R44" s="80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5"/>
      <c r="AD44" s="56"/>
      <c r="AE44" s="56"/>
      <c r="AF44" s="56"/>
      <c r="AG44" s="56"/>
      <c r="AH44" s="56"/>
      <c r="AI44" s="56"/>
      <c r="AJ44" s="56"/>
      <c r="AK44" s="57"/>
      <c r="AL44" s="11"/>
    </row>
    <row r="45" spans="2:38" ht="15.75" thickBot="1" x14ac:dyDescent="0.3">
      <c r="B45" s="38"/>
      <c r="C45" s="39"/>
      <c r="D45" s="40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/>
      <c r="AG45" s="39"/>
      <c r="AH45" s="39"/>
      <c r="AI45" s="39"/>
      <c r="AJ45" s="39"/>
      <c r="AK45" s="39"/>
      <c r="AL45" s="41"/>
    </row>
    <row r="46" spans="2:38" ht="15.75" thickTop="1" x14ac:dyDescent="0.25"/>
  </sheetData>
  <mergeCells count="73">
    <mergeCell ref="F44:R44"/>
    <mergeCell ref="AC42:AC43"/>
    <mergeCell ref="AD42:AD43"/>
    <mergeCell ref="AE42:AE43"/>
    <mergeCell ref="AF42:AF43"/>
    <mergeCell ref="S42:S43"/>
    <mergeCell ref="T42:T43"/>
    <mergeCell ref="U42:U43"/>
    <mergeCell ref="Y42:Y43"/>
    <mergeCell ref="Z42:Z43"/>
    <mergeCell ref="AA42:AA43"/>
    <mergeCell ref="E35:AK35"/>
    <mergeCell ref="E36:AK36"/>
    <mergeCell ref="E37:AK37"/>
    <mergeCell ref="E38:AK38"/>
    <mergeCell ref="E39:AK39"/>
    <mergeCell ref="E40:AK40"/>
    <mergeCell ref="AI42:AI43"/>
    <mergeCell ref="AJ42:AJ43"/>
    <mergeCell ref="F43:R43"/>
    <mergeCell ref="V43:X43"/>
    <mergeCell ref="AG42:AG43"/>
    <mergeCell ref="AH42:AH43"/>
    <mergeCell ref="AH31:AH32"/>
    <mergeCell ref="AI31:AI32"/>
    <mergeCell ref="AJ31:AJ32"/>
    <mergeCell ref="F32:R32"/>
    <mergeCell ref="V32:X32"/>
    <mergeCell ref="AF31:AF32"/>
    <mergeCell ref="AG31:AG32"/>
    <mergeCell ref="F33:R33"/>
    <mergeCell ref="AA31:AA32"/>
    <mergeCell ref="AC31:AC32"/>
    <mergeCell ref="AD31:AD32"/>
    <mergeCell ref="AE31:AE32"/>
    <mergeCell ref="S31:S32"/>
    <mergeCell ref="T31:T32"/>
    <mergeCell ref="U31:U32"/>
    <mergeCell ref="Y31:Y32"/>
    <mergeCell ref="Z31:Z32"/>
    <mergeCell ref="E24:AK24"/>
    <mergeCell ref="E25:AK25"/>
    <mergeCell ref="E26:AK26"/>
    <mergeCell ref="E27:AK27"/>
    <mergeCell ref="D29:AK29"/>
    <mergeCell ref="E23:AK23"/>
    <mergeCell ref="AD15:AD16"/>
    <mergeCell ref="AE15:AE16"/>
    <mergeCell ref="AF15:AF16"/>
    <mergeCell ref="AG15:AG16"/>
    <mergeCell ref="AH15:AH16"/>
    <mergeCell ref="AI15:AI16"/>
    <mergeCell ref="AJ15:AJ16"/>
    <mergeCell ref="F16:R16"/>
    <mergeCell ref="V16:X16"/>
    <mergeCell ref="F17:R17"/>
    <mergeCell ref="B22:AK22"/>
    <mergeCell ref="E11:AK11"/>
    <mergeCell ref="E12:AK12"/>
    <mergeCell ref="D13:AK13"/>
    <mergeCell ref="S15:S16"/>
    <mergeCell ref="T15:T16"/>
    <mergeCell ref="U15:U16"/>
    <mergeCell ref="Y15:Y16"/>
    <mergeCell ref="Z15:Z16"/>
    <mergeCell ref="AA15:AA16"/>
    <mergeCell ref="AC15:AC16"/>
    <mergeCell ref="E10:AK10"/>
    <mergeCell ref="B2:AL2"/>
    <mergeCell ref="B6:AK6"/>
    <mergeCell ref="E7:AK7"/>
    <mergeCell ref="E8:AK8"/>
    <mergeCell ref="E9:AK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27081AA91AEF459764F9BACC3DFA0C" ma:contentTypeVersion="16" ma:contentTypeDescription="Create a new document." ma:contentTypeScope="" ma:versionID="3e060ce95d997433f217930301d2a4a4">
  <xsd:schema xmlns:xsd="http://www.w3.org/2001/XMLSchema" xmlns:xs="http://www.w3.org/2001/XMLSchema" xmlns:p="http://schemas.microsoft.com/office/2006/metadata/properties" xmlns:ns1="http://schemas.microsoft.com/sharepoint/v3" xmlns:ns2="05119671-51af-4a0f-aa50-c9bd38c9d9e8" xmlns:ns3="46c069c1-e0e2-437c-8f34-03a26d1db4c4" targetNamespace="http://schemas.microsoft.com/office/2006/metadata/properties" ma:root="true" ma:fieldsID="7d8fe5f8e553631293719600b1e3f096" ns1:_="" ns2:_="" ns3:_="">
    <xsd:import namespace="http://schemas.microsoft.com/sharepoint/v3"/>
    <xsd:import namespace="05119671-51af-4a0f-aa50-c9bd38c9d9e8"/>
    <xsd:import namespace="46c069c1-e0e2-437c-8f34-03a26d1db4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119671-51af-4a0f-aa50-c9bd38c9d9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c069c1-e0e2-437c-8f34-03a26d1db4c4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2ccd4861-8461-4035-a1b3-6688e2000337}" ma:internalName="TaxCatchAll" ma:showField="CatchAllData" ma:web="46c069c1-e0e2-437c-8f34-03a26d1db4c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05119671-51af-4a0f-aa50-c9bd38c9d9e8">
      <Terms xmlns="http://schemas.microsoft.com/office/infopath/2007/PartnerControls"/>
    </lcf76f155ced4ddcb4097134ff3c332f>
    <TaxCatchAll xmlns="46c069c1-e0e2-437c-8f34-03a26d1db4c4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CD72DA0-3303-46C9-B5FC-E9C05A28BF39}"/>
</file>

<file path=customXml/itemProps2.xml><?xml version="1.0" encoding="utf-8"?>
<ds:datastoreItem xmlns:ds="http://schemas.openxmlformats.org/officeDocument/2006/customXml" ds:itemID="{7A548FEC-D56E-4152-9133-A3E1F45DD5E0}"/>
</file>

<file path=customXml/itemProps3.xml><?xml version="1.0" encoding="utf-8"?>
<ds:datastoreItem xmlns:ds="http://schemas.openxmlformats.org/officeDocument/2006/customXml" ds:itemID="{BE983041-A0BA-4AF3-B4BC-55D0A90AB5AC}"/>
</file>

<file path=docMetadata/LabelInfo.xml><?xml version="1.0" encoding="utf-8"?>
<clbl:labelList xmlns:clbl="http://schemas.microsoft.com/office/2020/mipLabelMetadata">
  <clbl:label id="{554eecc5-e26c-4620-b240-5a8bb326c33d}" enabled="1" method="Privileged" siteId="{fae6d70f-954b-4811-92b6-0530d6f84c4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2026-04-07T20:23:35Z</dcterms:created>
  <dcterms:modified xsi:type="dcterms:W3CDTF">2026-04-07T20:24:27Z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0x010100DA27081AA91AEF459764F9BACC3DFA0C</vt:lpwstr>
  </property>
</Properties>
</file>