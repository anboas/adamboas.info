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never"/>
  <mc:AlternateContent xmlns:mc="http://schemas.openxmlformats.org/markup-compatibility/2006">
    <mc:Choice Requires="x15">
      <x15ac:absPath xmlns:x15ac="http://schemas.microsoft.com/office/spreadsheetml/2010/11/ac" url="https://cbpgov-my.sharepoint.com/personal/0038689767_cbp_dhs_gov/Documents/Desktop/CBP/FY26 Requirements/NII/20155109 - MEP LEP IDIQ/"/>
    </mc:Choice>
  </mc:AlternateContent>
  <xr:revisionPtr revIDLastSave="0" documentId="8_{542F12E7-50D8-499A-A421-5735659D1D95}" xr6:coauthVersionLast="47" xr6:coauthVersionMax="47" xr10:uidLastSave="{00000000-0000-0000-0000-000000000000}"/>
  <bookViews>
    <workbookView xWindow="-110" yWindow="-110" windowWidth="19420" windowHeight="10300" firstSheet="2" activeTab="2" xr2:uid="{00000000-000D-0000-FFFF-FFFF00000000}"/>
  </bookViews>
  <sheets>
    <sheet name="Table 1 Summary (2)" sheetId="5" state="hidden" r:id="rId1"/>
    <sheet name="Table 1 Summary" sheetId="4" state="hidden" r:id="rId2"/>
    <sheet name="Instructions" sheetId="17" r:id="rId3"/>
    <sheet name="MEP CLINs" sheetId="18" r:id="rId4"/>
    <sheet name="LEP CLINs" sheetId="10" r:id="rId5"/>
    <sheet name="Price Justification" sheetId="15" r:id="rId6"/>
    <sheet name="Assumptions" sheetId="16" r:id="rId7"/>
  </sheets>
  <externalReferences>
    <externalReference r:id="rId8"/>
  </externalReferences>
  <definedNames>
    <definedName name="_xlnm.Print_Titles" localSheetId="1">'Table 1 Summary'!$13:$13</definedName>
    <definedName name="_xlnm.Print_Titles" localSheetId="0">'Table 1 Summary (2)'!$13:$13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2" i="18" l="1"/>
  <c r="F152" i="18" s="1"/>
  <c r="E151" i="18"/>
  <c r="F151" i="18" s="1"/>
  <c r="F153" i="18" s="1"/>
  <c r="I125" i="18"/>
  <c r="F125" i="18"/>
  <c r="F137" i="18" s="1"/>
  <c r="I118" i="18"/>
  <c r="F118" i="18"/>
  <c r="I117" i="18"/>
  <c r="F117" i="18"/>
  <c r="I116" i="18"/>
  <c r="F116" i="18"/>
  <c r="I115" i="18"/>
  <c r="F115" i="18"/>
  <c r="I114" i="18"/>
  <c r="F114" i="18"/>
  <c r="I113" i="18"/>
  <c r="F113" i="18"/>
  <c r="I112" i="18"/>
  <c r="F112" i="18"/>
  <c r="I111" i="18"/>
  <c r="F111" i="18"/>
  <c r="I110" i="18"/>
  <c r="F110" i="18"/>
  <c r="I109" i="18"/>
  <c r="F109" i="18"/>
  <c r="F120" i="18" s="1"/>
  <c r="M103" i="18"/>
  <c r="J103" i="18"/>
  <c r="F103" i="18"/>
  <c r="I102" i="18"/>
  <c r="F102" i="18"/>
  <c r="F104" i="18" s="1"/>
  <c r="I96" i="18"/>
  <c r="F96" i="18"/>
  <c r="I95" i="18"/>
  <c r="F95" i="18"/>
  <c r="F97" i="18" s="1"/>
  <c r="I88" i="18"/>
  <c r="F88" i="18"/>
  <c r="F90" i="18" s="1"/>
  <c r="I80" i="18"/>
  <c r="F80" i="18"/>
  <c r="I79" i="18"/>
  <c r="F79" i="18"/>
  <c r="I78" i="18"/>
  <c r="F78" i="18"/>
  <c r="I77" i="18"/>
  <c r="F77" i="18"/>
  <c r="I76" i="18"/>
  <c r="F76" i="18"/>
  <c r="I75" i="18"/>
  <c r="F75" i="18"/>
  <c r="I74" i="18"/>
  <c r="F74" i="18"/>
  <c r="I73" i="18"/>
  <c r="F73" i="18"/>
  <c r="I72" i="18"/>
  <c r="F72" i="18"/>
  <c r="F83" i="18" s="1"/>
  <c r="I64" i="18"/>
  <c r="F64" i="18"/>
  <c r="I63" i="18"/>
  <c r="F63" i="18"/>
  <c r="I62" i="18"/>
  <c r="F62" i="18"/>
  <c r="I61" i="18"/>
  <c r="F61" i="18"/>
  <c r="I60" i="18"/>
  <c r="F60" i="18"/>
  <c r="I59" i="18"/>
  <c r="F59" i="18"/>
  <c r="I58" i="18"/>
  <c r="F58" i="18"/>
  <c r="I57" i="18"/>
  <c r="F57" i="18"/>
  <c r="I56" i="18"/>
  <c r="F56" i="18"/>
  <c r="I55" i="18"/>
  <c r="F55" i="18"/>
  <c r="F67" i="18" s="1"/>
  <c r="I48" i="18"/>
  <c r="F48" i="18"/>
  <c r="I47" i="18"/>
  <c r="F47" i="18"/>
  <c r="I46" i="18"/>
  <c r="F46" i="18"/>
  <c r="I45" i="18"/>
  <c r="F45" i="18"/>
  <c r="I44" i="18"/>
  <c r="F44" i="18"/>
  <c r="I43" i="18"/>
  <c r="F43" i="18"/>
  <c r="I42" i="18"/>
  <c r="F42" i="18"/>
  <c r="I41" i="18"/>
  <c r="F41" i="18"/>
  <c r="I40" i="18"/>
  <c r="F40" i="18"/>
  <c r="I39" i="18"/>
  <c r="F39" i="18"/>
  <c r="I38" i="18"/>
  <c r="F38" i="18"/>
  <c r="I37" i="18"/>
  <c r="F37" i="18"/>
  <c r="F50" i="18" s="1"/>
  <c r="I27" i="18"/>
  <c r="G27" i="18"/>
  <c r="K27" i="18" s="1"/>
  <c r="O27" i="18" s="1"/>
  <c r="S27" i="18" s="1"/>
  <c r="F27" i="18"/>
  <c r="F32" i="18" s="1"/>
  <c r="I26" i="18"/>
  <c r="G26" i="18"/>
  <c r="K26" i="18" s="1"/>
  <c r="O26" i="18" s="1"/>
  <c r="S26" i="18" s="1"/>
  <c r="F26" i="18"/>
  <c r="I25" i="18"/>
  <c r="G25" i="18"/>
  <c r="K25" i="18" s="1"/>
  <c r="O25" i="18" s="1"/>
  <c r="S25" i="18" s="1"/>
  <c r="F25" i="18"/>
  <c r="T17" i="18"/>
  <c r="P17" i="18"/>
  <c r="L17" i="18"/>
  <c r="I17" i="18"/>
  <c r="M17" i="18" s="1"/>
  <c r="Q17" i="18" s="1"/>
  <c r="U17" i="18" s="1"/>
  <c r="H17" i="18"/>
  <c r="J17" i="18" s="1"/>
  <c r="D17" i="18"/>
  <c r="F17" i="18" s="1"/>
  <c r="I16" i="18"/>
  <c r="G16" i="18"/>
  <c r="K16" i="18" s="1"/>
  <c r="O16" i="18" s="1"/>
  <c r="S16" i="18" s="1"/>
  <c r="F16" i="18"/>
  <c r="I15" i="18"/>
  <c r="G15" i="18"/>
  <c r="K15" i="18" s="1"/>
  <c r="O15" i="18" s="1"/>
  <c r="S15" i="18" s="1"/>
  <c r="F15" i="18"/>
  <c r="I14" i="18"/>
  <c r="G14" i="18"/>
  <c r="K14" i="18" s="1"/>
  <c r="O14" i="18" s="1"/>
  <c r="S14" i="18" s="1"/>
  <c r="F14" i="18"/>
  <c r="I13" i="18"/>
  <c r="G13" i="18"/>
  <c r="K13" i="18" s="1"/>
  <c r="O13" i="18" s="1"/>
  <c r="S13" i="18" s="1"/>
  <c r="F13" i="18"/>
  <c r="F20" i="18" s="1"/>
  <c r="A4" i="18"/>
  <c r="A3" i="18"/>
  <c r="A2" i="18"/>
  <c r="A1" i="18"/>
  <c r="W141" i="10"/>
  <c r="W142" i="10"/>
  <c r="W143" i="10"/>
  <c r="W144" i="10"/>
  <c r="W145" i="10"/>
  <c r="W146" i="10"/>
  <c r="W147" i="10"/>
  <c r="W148" i="10"/>
  <c r="W149" i="10"/>
  <c r="W150" i="10"/>
  <c r="W151" i="10"/>
  <c r="V141" i="10"/>
  <c r="V142" i="10"/>
  <c r="V143" i="10"/>
  <c r="V144" i="10"/>
  <c r="V145" i="10"/>
  <c r="V146" i="10"/>
  <c r="V147" i="10"/>
  <c r="V148" i="10"/>
  <c r="V149" i="10"/>
  <c r="V150" i="10"/>
  <c r="V151" i="10"/>
  <c r="U151" i="10"/>
  <c r="U150" i="10"/>
  <c r="U149" i="10"/>
  <c r="U148" i="10"/>
  <c r="U147" i="10"/>
  <c r="U146" i="10"/>
  <c r="U145" i="10"/>
  <c r="U144" i="10"/>
  <c r="U143" i="10"/>
  <c r="U142" i="10"/>
  <c r="U141" i="10"/>
  <c r="U140" i="10"/>
  <c r="R141" i="10"/>
  <c r="R142" i="10"/>
  <c r="R143" i="10"/>
  <c r="R144" i="10"/>
  <c r="R145" i="10"/>
  <c r="R146" i="10"/>
  <c r="R147" i="10"/>
  <c r="R148" i="10"/>
  <c r="R149" i="10"/>
  <c r="R150" i="10"/>
  <c r="R151" i="10"/>
  <c r="Q151" i="10"/>
  <c r="Q150" i="10"/>
  <c r="Q149" i="10"/>
  <c r="Q148" i="10"/>
  <c r="Q147" i="10"/>
  <c r="Q146" i="10"/>
  <c r="Q145" i="10"/>
  <c r="Q144" i="10"/>
  <c r="Q143" i="10"/>
  <c r="Q142" i="10"/>
  <c r="Q141" i="10"/>
  <c r="Q140" i="10"/>
  <c r="N141" i="10"/>
  <c r="N142" i="10"/>
  <c r="N143" i="10"/>
  <c r="N144" i="10"/>
  <c r="N145" i="10"/>
  <c r="N146" i="10"/>
  <c r="N147" i="10"/>
  <c r="N148" i="10"/>
  <c r="N149" i="10"/>
  <c r="N150" i="10"/>
  <c r="N151" i="10"/>
  <c r="M151" i="10"/>
  <c r="M150" i="10"/>
  <c r="M149" i="10"/>
  <c r="M148" i="10"/>
  <c r="M147" i="10"/>
  <c r="M146" i="10"/>
  <c r="M145" i="10"/>
  <c r="M144" i="10"/>
  <c r="M143" i="10"/>
  <c r="M142" i="10"/>
  <c r="M141" i="10"/>
  <c r="M140" i="10"/>
  <c r="J141" i="10"/>
  <c r="J142" i="10"/>
  <c r="J143" i="10"/>
  <c r="J144" i="10"/>
  <c r="J145" i="10"/>
  <c r="J146" i="10"/>
  <c r="J147" i="10"/>
  <c r="J148" i="10"/>
  <c r="J149" i="10"/>
  <c r="J150" i="10"/>
  <c r="J151" i="10"/>
  <c r="I151" i="10"/>
  <c r="I150" i="10"/>
  <c r="I149" i="10"/>
  <c r="I148" i="10"/>
  <c r="I147" i="10"/>
  <c r="I146" i="10"/>
  <c r="I145" i="10"/>
  <c r="I144" i="10"/>
  <c r="I143" i="10"/>
  <c r="I142" i="10"/>
  <c r="I141" i="10"/>
  <c r="I140" i="10"/>
  <c r="F151" i="10"/>
  <c r="F150" i="10"/>
  <c r="F149" i="10"/>
  <c r="F148" i="10"/>
  <c r="F147" i="10"/>
  <c r="F146" i="10"/>
  <c r="F145" i="10"/>
  <c r="F144" i="10"/>
  <c r="F143" i="10"/>
  <c r="F142" i="10"/>
  <c r="F141" i="10"/>
  <c r="F140" i="10"/>
  <c r="I133" i="10"/>
  <c r="I132" i="10"/>
  <c r="I131" i="10"/>
  <c r="I130" i="10"/>
  <c r="I129" i="10"/>
  <c r="I128" i="10"/>
  <c r="I127" i="10"/>
  <c r="M127" i="10" s="1"/>
  <c r="Q127" i="10" s="1"/>
  <c r="U127" i="10" s="1"/>
  <c r="I126" i="10"/>
  <c r="M126" i="10" s="1"/>
  <c r="Q126" i="10" s="1"/>
  <c r="U126" i="10" s="1"/>
  <c r="I125" i="10"/>
  <c r="M125" i="10" s="1"/>
  <c r="Q125" i="10" s="1"/>
  <c r="U125" i="10" s="1"/>
  <c r="I124" i="10"/>
  <c r="M124" i="10" s="1"/>
  <c r="Q124" i="10" s="1"/>
  <c r="U124" i="10" s="1"/>
  <c r="I123" i="10"/>
  <c r="M123" i="10" s="1"/>
  <c r="Q123" i="10" s="1"/>
  <c r="U123" i="10" s="1"/>
  <c r="I122" i="10"/>
  <c r="M122" i="10" s="1"/>
  <c r="Q122" i="10" s="1"/>
  <c r="U122" i="10" s="1"/>
  <c r="I121" i="10"/>
  <c r="I120" i="10"/>
  <c r="I119" i="10"/>
  <c r="I118" i="10"/>
  <c r="I117" i="10"/>
  <c r="I116" i="10"/>
  <c r="M133" i="10"/>
  <c r="Q133" i="10" s="1"/>
  <c r="U133" i="10" s="1"/>
  <c r="M132" i="10"/>
  <c r="Q132" i="10" s="1"/>
  <c r="U132" i="10" s="1"/>
  <c r="M131" i="10"/>
  <c r="Q131" i="10" s="1"/>
  <c r="U131" i="10" s="1"/>
  <c r="M130" i="10"/>
  <c r="Q130" i="10" s="1"/>
  <c r="U130" i="10" s="1"/>
  <c r="M129" i="10"/>
  <c r="Q129" i="10" s="1"/>
  <c r="U129" i="10" s="1"/>
  <c r="M128" i="10"/>
  <c r="Q128" i="10" s="1"/>
  <c r="U128" i="10" s="1"/>
  <c r="M121" i="10"/>
  <c r="Q121" i="10" s="1"/>
  <c r="U121" i="10" s="1"/>
  <c r="M120" i="10"/>
  <c r="M119" i="10"/>
  <c r="M118" i="10"/>
  <c r="M117" i="10"/>
  <c r="Q117" i="10" s="1"/>
  <c r="U117" i="10" s="1"/>
  <c r="M116" i="10"/>
  <c r="Q116" i="10" s="1"/>
  <c r="U116" i="10" s="1"/>
  <c r="Q120" i="10"/>
  <c r="U120" i="10" s="1"/>
  <c r="Q119" i="10"/>
  <c r="U119" i="10" s="1"/>
  <c r="Q118" i="10"/>
  <c r="U118" i="10" s="1"/>
  <c r="F110" i="10"/>
  <c r="F109" i="10"/>
  <c r="U103" i="10"/>
  <c r="U102" i="10"/>
  <c r="Q103" i="10"/>
  <c r="Q102" i="10"/>
  <c r="M103" i="10"/>
  <c r="M102" i="10"/>
  <c r="W84" i="10"/>
  <c r="W85" i="10"/>
  <c r="W86" i="10"/>
  <c r="W87" i="10"/>
  <c r="V84" i="10"/>
  <c r="V85" i="10"/>
  <c r="V86" i="10"/>
  <c r="V87" i="10"/>
  <c r="U87" i="10"/>
  <c r="U86" i="10"/>
  <c r="U85" i="10"/>
  <c r="U84" i="10"/>
  <c r="U83" i="10"/>
  <c r="U82" i="10"/>
  <c r="U81" i="10"/>
  <c r="U80" i="10"/>
  <c r="U79" i="10"/>
  <c r="R84" i="10"/>
  <c r="R85" i="10"/>
  <c r="R86" i="10"/>
  <c r="R87" i="10"/>
  <c r="Q87" i="10"/>
  <c r="Q86" i="10"/>
  <c r="Q85" i="10"/>
  <c r="Q84" i="10"/>
  <c r="Q83" i="10"/>
  <c r="Q82" i="10"/>
  <c r="Q81" i="10"/>
  <c r="Q80" i="10"/>
  <c r="Q79" i="10"/>
  <c r="N84" i="10"/>
  <c r="N85" i="10"/>
  <c r="N86" i="10"/>
  <c r="N87" i="10"/>
  <c r="M87" i="10"/>
  <c r="M86" i="10"/>
  <c r="M85" i="10"/>
  <c r="M84" i="10"/>
  <c r="M83" i="10"/>
  <c r="M82" i="10"/>
  <c r="M81" i="10"/>
  <c r="M80" i="10"/>
  <c r="M79" i="10"/>
  <c r="J84" i="10"/>
  <c r="J85" i="10"/>
  <c r="J86" i="10"/>
  <c r="J87" i="10"/>
  <c r="I87" i="10"/>
  <c r="I86" i="10"/>
  <c r="I85" i="10"/>
  <c r="I84" i="10"/>
  <c r="I83" i="10"/>
  <c r="I82" i="10"/>
  <c r="I81" i="10"/>
  <c r="I80" i="10"/>
  <c r="I79" i="10"/>
  <c r="F84" i="10"/>
  <c r="F85" i="10"/>
  <c r="F86" i="10"/>
  <c r="F87" i="10"/>
  <c r="U71" i="10"/>
  <c r="U70" i="10"/>
  <c r="U69" i="10"/>
  <c r="U68" i="10"/>
  <c r="U67" i="10"/>
  <c r="U66" i="10"/>
  <c r="U65" i="10"/>
  <c r="U64" i="10"/>
  <c r="U63" i="10"/>
  <c r="U62" i="10"/>
  <c r="Q71" i="10"/>
  <c r="Q70" i="10"/>
  <c r="Q69" i="10"/>
  <c r="Q68" i="10"/>
  <c r="Q67" i="10"/>
  <c r="Q66" i="10"/>
  <c r="Q65" i="10"/>
  <c r="Q64" i="10"/>
  <c r="Q63" i="10"/>
  <c r="Q62" i="10"/>
  <c r="M71" i="10"/>
  <c r="M70" i="10"/>
  <c r="M69" i="10"/>
  <c r="M68" i="10"/>
  <c r="M67" i="10"/>
  <c r="M66" i="10"/>
  <c r="M65" i="10"/>
  <c r="M64" i="10"/>
  <c r="M63" i="10"/>
  <c r="M62" i="10"/>
  <c r="I71" i="10"/>
  <c r="I70" i="10"/>
  <c r="I69" i="10"/>
  <c r="I68" i="10"/>
  <c r="I67" i="10"/>
  <c r="I66" i="10"/>
  <c r="I65" i="10"/>
  <c r="I64" i="10"/>
  <c r="I63" i="10"/>
  <c r="I62" i="10"/>
  <c r="U55" i="10"/>
  <c r="U54" i="10"/>
  <c r="U53" i="10"/>
  <c r="U52" i="10"/>
  <c r="U51" i="10"/>
  <c r="U50" i="10"/>
  <c r="U49" i="10"/>
  <c r="U48" i="10"/>
  <c r="U47" i="10"/>
  <c r="U46" i="10"/>
  <c r="U45" i="10"/>
  <c r="U44" i="10"/>
  <c r="Q55" i="10"/>
  <c r="Q54" i="10"/>
  <c r="Q53" i="10"/>
  <c r="Q52" i="10"/>
  <c r="Q51" i="10"/>
  <c r="Q50" i="10"/>
  <c r="Q49" i="10"/>
  <c r="Q48" i="10"/>
  <c r="Q47" i="10"/>
  <c r="Q46" i="10"/>
  <c r="Q45" i="10"/>
  <c r="Q44" i="10"/>
  <c r="M55" i="10"/>
  <c r="M54" i="10"/>
  <c r="M53" i="10"/>
  <c r="M52" i="10"/>
  <c r="M51" i="10"/>
  <c r="M50" i="10"/>
  <c r="M49" i="10"/>
  <c r="M48" i="10"/>
  <c r="M47" i="10"/>
  <c r="M46" i="10"/>
  <c r="M45" i="10"/>
  <c r="M44" i="10"/>
  <c r="I55" i="10"/>
  <c r="I54" i="10"/>
  <c r="I53" i="10"/>
  <c r="I52" i="10"/>
  <c r="I51" i="10"/>
  <c r="I50" i="10"/>
  <c r="I49" i="10"/>
  <c r="I48" i="10"/>
  <c r="I47" i="10"/>
  <c r="I46" i="10"/>
  <c r="I45" i="10"/>
  <c r="I44" i="10"/>
  <c r="U25" i="10"/>
  <c r="U24" i="10"/>
  <c r="U23" i="10"/>
  <c r="U22" i="10"/>
  <c r="U21" i="10"/>
  <c r="U20" i="10"/>
  <c r="U19" i="10"/>
  <c r="U18" i="10"/>
  <c r="U17" i="10"/>
  <c r="U16" i="10"/>
  <c r="U15" i="10"/>
  <c r="U14" i="10"/>
  <c r="U13" i="10"/>
  <c r="Q25" i="10"/>
  <c r="Q24" i="10"/>
  <c r="Q23" i="10"/>
  <c r="Q22" i="10"/>
  <c r="Q21" i="10"/>
  <c r="Q20" i="10"/>
  <c r="Q19" i="10"/>
  <c r="Q18" i="10"/>
  <c r="Q17" i="10"/>
  <c r="Q16" i="10"/>
  <c r="Q15" i="10"/>
  <c r="Q14" i="10"/>
  <c r="Q13" i="10"/>
  <c r="M25" i="10"/>
  <c r="M24" i="10"/>
  <c r="M23" i="10"/>
  <c r="M22" i="10"/>
  <c r="M21" i="10"/>
  <c r="M20" i="10"/>
  <c r="M19" i="10"/>
  <c r="M18" i="10"/>
  <c r="M17" i="10"/>
  <c r="M16" i="10"/>
  <c r="M15" i="10"/>
  <c r="M14" i="10"/>
  <c r="M13" i="10"/>
  <c r="I14" i="10"/>
  <c r="I15" i="10"/>
  <c r="I16" i="10"/>
  <c r="I17" i="10"/>
  <c r="I18" i="10"/>
  <c r="I19" i="10"/>
  <c r="I20" i="10"/>
  <c r="I21" i="10"/>
  <c r="I22" i="10"/>
  <c r="I23" i="10"/>
  <c r="I24" i="10"/>
  <c r="I25" i="10"/>
  <c r="I13" i="10"/>
  <c r="U35" i="10"/>
  <c r="V35" i="10" s="1"/>
  <c r="W35" i="10" s="1"/>
  <c r="U36" i="10"/>
  <c r="V36" i="10"/>
  <c r="W36" i="10"/>
  <c r="U37" i="10"/>
  <c r="V37" i="10"/>
  <c r="W37" i="10" s="1"/>
  <c r="U38" i="10"/>
  <c r="V38" i="10"/>
  <c r="W38" i="10"/>
  <c r="Q35" i="10"/>
  <c r="R35" i="10" s="1"/>
  <c r="Q36" i="10"/>
  <c r="R36" i="10" s="1"/>
  <c r="Q37" i="10"/>
  <c r="R37" i="10" s="1"/>
  <c r="Q38" i="10"/>
  <c r="R38" i="10"/>
  <c r="M35" i="10"/>
  <c r="N35" i="10" s="1"/>
  <c r="M36" i="10"/>
  <c r="N36" i="10"/>
  <c r="M37" i="10"/>
  <c r="N37" i="10" s="1"/>
  <c r="M38" i="10"/>
  <c r="N38" i="10"/>
  <c r="I35" i="10"/>
  <c r="J35" i="10" s="1"/>
  <c r="I36" i="10"/>
  <c r="J36" i="10" s="1"/>
  <c r="I37" i="10"/>
  <c r="J37" i="10"/>
  <c r="I38" i="10"/>
  <c r="J38" i="10" s="1"/>
  <c r="F35" i="10"/>
  <c r="F36" i="10"/>
  <c r="F37" i="10"/>
  <c r="F38" i="10"/>
  <c r="I32" i="10"/>
  <c r="J32" i="10"/>
  <c r="M32" i="10"/>
  <c r="N32" i="10" s="1"/>
  <c r="I33" i="10"/>
  <c r="J33" i="10" s="1"/>
  <c r="F32" i="10"/>
  <c r="F33" i="10"/>
  <c r="A4" i="10"/>
  <c r="A3" i="10"/>
  <c r="A2" i="10"/>
  <c r="A1" i="10"/>
  <c r="I151" i="18" l="1"/>
  <c r="J151" i="18" s="1"/>
  <c r="M13" i="18"/>
  <c r="J13" i="18"/>
  <c r="M14" i="18"/>
  <c r="J14" i="18"/>
  <c r="M15" i="18"/>
  <c r="J15" i="18"/>
  <c r="M16" i="18"/>
  <c r="J16" i="18"/>
  <c r="N17" i="18"/>
  <c r="R17" i="18"/>
  <c r="V17" i="18"/>
  <c r="W17" i="18" s="1"/>
  <c r="M25" i="18"/>
  <c r="J25" i="18"/>
  <c r="M26" i="18"/>
  <c r="J26" i="18"/>
  <c r="M27" i="18"/>
  <c r="J27" i="18"/>
  <c r="M37" i="18"/>
  <c r="J37" i="18"/>
  <c r="M38" i="18"/>
  <c r="J38" i="18"/>
  <c r="M39" i="18"/>
  <c r="J39" i="18"/>
  <c r="M40" i="18"/>
  <c r="J40" i="18"/>
  <c r="M41" i="18"/>
  <c r="J41" i="18"/>
  <c r="M42" i="18"/>
  <c r="J42" i="18"/>
  <c r="M43" i="18"/>
  <c r="J43" i="18"/>
  <c r="M44" i="18"/>
  <c r="J44" i="18"/>
  <c r="M45" i="18"/>
  <c r="J45" i="18"/>
  <c r="M46" i="18"/>
  <c r="J46" i="18"/>
  <c r="M47" i="18"/>
  <c r="J47" i="18"/>
  <c r="M48" i="18"/>
  <c r="J48" i="18"/>
  <c r="M55" i="18"/>
  <c r="J55" i="18"/>
  <c r="M56" i="18"/>
  <c r="J56" i="18"/>
  <c r="M57" i="18"/>
  <c r="J57" i="18"/>
  <c r="M58" i="18"/>
  <c r="J58" i="18"/>
  <c r="M59" i="18"/>
  <c r="J59" i="18"/>
  <c r="M60" i="18"/>
  <c r="J60" i="18"/>
  <c r="M61" i="18"/>
  <c r="J61" i="18"/>
  <c r="M62" i="18"/>
  <c r="J62" i="18"/>
  <c r="M63" i="18"/>
  <c r="J63" i="18"/>
  <c r="M64" i="18"/>
  <c r="J64" i="18"/>
  <c r="M72" i="18"/>
  <c r="J72" i="18"/>
  <c r="M73" i="18"/>
  <c r="J73" i="18"/>
  <c r="M74" i="18"/>
  <c r="J74" i="18"/>
  <c r="M75" i="18"/>
  <c r="J75" i="18"/>
  <c r="M76" i="18"/>
  <c r="J76" i="18"/>
  <c r="M77" i="18"/>
  <c r="J77" i="18"/>
  <c r="M78" i="18"/>
  <c r="J78" i="18"/>
  <c r="M79" i="18"/>
  <c r="J79" i="18"/>
  <c r="M80" i="18"/>
  <c r="J80" i="18"/>
  <c r="M88" i="18"/>
  <c r="J88" i="18"/>
  <c r="J90" i="18" s="1"/>
  <c r="M95" i="18"/>
  <c r="J95" i="18"/>
  <c r="M96" i="18"/>
  <c r="J96" i="18"/>
  <c r="M102" i="18"/>
  <c r="J102" i="18"/>
  <c r="J104" i="18" s="1"/>
  <c r="Q103" i="18"/>
  <c r="N103" i="18"/>
  <c r="I152" i="18"/>
  <c r="J152" i="18" s="1"/>
  <c r="M109" i="18"/>
  <c r="J109" i="18"/>
  <c r="M110" i="18"/>
  <c r="J110" i="18"/>
  <c r="M111" i="18"/>
  <c r="J111" i="18"/>
  <c r="M112" i="18"/>
  <c r="J112" i="18"/>
  <c r="M113" i="18"/>
  <c r="J113" i="18"/>
  <c r="M114" i="18"/>
  <c r="J114" i="18"/>
  <c r="M115" i="18"/>
  <c r="J115" i="18"/>
  <c r="M116" i="18"/>
  <c r="J116" i="18"/>
  <c r="M117" i="18"/>
  <c r="J117" i="18"/>
  <c r="M118" i="18"/>
  <c r="J118" i="18"/>
  <c r="M125" i="18"/>
  <c r="J125" i="18"/>
  <c r="J137" i="18" s="1"/>
  <c r="F155" i="18"/>
  <c r="M33" i="10"/>
  <c r="N33" i="10" s="1"/>
  <c r="Q32" i="10"/>
  <c r="Q33" i="10"/>
  <c r="U33" i="10" s="1"/>
  <c r="Q125" i="18" l="1"/>
  <c r="N125" i="18"/>
  <c r="N137" i="18" s="1"/>
  <c r="Q118" i="18"/>
  <c r="N118" i="18"/>
  <c r="Q117" i="18"/>
  <c r="N117" i="18"/>
  <c r="Q116" i="18"/>
  <c r="N116" i="18"/>
  <c r="Q115" i="18"/>
  <c r="N115" i="18"/>
  <c r="Q114" i="18"/>
  <c r="N114" i="18"/>
  <c r="Q113" i="18"/>
  <c r="N113" i="18"/>
  <c r="Q112" i="18"/>
  <c r="N112" i="18"/>
  <c r="Q111" i="18"/>
  <c r="N111" i="18"/>
  <c r="Q110" i="18"/>
  <c r="N110" i="18"/>
  <c r="N120" i="18" s="1"/>
  <c r="J120" i="18"/>
  <c r="M152" i="18"/>
  <c r="N152" i="18" s="1"/>
  <c r="Q109" i="18"/>
  <c r="N109" i="18"/>
  <c r="U103" i="18"/>
  <c r="V103" i="18" s="1"/>
  <c r="R103" i="18"/>
  <c r="Q102" i="18"/>
  <c r="N102" i="18"/>
  <c r="N104" i="18" s="1"/>
  <c r="Q96" i="18"/>
  <c r="N96" i="18"/>
  <c r="J97" i="18"/>
  <c r="Q95" i="18"/>
  <c r="N95" i="18"/>
  <c r="N97" i="18" s="1"/>
  <c r="Q88" i="18"/>
  <c r="N88" i="18"/>
  <c r="N90" i="18" s="1"/>
  <c r="Q80" i="18"/>
  <c r="N80" i="18"/>
  <c r="Q79" i="18"/>
  <c r="N79" i="18"/>
  <c r="Q78" i="18"/>
  <c r="N78" i="18"/>
  <c r="Q77" i="18"/>
  <c r="N77" i="18"/>
  <c r="Q76" i="18"/>
  <c r="N76" i="18"/>
  <c r="Q75" i="18"/>
  <c r="N75" i="18"/>
  <c r="Q74" i="18"/>
  <c r="N74" i="18"/>
  <c r="Q73" i="18"/>
  <c r="N73" i="18"/>
  <c r="J83" i="18"/>
  <c r="Q72" i="18"/>
  <c r="N72" i="18"/>
  <c r="N83" i="18" s="1"/>
  <c r="Q64" i="18"/>
  <c r="N64" i="18"/>
  <c r="Q63" i="18"/>
  <c r="N63" i="18"/>
  <c r="Q62" i="18"/>
  <c r="N62" i="18"/>
  <c r="Q61" i="18"/>
  <c r="N61" i="18"/>
  <c r="Q60" i="18"/>
  <c r="N60" i="18"/>
  <c r="Q59" i="18"/>
  <c r="N59" i="18"/>
  <c r="Q58" i="18"/>
  <c r="N58" i="18"/>
  <c r="Q57" i="18"/>
  <c r="N57" i="18"/>
  <c r="Q56" i="18"/>
  <c r="N56" i="18"/>
  <c r="J67" i="18"/>
  <c r="Q55" i="18"/>
  <c r="N55" i="18"/>
  <c r="N67" i="18" s="1"/>
  <c r="Q48" i="18"/>
  <c r="N48" i="18"/>
  <c r="Q47" i="18"/>
  <c r="N47" i="18"/>
  <c r="Q46" i="18"/>
  <c r="N46" i="18"/>
  <c r="Q45" i="18"/>
  <c r="N45" i="18"/>
  <c r="Q44" i="18"/>
  <c r="N44" i="18"/>
  <c r="Q43" i="18"/>
  <c r="N43" i="18"/>
  <c r="Q42" i="18"/>
  <c r="N42" i="18"/>
  <c r="Q41" i="18"/>
  <c r="N41" i="18"/>
  <c r="Q40" i="18"/>
  <c r="N40" i="18"/>
  <c r="Q39" i="18"/>
  <c r="N39" i="18"/>
  <c r="Q38" i="18"/>
  <c r="N38" i="18"/>
  <c r="J50" i="18"/>
  <c r="Q37" i="18"/>
  <c r="N37" i="18"/>
  <c r="N50" i="18" s="1"/>
  <c r="Q27" i="18"/>
  <c r="N27" i="18"/>
  <c r="Q26" i="18"/>
  <c r="N26" i="18"/>
  <c r="J32" i="18"/>
  <c r="Q25" i="18"/>
  <c r="N25" i="18"/>
  <c r="N32" i="18" s="1"/>
  <c r="Q16" i="18"/>
  <c r="N16" i="18"/>
  <c r="Q15" i="18"/>
  <c r="N15" i="18"/>
  <c r="Q14" i="18"/>
  <c r="N14" i="18"/>
  <c r="J20" i="18"/>
  <c r="M151" i="18"/>
  <c r="N151" i="18" s="1"/>
  <c r="N153" i="18" s="1"/>
  <c r="Q13" i="18"/>
  <c r="N13" i="18"/>
  <c r="N20" i="18" s="1"/>
  <c r="J153" i="18"/>
  <c r="J155" i="18" s="1"/>
  <c r="U32" i="10"/>
  <c r="V32" i="10" s="1"/>
  <c r="R32" i="10"/>
  <c r="V33" i="10"/>
  <c r="R33" i="10"/>
  <c r="Q151" i="18" l="1"/>
  <c r="R151" i="18" s="1"/>
  <c r="U13" i="18"/>
  <c r="R13" i="18"/>
  <c r="N155" i="18"/>
  <c r="U14" i="18"/>
  <c r="V14" i="18" s="1"/>
  <c r="R14" i="18"/>
  <c r="U15" i="18"/>
  <c r="V15" i="18" s="1"/>
  <c r="R15" i="18"/>
  <c r="U16" i="18"/>
  <c r="V16" i="18" s="1"/>
  <c r="R16" i="18"/>
  <c r="U25" i="18"/>
  <c r="V25" i="18" s="1"/>
  <c r="R25" i="18"/>
  <c r="U26" i="18"/>
  <c r="V26" i="18" s="1"/>
  <c r="R26" i="18"/>
  <c r="U27" i="18"/>
  <c r="V27" i="18" s="1"/>
  <c r="R27" i="18"/>
  <c r="U37" i="18"/>
  <c r="V37" i="18" s="1"/>
  <c r="R37" i="18"/>
  <c r="U38" i="18"/>
  <c r="V38" i="18" s="1"/>
  <c r="R38" i="18"/>
  <c r="U39" i="18"/>
  <c r="V39" i="18" s="1"/>
  <c r="R39" i="18"/>
  <c r="U40" i="18"/>
  <c r="V40" i="18" s="1"/>
  <c r="R40" i="18"/>
  <c r="U41" i="18"/>
  <c r="V41" i="18" s="1"/>
  <c r="R41" i="18"/>
  <c r="U42" i="18"/>
  <c r="V42" i="18" s="1"/>
  <c r="R42" i="18"/>
  <c r="U43" i="18"/>
  <c r="V43" i="18" s="1"/>
  <c r="R43" i="18"/>
  <c r="U44" i="18"/>
  <c r="V44" i="18" s="1"/>
  <c r="R44" i="18"/>
  <c r="U45" i="18"/>
  <c r="V45" i="18" s="1"/>
  <c r="R45" i="18"/>
  <c r="U46" i="18"/>
  <c r="V46" i="18" s="1"/>
  <c r="R46" i="18"/>
  <c r="U47" i="18"/>
  <c r="V47" i="18" s="1"/>
  <c r="R47" i="18"/>
  <c r="U48" i="18"/>
  <c r="V48" i="18" s="1"/>
  <c r="R48" i="18"/>
  <c r="U55" i="18"/>
  <c r="V55" i="18" s="1"/>
  <c r="R55" i="18"/>
  <c r="U56" i="18"/>
  <c r="V56" i="18" s="1"/>
  <c r="R56" i="18"/>
  <c r="U57" i="18"/>
  <c r="V57" i="18" s="1"/>
  <c r="R57" i="18"/>
  <c r="U58" i="18"/>
  <c r="V58" i="18" s="1"/>
  <c r="R58" i="18"/>
  <c r="U59" i="18"/>
  <c r="V59" i="18" s="1"/>
  <c r="R59" i="18"/>
  <c r="U60" i="18"/>
  <c r="V60" i="18" s="1"/>
  <c r="R60" i="18"/>
  <c r="U61" i="18"/>
  <c r="V61" i="18" s="1"/>
  <c r="R61" i="18"/>
  <c r="U62" i="18"/>
  <c r="V62" i="18" s="1"/>
  <c r="R62" i="18"/>
  <c r="U63" i="18"/>
  <c r="V63" i="18" s="1"/>
  <c r="R63" i="18"/>
  <c r="U64" i="18"/>
  <c r="V64" i="18" s="1"/>
  <c r="R64" i="18"/>
  <c r="U72" i="18"/>
  <c r="V72" i="18" s="1"/>
  <c r="R72" i="18"/>
  <c r="U73" i="18"/>
  <c r="V73" i="18" s="1"/>
  <c r="R73" i="18"/>
  <c r="U74" i="18"/>
  <c r="V74" i="18" s="1"/>
  <c r="R74" i="18"/>
  <c r="U75" i="18"/>
  <c r="V75" i="18" s="1"/>
  <c r="R75" i="18"/>
  <c r="U76" i="18"/>
  <c r="V76" i="18" s="1"/>
  <c r="R76" i="18"/>
  <c r="U77" i="18"/>
  <c r="V77" i="18" s="1"/>
  <c r="R77" i="18"/>
  <c r="U78" i="18"/>
  <c r="V78" i="18" s="1"/>
  <c r="R78" i="18"/>
  <c r="U79" i="18"/>
  <c r="V79" i="18" s="1"/>
  <c r="R79" i="18"/>
  <c r="U80" i="18"/>
  <c r="V80" i="18" s="1"/>
  <c r="R80" i="18"/>
  <c r="U88" i="18"/>
  <c r="V88" i="18" s="1"/>
  <c r="R88" i="18"/>
  <c r="R90" i="18" s="1"/>
  <c r="U95" i="18"/>
  <c r="V95" i="18" s="1"/>
  <c r="R95" i="18"/>
  <c r="U96" i="18"/>
  <c r="V96" i="18" s="1"/>
  <c r="R96" i="18"/>
  <c r="U102" i="18"/>
  <c r="V102" i="18" s="1"/>
  <c r="R102" i="18"/>
  <c r="R104" i="18" s="1"/>
  <c r="W103" i="18"/>
  <c r="Q152" i="18"/>
  <c r="R152" i="18" s="1"/>
  <c r="U109" i="18"/>
  <c r="R109" i="18"/>
  <c r="U110" i="18"/>
  <c r="V110" i="18" s="1"/>
  <c r="R110" i="18"/>
  <c r="U111" i="18"/>
  <c r="V111" i="18" s="1"/>
  <c r="R111" i="18"/>
  <c r="U112" i="18"/>
  <c r="V112" i="18" s="1"/>
  <c r="R112" i="18"/>
  <c r="U113" i="18"/>
  <c r="V113" i="18" s="1"/>
  <c r="R113" i="18"/>
  <c r="U114" i="18"/>
  <c r="V114" i="18" s="1"/>
  <c r="R114" i="18"/>
  <c r="U115" i="18"/>
  <c r="V115" i="18" s="1"/>
  <c r="R115" i="18"/>
  <c r="U116" i="18"/>
  <c r="V116" i="18" s="1"/>
  <c r="R116" i="18"/>
  <c r="U117" i="18"/>
  <c r="V117" i="18" s="1"/>
  <c r="R117" i="18"/>
  <c r="U118" i="18"/>
  <c r="V118" i="18" s="1"/>
  <c r="R118" i="18"/>
  <c r="U125" i="18"/>
  <c r="V125" i="18" s="1"/>
  <c r="R125" i="18"/>
  <c r="R137" i="18" s="1"/>
  <c r="W33" i="10"/>
  <c r="W32" i="10"/>
  <c r="F168" i="10"/>
  <c r="V137" i="18" l="1"/>
  <c r="W137" i="18" s="1"/>
  <c r="W125" i="18"/>
  <c r="W118" i="18"/>
  <c r="W117" i="18"/>
  <c r="W116" i="18"/>
  <c r="W115" i="18"/>
  <c r="W114" i="18"/>
  <c r="W113" i="18"/>
  <c r="W112" i="18"/>
  <c r="W111" i="18"/>
  <c r="R120" i="18"/>
  <c r="V120" i="18"/>
  <c r="W120" i="18" s="1"/>
  <c r="W110" i="18"/>
  <c r="U152" i="18"/>
  <c r="V152" i="18" s="1"/>
  <c r="W152" i="18" s="1"/>
  <c r="V109" i="18"/>
  <c r="W109" i="18" s="1"/>
  <c r="V104" i="18"/>
  <c r="W104" i="18" s="1"/>
  <c r="W102" i="18"/>
  <c r="W96" i="18"/>
  <c r="R97" i="18"/>
  <c r="V97" i="18"/>
  <c r="W97" i="18" s="1"/>
  <c r="W95" i="18"/>
  <c r="V90" i="18"/>
  <c r="W90" i="18" s="1"/>
  <c r="W88" i="18"/>
  <c r="W80" i="18"/>
  <c r="W79" i="18"/>
  <c r="W78" i="18"/>
  <c r="W77" i="18"/>
  <c r="W76" i="18"/>
  <c r="W75" i="18"/>
  <c r="W74" i="18"/>
  <c r="W73" i="18"/>
  <c r="R83" i="18"/>
  <c r="V83" i="18"/>
  <c r="W83" i="18" s="1"/>
  <c r="W72" i="18"/>
  <c r="W64" i="18"/>
  <c r="W63" i="18"/>
  <c r="W62" i="18"/>
  <c r="W61" i="18"/>
  <c r="W60" i="18"/>
  <c r="W59" i="18"/>
  <c r="W58" i="18"/>
  <c r="W57" i="18"/>
  <c r="W56" i="18"/>
  <c r="R67" i="18"/>
  <c r="V67" i="18"/>
  <c r="W67" i="18" s="1"/>
  <c r="W55" i="18"/>
  <c r="W48" i="18"/>
  <c r="W47" i="18"/>
  <c r="W46" i="18"/>
  <c r="W45" i="18"/>
  <c r="W44" i="18"/>
  <c r="W43" i="18"/>
  <c r="W42" i="18"/>
  <c r="W41" i="18"/>
  <c r="W40" i="18"/>
  <c r="W39" i="18"/>
  <c r="W38" i="18"/>
  <c r="R50" i="18"/>
  <c r="V50" i="18"/>
  <c r="W50" i="18" s="1"/>
  <c r="W37" i="18"/>
  <c r="W27" i="18"/>
  <c r="W26" i="18"/>
  <c r="R32" i="18"/>
  <c r="V32" i="18"/>
  <c r="W32" i="18" s="1"/>
  <c r="W25" i="18"/>
  <c r="W16" i="18"/>
  <c r="W15" i="18"/>
  <c r="W14" i="18"/>
  <c r="R20" i="18"/>
  <c r="U151" i="18"/>
  <c r="V151" i="18" s="1"/>
  <c r="V13" i="18"/>
  <c r="R153" i="18"/>
  <c r="R155" i="18" s="1"/>
  <c r="F116" i="10"/>
  <c r="J129" i="10"/>
  <c r="F129" i="10"/>
  <c r="F54" i="10"/>
  <c r="J54" i="10"/>
  <c r="F34" i="10"/>
  <c r="F39" i="10" s="1"/>
  <c r="I34" i="10"/>
  <c r="M34" i="10" s="1"/>
  <c r="Q34" i="10" s="1"/>
  <c r="U34" i="10" s="1"/>
  <c r="F152" i="10"/>
  <c r="V20" i="18" l="1"/>
  <c r="W20" i="18" s="1"/>
  <c r="W13" i="18"/>
  <c r="V153" i="18"/>
  <c r="W151" i="18"/>
  <c r="N116" i="10"/>
  <c r="J116" i="10"/>
  <c r="J140" i="10"/>
  <c r="J152" i="10" s="1"/>
  <c r="N54" i="10"/>
  <c r="J34" i="10"/>
  <c r="J39" i="10" s="1"/>
  <c r="N34" i="10"/>
  <c r="N39" i="10" s="1"/>
  <c r="N140" i="10"/>
  <c r="N152" i="10" s="1"/>
  <c r="G24" i="10"/>
  <c r="K24" i="10" s="1"/>
  <c r="O24" i="10" s="1"/>
  <c r="S24" i="10" s="1"/>
  <c r="F24" i="10"/>
  <c r="G23" i="10"/>
  <c r="K23" i="10" s="1"/>
  <c r="O23" i="10" s="1"/>
  <c r="S23" i="10" s="1"/>
  <c r="F23" i="10"/>
  <c r="G22" i="10"/>
  <c r="K22" i="10" s="1"/>
  <c r="O22" i="10" s="1"/>
  <c r="S22" i="10" s="1"/>
  <c r="F22" i="10"/>
  <c r="G21" i="10"/>
  <c r="K21" i="10" s="1"/>
  <c r="O21" i="10" s="1"/>
  <c r="S21" i="10" s="1"/>
  <c r="F21" i="10"/>
  <c r="G20" i="10"/>
  <c r="K20" i="10" s="1"/>
  <c r="O20" i="10" s="1"/>
  <c r="S20" i="10" s="1"/>
  <c r="F20" i="10"/>
  <c r="G19" i="10"/>
  <c r="K19" i="10" s="1"/>
  <c r="O19" i="10" s="1"/>
  <c r="S19" i="10" s="1"/>
  <c r="F19" i="10"/>
  <c r="G18" i="10"/>
  <c r="K18" i="10" s="1"/>
  <c r="O18" i="10" s="1"/>
  <c r="S18" i="10" s="1"/>
  <c r="F18" i="10"/>
  <c r="G17" i="10"/>
  <c r="K17" i="10" s="1"/>
  <c r="O17" i="10" s="1"/>
  <c r="S17" i="10" s="1"/>
  <c r="F17" i="10"/>
  <c r="G16" i="10"/>
  <c r="K16" i="10" s="1"/>
  <c r="O16" i="10" s="1"/>
  <c r="S16" i="10" s="1"/>
  <c r="F16" i="10"/>
  <c r="G15" i="10"/>
  <c r="K15" i="10" s="1"/>
  <c r="O15" i="10" s="1"/>
  <c r="S15" i="10" s="1"/>
  <c r="F15" i="10"/>
  <c r="G14" i="10"/>
  <c r="K14" i="10" s="1"/>
  <c r="O14" i="10" s="1"/>
  <c r="S14" i="10" s="1"/>
  <c r="F14" i="10"/>
  <c r="J121" i="10"/>
  <c r="J122" i="10"/>
  <c r="J123" i="10"/>
  <c r="J128" i="10"/>
  <c r="F128" i="10"/>
  <c r="F127" i="10"/>
  <c r="F126" i="10"/>
  <c r="F125" i="10"/>
  <c r="F124" i="10"/>
  <c r="F123" i="10"/>
  <c r="F122" i="10"/>
  <c r="F121" i="10"/>
  <c r="J110" i="10"/>
  <c r="J109" i="10"/>
  <c r="J103" i="10"/>
  <c r="F103" i="10"/>
  <c r="J102" i="10"/>
  <c r="F102" i="10"/>
  <c r="F95" i="10"/>
  <c r="F97" i="10" s="1"/>
  <c r="F83" i="10"/>
  <c r="F82" i="10"/>
  <c r="J81" i="10"/>
  <c r="F81" i="10"/>
  <c r="F80" i="10"/>
  <c r="J79" i="10"/>
  <c r="F79" i="10"/>
  <c r="F71" i="10"/>
  <c r="F70" i="10"/>
  <c r="F69" i="10"/>
  <c r="F68" i="10"/>
  <c r="F67" i="10"/>
  <c r="J66" i="10"/>
  <c r="F66" i="10"/>
  <c r="F65" i="10"/>
  <c r="J64" i="10"/>
  <c r="F64" i="10"/>
  <c r="F63" i="10"/>
  <c r="F62" i="10"/>
  <c r="F55" i="10"/>
  <c r="J53" i="10"/>
  <c r="F53" i="10"/>
  <c r="F52" i="10"/>
  <c r="F51" i="10"/>
  <c r="F50" i="10"/>
  <c r="F49" i="10"/>
  <c r="F48" i="10"/>
  <c r="F47" i="10"/>
  <c r="F46" i="10"/>
  <c r="F45" i="10"/>
  <c r="F44" i="10"/>
  <c r="F133" i="10"/>
  <c r="F132" i="10"/>
  <c r="F131" i="10"/>
  <c r="F130" i="10"/>
  <c r="F120" i="10"/>
  <c r="F119" i="10"/>
  <c r="F118" i="10"/>
  <c r="F117" i="10"/>
  <c r="G25" i="10"/>
  <c r="K25" i="10" s="1"/>
  <c r="O25" i="10" s="1"/>
  <c r="S25" i="10" s="1"/>
  <c r="F25" i="10"/>
  <c r="G13" i="10"/>
  <c r="K13" i="10" s="1"/>
  <c r="O13" i="10" s="1"/>
  <c r="S13" i="10" s="1"/>
  <c r="F13" i="10"/>
  <c r="V155" i="18" l="1"/>
  <c r="W155" i="18" s="1"/>
  <c r="W157" i="18" s="1"/>
  <c r="W153" i="18"/>
  <c r="J168" i="10"/>
  <c r="F135" i="10"/>
  <c r="J104" i="10"/>
  <c r="R116" i="10"/>
  <c r="N129" i="10"/>
  <c r="F111" i="10"/>
  <c r="R54" i="10"/>
  <c r="R34" i="10"/>
  <c r="R39" i="10" s="1"/>
  <c r="J111" i="10"/>
  <c r="F104" i="10"/>
  <c r="R140" i="10"/>
  <c r="R152" i="10" s="1"/>
  <c r="J125" i="10"/>
  <c r="J124" i="10"/>
  <c r="J127" i="10"/>
  <c r="N127" i="10"/>
  <c r="J126" i="10"/>
  <c r="N126" i="10"/>
  <c r="R128" i="10"/>
  <c r="R121" i="10"/>
  <c r="J21" i="10"/>
  <c r="J18" i="10"/>
  <c r="J22" i="10"/>
  <c r="J14" i="10"/>
  <c r="N17" i="10"/>
  <c r="R14" i="10"/>
  <c r="N20" i="10"/>
  <c r="N22" i="10"/>
  <c r="N15" i="10"/>
  <c r="N23" i="10"/>
  <c r="N19" i="10"/>
  <c r="R18" i="10"/>
  <c r="N16" i="10"/>
  <c r="N24" i="10"/>
  <c r="J15" i="10"/>
  <c r="N21" i="10"/>
  <c r="J23" i="10"/>
  <c r="N18" i="10"/>
  <c r="J20" i="10"/>
  <c r="J17" i="10"/>
  <c r="J19" i="10"/>
  <c r="N14" i="10"/>
  <c r="J16" i="10"/>
  <c r="J24" i="10"/>
  <c r="R125" i="10"/>
  <c r="N125" i="10"/>
  <c r="J67" i="10"/>
  <c r="N81" i="10"/>
  <c r="J119" i="10"/>
  <c r="J68" i="10"/>
  <c r="V64" i="10"/>
  <c r="J45" i="10"/>
  <c r="N102" i="10"/>
  <c r="J46" i="10"/>
  <c r="J47" i="10"/>
  <c r="J63" i="10"/>
  <c r="J117" i="10"/>
  <c r="F57" i="10"/>
  <c r="J80" i="10"/>
  <c r="J51" i="10"/>
  <c r="N109" i="10"/>
  <c r="J65" i="10"/>
  <c r="J130" i="10"/>
  <c r="J71" i="10"/>
  <c r="R66" i="10"/>
  <c r="R119" i="10"/>
  <c r="N119" i="10"/>
  <c r="J44" i="10"/>
  <c r="J120" i="10"/>
  <c r="J50" i="10"/>
  <c r="J55" i="10"/>
  <c r="F27" i="10"/>
  <c r="F74" i="10"/>
  <c r="F90" i="10"/>
  <c r="J131" i="10"/>
  <c r="N51" i="10"/>
  <c r="N68" i="10"/>
  <c r="J95" i="10"/>
  <c r="N47" i="10"/>
  <c r="J52" i="10"/>
  <c r="N49" i="10"/>
  <c r="R80" i="10"/>
  <c r="R45" i="10"/>
  <c r="N69" i="10"/>
  <c r="R55" i="10"/>
  <c r="N82" i="10"/>
  <c r="R68" i="10"/>
  <c r="R130" i="10"/>
  <c r="N71" i="10"/>
  <c r="V109" i="10"/>
  <c r="N117" i="10"/>
  <c r="N62" i="10"/>
  <c r="N83" i="10"/>
  <c r="R120" i="10"/>
  <c r="N131" i="10"/>
  <c r="R46" i="10"/>
  <c r="N44" i="10"/>
  <c r="N50" i="10"/>
  <c r="N70" i="10"/>
  <c r="N118" i="10"/>
  <c r="V51" i="10"/>
  <c r="R110" i="10"/>
  <c r="N48" i="10"/>
  <c r="N13" i="10"/>
  <c r="N63" i="10"/>
  <c r="N95" i="10"/>
  <c r="N97" i="10" s="1"/>
  <c r="R47" i="10"/>
  <c r="N52" i="10"/>
  <c r="N65" i="10"/>
  <c r="N25" i="10"/>
  <c r="N132" i="10"/>
  <c r="R67" i="10"/>
  <c r="N133" i="10"/>
  <c r="J25" i="10"/>
  <c r="N120" i="10"/>
  <c r="J132" i="10"/>
  <c r="N45" i="10"/>
  <c r="J48" i="10"/>
  <c r="J69" i="10"/>
  <c r="J82" i="10"/>
  <c r="N110" i="10"/>
  <c r="R109" i="10"/>
  <c r="J118" i="10"/>
  <c r="N130" i="10"/>
  <c r="J133" i="10"/>
  <c r="N46" i="10"/>
  <c r="J49" i="10"/>
  <c r="R51" i="10"/>
  <c r="N55" i="10"/>
  <c r="J62" i="10"/>
  <c r="N67" i="10"/>
  <c r="J70" i="10"/>
  <c r="N80" i="10"/>
  <c r="J83" i="10"/>
  <c r="J13" i="10"/>
  <c r="V116" i="10" l="1"/>
  <c r="W116" i="10" s="1"/>
  <c r="F169" i="10"/>
  <c r="N124" i="10"/>
  <c r="N168" i="10"/>
  <c r="R124" i="10"/>
  <c r="J135" i="10"/>
  <c r="V54" i="10"/>
  <c r="W54" i="10" s="1"/>
  <c r="V129" i="10"/>
  <c r="R129" i="10"/>
  <c r="W51" i="10"/>
  <c r="W109" i="10"/>
  <c r="J97" i="10"/>
  <c r="V34" i="10"/>
  <c r="R126" i="10"/>
  <c r="V140" i="10"/>
  <c r="R111" i="10"/>
  <c r="N111" i="10"/>
  <c r="R64" i="10"/>
  <c r="N128" i="10"/>
  <c r="V128" i="10"/>
  <c r="R122" i="10"/>
  <c r="N122" i="10"/>
  <c r="N123" i="10"/>
  <c r="N121" i="10"/>
  <c r="R19" i="10"/>
  <c r="R15" i="10"/>
  <c r="R22" i="10"/>
  <c r="R20" i="10"/>
  <c r="V18" i="10"/>
  <c r="W18" i="10" s="1"/>
  <c r="R23" i="10"/>
  <c r="R24" i="10"/>
  <c r="V14" i="10"/>
  <c r="W14" i="10" s="1"/>
  <c r="R17" i="10"/>
  <c r="R16" i="10"/>
  <c r="V125" i="10"/>
  <c r="W125" i="10" s="1"/>
  <c r="V122" i="10"/>
  <c r="R53" i="10"/>
  <c r="N79" i="10"/>
  <c r="N90" i="10" s="1"/>
  <c r="J90" i="10"/>
  <c r="R79" i="10"/>
  <c r="N66" i="10"/>
  <c r="R81" i="10"/>
  <c r="N64" i="10"/>
  <c r="N53" i="10"/>
  <c r="N57" i="10" s="1"/>
  <c r="V119" i="10"/>
  <c r="W119" i="10" s="1"/>
  <c r="J57" i="10"/>
  <c r="R117" i="10"/>
  <c r="N27" i="10"/>
  <c r="R25" i="10"/>
  <c r="V110" i="10"/>
  <c r="W110" i="10" s="1"/>
  <c r="R131" i="10"/>
  <c r="R69" i="10"/>
  <c r="R65" i="10"/>
  <c r="V45" i="10"/>
  <c r="W45" i="10" s="1"/>
  <c r="V46" i="10"/>
  <c r="W46" i="10" s="1"/>
  <c r="R48" i="10"/>
  <c r="J27" i="10"/>
  <c r="R52" i="10"/>
  <c r="R118" i="10"/>
  <c r="R83" i="10"/>
  <c r="R132" i="10"/>
  <c r="R13" i="10"/>
  <c r="N103" i="10"/>
  <c r="R133" i="10"/>
  <c r="V47" i="10"/>
  <c r="W47" i="10" s="1"/>
  <c r="R71" i="10"/>
  <c r="V80" i="10"/>
  <c r="W80" i="10" s="1"/>
  <c r="V55" i="10"/>
  <c r="W55" i="10" s="1"/>
  <c r="R70" i="10"/>
  <c r="R50" i="10"/>
  <c r="V79" i="10"/>
  <c r="V68" i="10"/>
  <c r="W68" i="10" s="1"/>
  <c r="V53" i="10"/>
  <c r="J74" i="10"/>
  <c r="R63" i="10"/>
  <c r="V120" i="10"/>
  <c r="W120" i="10" s="1"/>
  <c r="V130" i="10"/>
  <c r="W130" i="10" s="1"/>
  <c r="R95" i="10"/>
  <c r="R97" i="10" s="1"/>
  <c r="R62" i="10"/>
  <c r="V67" i="10"/>
  <c r="W67" i="10" s="1"/>
  <c r="R44" i="10"/>
  <c r="R82" i="10"/>
  <c r="R49" i="10"/>
  <c r="R168" i="10" l="1"/>
  <c r="R21" i="10"/>
  <c r="J169" i="10"/>
  <c r="W122" i="10"/>
  <c r="W140" i="10"/>
  <c r="V152" i="10"/>
  <c r="N135" i="10"/>
  <c r="W128" i="10"/>
  <c r="V126" i="10"/>
  <c r="W126" i="10" s="1"/>
  <c r="W53" i="10"/>
  <c r="W64" i="10"/>
  <c r="W129" i="10"/>
  <c r="V39" i="10"/>
  <c r="W34" i="10"/>
  <c r="W79" i="10"/>
  <c r="N74" i="10"/>
  <c r="V111" i="10"/>
  <c r="N104" i="10"/>
  <c r="R102" i="10"/>
  <c r="R127" i="10"/>
  <c r="V121" i="10"/>
  <c r="W121" i="10" s="1"/>
  <c r="R123" i="10"/>
  <c r="V20" i="10"/>
  <c r="W20" i="10" s="1"/>
  <c r="V24" i="10"/>
  <c r="W24" i="10" s="1"/>
  <c r="V22" i="10"/>
  <c r="W22" i="10" s="1"/>
  <c r="V16" i="10"/>
  <c r="W16" i="10" s="1"/>
  <c r="V15" i="10"/>
  <c r="W15" i="10" s="1"/>
  <c r="V23" i="10"/>
  <c r="W23" i="10" s="1"/>
  <c r="V17" i="10"/>
  <c r="W17" i="10" s="1"/>
  <c r="V19" i="10"/>
  <c r="W19" i="10" s="1"/>
  <c r="V66" i="10"/>
  <c r="W66" i="10" s="1"/>
  <c r="R90" i="10"/>
  <c r="R57" i="10"/>
  <c r="V102" i="10"/>
  <c r="V69" i="10"/>
  <c r="W69" i="10" s="1"/>
  <c r="R74" i="10"/>
  <c r="V62" i="10"/>
  <c r="W62" i="10" s="1"/>
  <c r="V48" i="10"/>
  <c r="W48" i="10" s="1"/>
  <c r="V95" i="10"/>
  <c r="V131" i="10"/>
  <c r="W131" i="10" s="1"/>
  <c r="V49" i="10"/>
  <c r="W49" i="10" s="1"/>
  <c r="V83" i="10"/>
  <c r="W83" i="10" s="1"/>
  <c r="V25" i="10"/>
  <c r="W25" i="10" s="1"/>
  <c r="V133" i="10"/>
  <c r="W133" i="10" s="1"/>
  <c r="V65" i="10"/>
  <c r="W65" i="10" s="1"/>
  <c r="V70" i="10"/>
  <c r="W70" i="10" s="1"/>
  <c r="V82" i="10"/>
  <c r="W82" i="10" s="1"/>
  <c r="V50" i="10"/>
  <c r="W50" i="10" s="1"/>
  <c r="V71" i="10"/>
  <c r="W71" i="10" s="1"/>
  <c r="V118" i="10"/>
  <c r="W118" i="10" s="1"/>
  <c r="R27" i="10"/>
  <c r="V132" i="10"/>
  <c r="W132" i="10" s="1"/>
  <c r="V52" i="10"/>
  <c r="W52" i="10" s="1"/>
  <c r="R103" i="10"/>
  <c r="V13" i="10"/>
  <c r="W13" i="10" s="1"/>
  <c r="V63" i="10"/>
  <c r="W63" i="10" s="1"/>
  <c r="V117" i="10"/>
  <c r="V44" i="10"/>
  <c r="W44" i="10" s="1"/>
  <c r="D58" i="4"/>
  <c r="E59" i="4"/>
  <c r="F60" i="4"/>
  <c r="G61" i="4"/>
  <c r="H63" i="4"/>
  <c r="F61" i="5"/>
  <c r="F69" i="5"/>
  <c r="H71" i="5"/>
  <c r="G70" i="5"/>
  <c r="F68" i="5"/>
  <c r="E67" i="5"/>
  <c r="D66" i="5"/>
  <c r="C65" i="5"/>
  <c r="H27" i="5"/>
  <c r="G26" i="5"/>
  <c r="F25" i="5"/>
  <c r="E24" i="5"/>
  <c r="D23" i="5"/>
  <c r="C22" i="5"/>
  <c r="C15" i="5"/>
  <c r="I15" i="5" s="1"/>
  <c r="H71" i="4"/>
  <c r="G70" i="4"/>
  <c r="F69" i="4"/>
  <c r="E68" i="4"/>
  <c r="D66" i="4"/>
  <c r="C65" i="4"/>
  <c r="H48" i="4"/>
  <c r="G47" i="4"/>
  <c r="F46" i="4"/>
  <c r="E45" i="4"/>
  <c r="D44" i="4"/>
  <c r="C43" i="4"/>
  <c r="H41" i="4"/>
  <c r="G40" i="4"/>
  <c r="F39" i="4"/>
  <c r="E38" i="4"/>
  <c r="D37" i="4"/>
  <c r="C36" i="4"/>
  <c r="G33" i="5"/>
  <c r="H34" i="5"/>
  <c r="F32" i="5"/>
  <c r="E31" i="5"/>
  <c r="D30" i="5"/>
  <c r="C29" i="5"/>
  <c r="N169" i="10" l="1"/>
  <c r="V21" i="10"/>
  <c r="W21" i="10" s="1"/>
  <c r="W39" i="10"/>
  <c r="V124" i="10"/>
  <c r="W124" i="10" s="1"/>
  <c r="W152" i="10"/>
  <c r="W117" i="10"/>
  <c r="R135" i="10"/>
  <c r="W111" i="10"/>
  <c r="W102" i="10"/>
  <c r="V97" i="10"/>
  <c r="W95" i="10"/>
  <c r="R104" i="10"/>
  <c r="V81" i="10"/>
  <c r="V127" i="10"/>
  <c r="W127" i="10" s="1"/>
  <c r="V123" i="10"/>
  <c r="V74" i="10"/>
  <c r="V27" i="10"/>
  <c r="V103" i="10"/>
  <c r="W103" i="10" s="1"/>
  <c r="V57" i="10"/>
  <c r="I71" i="5"/>
  <c r="E45" i="5"/>
  <c r="G40" i="5"/>
  <c r="H41" i="5"/>
  <c r="C72" i="5"/>
  <c r="I72" i="5" s="1"/>
  <c r="C43" i="5"/>
  <c r="D44" i="5"/>
  <c r="I34" i="5"/>
  <c r="F46" i="5"/>
  <c r="G47" i="5"/>
  <c r="H48" i="5"/>
  <c r="C36" i="5"/>
  <c r="D37" i="5"/>
  <c r="E38" i="5"/>
  <c r="F39" i="5"/>
  <c r="I27" i="5"/>
  <c r="I71" i="4"/>
  <c r="I48" i="4"/>
  <c r="I41" i="4"/>
  <c r="R169" i="10" l="1"/>
  <c r="V135" i="10"/>
  <c r="V168" i="10"/>
  <c r="W57" i="10"/>
  <c r="W27" i="10"/>
  <c r="W74" i="10"/>
  <c r="W123" i="10"/>
  <c r="V90" i="10"/>
  <c r="W81" i="10"/>
  <c r="W97" i="10"/>
  <c r="V104" i="10"/>
  <c r="I48" i="5"/>
  <c r="I41" i="5"/>
  <c r="G54" i="5"/>
  <c r="D51" i="5"/>
  <c r="H55" i="5"/>
  <c r="E52" i="5"/>
  <c r="F53" i="5"/>
  <c r="W168" i="10" l="1"/>
  <c r="V169" i="10"/>
  <c r="W169" i="10" s="1"/>
  <c r="W90" i="10"/>
  <c r="W104" i="10"/>
  <c r="W135" i="10"/>
  <c r="C50" i="5"/>
  <c r="I55" i="5" s="1"/>
  <c r="C57" i="4" l="1"/>
  <c r="C57" i="5"/>
  <c r="H20" i="4" l="1"/>
  <c r="H20" i="5"/>
  <c r="H72" i="5" s="1"/>
  <c r="G19" i="4"/>
  <c r="G19" i="5"/>
  <c r="G72" i="5" s="1"/>
  <c r="F18" i="4"/>
  <c r="F18" i="5"/>
  <c r="F72" i="5" s="1"/>
  <c r="E17" i="4"/>
  <c r="E17" i="5"/>
  <c r="E72" i="5" s="1"/>
  <c r="D16" i="4"/>
  <c r="D16" i="5"/>
  <c r="I20" i="4" l="1"/>
  <c r="D72" i="5"/>
  <c r="I20" i="5"/>
  <c r="I74" i="5" s="1"/>
  <c r="C15" i="4" l="1"/>
  <c r="I15" i="4" s="1"/>
  <c r="W171" i="10" l="1"/>
  <c r="C29" i="4"/>
  <c r="F60" i="5"/>
  <c r="E59" i="5"/>
  <c r="D58" i="5"/>
  <c r="H63" i="5" l="1"/>
  <c r="G62" i="5"/>
  <c r="E31" i="4"/>
  <c r="G33" i="4"/>
  <c r="D30" i="4"/>
  <c r="F32" i="4"/>
  <c r="C22" i="4"/>
  <c r="H34" i="4"/>
  <c r="E24" i="4"/>
  <c r="E52" i="4"/>
  <c r="F25" i="4"/>
  <c r="D51" i="4"/>
  <c r="F53" i="4"/>
  <c r="D23" i="4"/>
  <c r="H55" i="4"/>
  <c r="G54" i="4"/>
  <c r="I63" i="5" l="1"/>
  <c r="I34" i="4"/>
  <c r="G26" i="4"/>
  <c r="G72" i="4" s="1"/>
  <c r="H27" i="4"/>
  <c r="H72" i="4" s="1"/>
  <c r="C50" i="4"/>
  <c r="I55" i="4" s="1"/>
  <c r="F72" i="4"/>
  <c r="E72" i="4"/>
  <c r="D72" i="4"/>
  <c r="I63" i="4" l="1"/>
  <c r="I27" i="4"/>
  <c r="C72" i="4"/>
  <c r="I72" i="4" s="1"/>
  <c r="I7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tc={359CBE6E-C3EC-4410-944C-1AE54CFDDAF6}</author>
  </authors>
  <commentList>
    <comment ref="B55" authorId="0" shapeId="0" xr:uid="{359CBE6E-C3EC-4410-944C-1AE54CFDDAF6}">
      <text>
        <t>[Threaded comment]
Your version of Excel allows you to read this threaded comment; however, any edits to it will get removed if the file is opened in a newer version of Excel. Learn more: https://go.microsoft.com/fwlink/?linkid=870924
Comment:
    Separate IDIQs will require separate IDIQs for the MEP and LEP.
The IGCEs will have to be updated to acknowledge that some of the costs will be absorbed under the current contracts in light of the phased approach being adopted.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tc={E7390B8D-EE95-4665-A268-9E4FDA9CD2C5}</author>
  </authors>
  <commentList>
    <comment ref="A138" authorId="0" shapeId="0" xr:uid="{E7390B8D-EE95-4665-A268-9E4FDA9CD2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@SHEYYAB, ALLA S I added an on-demand services section here we will need to work on completing.
Reply:
    My understanding is this line is for on-demand repair services (at least that’s my understanding from ILD spreadsheet). Some of the sub-CLINs here, such as “site work” are covered under civil works. It’s close to impossible to try and break the site work cost out of the civil works CLIN. I recommend renaming the “Civil works” CLIN if on-demand services is the preferred name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tc={D7DA409D-6A65-4605-848C-D6EACE50A7E7}</author>
  </authors>
  <commentList>
    <comment ref="A42757" authorId="0" shapeId="0" xr:uid="{D7DA409D-6A65-4605-848C-D6EACE50A7E7}">
      <text>
        <t xml:space="preserve">[Threaded comment]
Your version of Excel allows you to read this threaded comment; however, any edits to it will get removed if the file is opened in a newer version of Excel. Learn more: https://go.microsoft.com/fwlink/?linkid=870924
Comment:
    The IGCE should be accompanied by a Summary which describes the assumptions/bases/methods for developing it, including escalation rates applied to the outyears.  </t>
      </text>
    </comment>
  </commentList>
</comments>
</file>

<file path=xl/sharedStrings.xml><?xml version="1.0" encoding="utf-8"?>
<sst xmlns="http://schemas.openxmlformats.org/spreadsheetml/2006/main" count="2019" uniqueCount="375">
  <si>
    <t xml:space="preserve">Contractor Name: </t>
  </si>
  <si>
    <t>Summary Table</t>
  </si>
  <si>
    <t xml:space="preserve">Solicitation Number: </t>
  </si>
  <si>
    <t xml:space="preserve">Task Order Number:  </t>
  </si>
  <si>
    <t xml:space="preserve">Task Order Title:  </t>
  </si>
  <si>
    <t xml:space="preserve">Base Period:   </t>
  </si>
  <si>
    <t xml:space="preserve">Option 1:   </t>
  </si>
  <si>
    <t xml:space="preserve">Option 2:   </t>
  </si>
  <si>
    <t xml:space="preserve">Option 3:  </t>
  </si>
  <si>
    <t xml:space="preserve">Option 4:   </t>
  </si>
  <si>
    <t>Option 5:</t>
  </si>
  <si>
    <t xml:space="preserve">Contract Value </t>
  </si>
  <si>
    <t>Description</t>
  </si>
  <si>
    <t>Total Price Base</t>
  </si>
  <si>
    <t>Total Price Option 1</t>
  </si>
  <si>
    <t>Total Price Option 2</t>
  </si>
  <si>
    <t>Total Price Option 3</t>
  </si>
  <si>
    <t>Total Price Option 4</t>
  </si>
  <si>
    <t>52.217-8 Extension</t>
  </si>
  <si>
    <t>Total Price</t>
  </si>
  <si>
    <t>EQUIPMENT - Multi Energy Portal (MEP)</t>
  </si>
  <si>
    <t>CLIN 001 MEP</t>
  </si>
  <si>
    <t>CLIN 101 Command Center</t>
  </si>
  <si>
    <t>CLIN 201 Blanking Wall</t>
  </si>
  <si>
    <t>CLIN 301 Power Conditioner</t>
  </si>
  <si>
    <t>CLIN 401</t>
  </si>
  <si>
    <t>CLIN 501</t>
  </si>
  <si>
    <t xml:space="preserve">STANDARD LABOR </t>
  </si>
  <si>
    <t>CLIN 002 Engineering</t>
  </si>
  <si>
    <t>CLIN 102 Technical Trade</t>
  </si>
  <si>
    <t>CLIN 202 Laborers</t>
  </si>
  <si>
    <t>CLIN 302 MEP</t>
  </si>
  <si>
    <t>CLIN 402 Architecture</t>
  </si>
  <si>
    <t>CLIN 502 Systems Designer</t>
  </si>
  <si>
    <t>GENERAL REQUIREMENTS</t>
  </si>
  <si>
    <t>CLIN 003 Design</t>
  </si>
  <si>
    <t>CLIN 103 Civil</t>
  </si>
  <si>
    <t>CLIN 203 Site</t>
  </si>
  <si>
    <t>CLIN 303 Systems</t>
  </si>
  <si>
    <t>CLIN 403 Structure</t>
  </si>
  <si>
    <t>CLIN 503 Infrastructure</t>
  </si>
  <si>
    <t>TRAINING</t>
  </si>
  <si>
    <t>CLIN 004 Analyst</t>
  </si>
  <si>
    <t>CLIN 104 Training for Trainers</t>
  </si>
  <si>
    <t>CLIN 204 Operators</t>
  </si>
  <si>
    <t xml:space="preserve">CLIN 304 </t>
  </si>
  <si>
    <t>CLIN 404</t>
  </si>
  <si>
    <t>CLIN 504</t>
  </si>
  <si>
    <t>TESTING</t>
  </si>
  <si>
    <t>CLIN 005 Commissioning</t>
  </si>
  <si>
    <t>CLIN 105 SAT</t>
  </si>
  <si>
    <t>CLIN 205 FAT</t>
  </si>
  <si>
    <t>CLIN 305 Systems</t>
  </si>
  <si>
    <t>CLIN 405</t>
  </si>
  <si>
    <t>CLIN 505</t>
  </si>
  <si>
    <t>DESIGN</t>
  </si>
  <si>
    <t>CLIN 006 Site Design</t>
  </si>
  <si>
    <t>CLIN 106 Systems Design</t>
  </si>
  <si>
    <t>CLIN 206 Security</t>
  </si>
  <si>
    <t>CLIN 306 OIT</t>
  </si>
  <si>
    <t>CLIN 406 Blanking</t>
  </si>
  <si>
    <t>CLIN 506 Infrastructure</t>
  </si>
  <si>
    <t>CIVIL WORKS</t>
  </si>
  <si>
    <t>CLIN 007 Site Prep</t>
  </si>
  <si>
    <t>CLIN 107 Concrete work</t>
  </si>
  <si>
    <t>CLIN 207 Steel Work</t>
  </si>
  <si>
    <t>CLIN 307 Geotech Studies</t>
  </si>
  <si>
    <t>CLIN 308 Infrastructure Install</t>
  </si>
  <si>
    <t>CLIN 407 Site Grading</t>
  </si>
  <si>
    <t>CLIN 507 Saw Cutting</t>
  </si>
  <si>
    <t>INSTALLATION</t>
  </si>
  <si>
    <t xml:space="preserve">CLIN 008 Mechanical </t>
  </si>
  <si>
    <t>CLIN 108 Electrical</t>
  </si>
  <si>
    <t>CLIN 208 Plumbing</t>
  </si>
  <si>
    <t>CLIN 308 Foundations</t>
  </si>
  <si>
    <t>CLIN 308 Command Center</t>
  </si>
  <si>
    <t>CLIN 408 Technology Trenches</t>
  </si>
  <si>
    <t>CLIN 508 Conduit/Junction Boxes</t>
  </si>
  <si>
    <t>Grand Total</t>
  </si>
  <si>
    <t>Check</t>
  </si>
  <si>
    <t>EQUIPMENT - Low Energy Portal (LEP)</t>
  </si>
  <si>
    <t>CLIN 101 LEP</t>
  </si>
  <si>
    <t>CLIN 302 Systems Design</t>
  </si>
  <si>
    <t>CLIN 502 MEP</t>
  </si>
  <si>
    <t>CLIN 304</t>
  </si>
  <si>
    <r>
      <t xml:space="preserve">Attachment 8 serves as the standardized format for submitting pricing information and associated details for all required Contract Line Item Numbers (CLINs). This ensures uniformity across proposals and facilitates efficient evaluation of submissions.
</t>
    </r>
    <r>
      <rPr>
        <b/>
        <sz val="12"/>
        <color rgb="FF000000"/>
        <rFont val="Calibri"/>
        <scheme val="minor"/>
      </rPr>
      <t xml:space="preserve">1. Required Information
</t>
    </r>
    <r>
      <rPr>
        <sz val="12"/>
        <color rgb="FF000000"/>
        <rFont val="Calibri"/>
        <scheme val="minor"/>
      </rPr>
      <t xml:space="preserve">Contractors must complete the following sections of Attachment 8:
     a. </t>
    </r>
    <r>
      <rPr>
        <u/>
        <sz val="12"/>
        <color rgb="FF000000"/>
        <rFont val="Calibri"/>
        <scheme val="minor"/>
      </rPr>
      <t xml:space="preserve">Pricing Table: </t>
    </r>
    <r>
      <rPr>
        <sz val="12"/>
        <color rgb="FF000000"/>
        <rFont val="Calibri"/>
        <scheme val="minor"/>
      </rPr>
      <t xml:space="preserve">Provide detailed pricing for all required CLINs as specified in the solicitation. Ensure that all costs are clearly itemized and align with the scope of work and technical requirements outlined in the Statement of Work (SOW).
               I. You will notice there are several sub-CLINs under the main CLIN structure. CBP will factor the estimates included in the sub-CLINs into the main CLIN. Vendors will not be limited due to these sub-SLINs, however, the intent is to make sure all aspect of these CLINs are being considered, estimate, and proposed to. If vendors feel some of the sub-CLINs should not be proposed to, then refrain from providing an estimate. If vendors feel like a sub-CLIN is missing from consideration, please add the additional sub-CLIN and provide an estimate.
     b. </t>
    </r>
    <r>
      <rPr>
        <u/>
        <sz val="12"/>
        <color rgb="FF000000"/>
        <rFont val="Calibri"/>
        <scheme val="minor"/>
      </rPr>
      <t>Justification Tab:</t>
    </r>
    <r>
      <rPr>
        <sz val="12"/>
        <color rgb="FF000000"/>
        <rFont val="Calibri"/>
        <scheme val="minor"/>
      </rPr>
      <t xml:space="preserve"> Use this tab to provide a detailed explanation of the proposed pricing. Include any supporting rationale, such as cost breakdowns, market research, or other relevant data that substantiates the proposed costs.
     c. </t>
    </r>
    <r>
      <rPr>
        <u/>
        <sz val="12"/>
        <color rgb="FF000000"/>
        <rFont val="Calibri"/>
        <scheme val="minor"/>
      </rPr>
      <t>Assumptions Tab:</t>
    </r>
    <r>
      <rPr>
        <sz val="12"/>
        <color rgb="FF000000"/>
        <rFont val="Calibri"/>
        <scheme val="minor"/>
      </rPr>
      <t xml:space="preserve"> Clearly outline any assumptions made during the development of the proposal. These may include technical, operational, or logistical considerations that impact pricing or performance.
</t>
    </r>
    <r>
      <rPr>
        <b/>
        <sz val="12"/>
        <color rgb="FF000000"/>
        <rFont val="Calibri"/>
        <scheme val="minor"/>
      </rPr>
      <t xml:space="preserve">2. Formatting Requirements
</t>
    </r>
    <r>
      <rPr>
        <sz val="12"/>
        <color rgb="FF000000"/>
        <rFont val="Calibri"/>
        <scheme val="minor"/>
      </rPr>
      <t xml:space="preserve">All entries in Attachment 8 must be completed electronically using the provided template. Do not alter the structure or format of the pricing table or tabs. If additional information is necessary, include it as supplemental documentation and reference it in the justification tab. Ensure all calculations are accurate and formulas within the pricing table are functional.
</t>
    </r>
    <r>
      <rPr>
        <b/>
        <sz val="12"/>
        <color rgb="FF000000"/>
        <rFont val="Calibri"/>
        <scheme val="minor"/>
      </rPr>
      <t xml:space="preserve">3. Submission Guidelines
</t>
    </r>
    <r>
      <rPr>
        <sz val="12"/>
        <color rgb="FF000000"/>
        <rFont val="Calibri"/>
        <scheme val="minor"/>
      </rPr>
      <t xml:space="preserve">Proposals must be submitted in accordance with the timeline and instructions provided in the solicitation.
Ensure Attachment 8 is included as part of the proposal package. Proposals submitted without Attachment 8 completed in full may be deemed non-compliant and excluded from consideration.
</t>
    </r>
    <r>
      <rPr>
        <b/>
        <sz val="12"/>
        <color rgb="FF000000"/>
        <rFont val="Calibri"/>
        <scheme val="minor"/>
      </rPr>
      <t xml:space="preserve">5. Evaluation Considerations
</t>
    </r>
    <r>
      <rPr>
        <sz val="12"/>
        <color rgb="FF000000"/>
        <rFont val="Calibri"/>
        <scheme val="minor"/>
      </rPr>
      <t xml:space="preserve">Proposals will be evaluated based on the accuracy, completeness, and reasonableness of the pricing provided in Attachment 8, as well as the clarity and validity of the justification and assumptions. Contractors are encouraged to provide detailed and transparent information to facilitate the evaluation process.
</t>
    </r>
    <r>
      <rPr>
        <b/>
        <sz val="12"/>
        <color rgb="FF000000"/>
        <rFont val="Calibri"/>
        <scheme val="minor"/>
      </rPr>
      <t xml:space="preserve">6. Questions and Clarifications
</t>
    </r>
    <r>
      <rPr>
        <sz val="12"/>
        <color rgb="FF000000"/>
        <rFont val="Calibri"/>
        <scheme val="minor"/>
      </rPr>
      <t>If contractors have questions regarding the use of Attachment 8 or require clarification on any aspect of the pricing table template, they should submit inquiries in writing to the Contracting Officer prior to the proposal submission deadline.</t>
    </r>
  </si>
  <si>
    <t>Base Year</t>
  </si>
  <si>
    <t>Option Year 1</t>
  </si>
  <si>
    <t>Option Year 2</t>
  </si>
  <si>
    <t>Option Year 3</t>
  </si>
  <si>
    <t>Option Year 4</t>
  </si>
  <si>
    <t>EQUIPMENT - MULTI-ENERGY PORTAL SYSTEM (FFP)</t>
  </si>
  <si>
    <t>CLIN 001-XX</t>
  </si>
  <si>
    <t>CLIN 101</t>
  </si>
  <si>
    <t>CLIN 201</t>
  </si>
  <si>
    <t>CLIN 301</t>
  </si>
  <si>
    <t>Sub-CLIN</t>
  </si>
  <si>
    <t>Type</t>
  </si>
  <si>
    <t>Qty</t>
  </si>
  <si>
    <t>Rate</t>
  </si>
  <si>
    <t>Amount</t>
  </si>
  <si>
    <t>Total</t>
  </si>
  <si>
    <t>X100</t>
  </si>
  <si>
    <t>MEP (less than 5 units)</t>
  </si>
  <si>
    <t>FFUP</t>
  </si>
  <si>
    <t>X101</t>
  </si>
  <si>
    <t>MEP (units 5-10)</t>
  </si>
  <si>
    <t>X102</t>
  </si>
  <si>
    <t>MEP (units 11-20)</t>
  </si>
  <si>
    <t>X103</t>
  </si>
  <si>
    <t>MEP (more than 20 units)</t>
  </si>
  <si>
    <t>X116</t>
  </si>
  <si>
    <t>UVBx</t>
  </si>
  <si>
    <t>Perephiral Sensors</t>
  </si>
  <si>
    <t>Total Equipment Management</t>
  </si>
  <si>
    <t>SITE DESIGN (FFP)</t>
  </si>
  <si>
    <t>CLIN 002</t>
  </si>
  <si>
    <t>CLIN 102</t>
  </si>
  <si>
    <t>CLIN 202</t>
  </si>
  <si>
    <t>CLIN 302</t>
  </si>
  <si>
    <t>CLIN 402</t>
  </si>
  <si>
    <t>X200</t>
  </si>
  <si>
    <t xml:space="preserve">Program Management and Operations Labor- Fully Burdened </t>
  </si>
  <si>
    <t>T&amp;M</t>
  </si>
  <si>
    <t>X201</t>
  </si>
  <si>
    <t>Travel</t>
  </si>
  <si>
    <t>Cost reimbursable</t>
  </si>
  <si>
    <t>X202</t>
  </si>
  <si>
    <t>Site Design</t>
  </si>
  <si>
    <t>FFP</t>
  </si>
  <si>
    <t>X203</t>
  </si>
  <si>
    <t>Concept Review</t>
  </si>
  <si>
    <t>X204</t>
  </si>
  <si>
    <t>50% Design</t>
  </si>
  <si>
    <t>X205</t>
  </si>
  <si>
    <t>95% Design</t>
  </si>
  <si>
    <t>X206</t>
  </si>
  <si>
    <t>Issued for Construction Drawings</t>
  </si>
  <si>
    <t>Total Site Design</t>
  </si>
  <si>
    <t>CIVIL WORKS (T&amp;M)</t>
  </si>
  <si>
    <t>CLIN 003</t>
  </si>
  <si>
    <t>CLIN 103</t>
  </si>
  <si>
    <t>CLIN 203</t>
  </si>
  <si>
    <t>CLIN 303</t>
  </si>
  <si>
    <t>CLIN 403</t>
  </si>
  <si>
    <t>Sub - CLIN</t>
  </si>
  <si>
    <t>X300</t>
  </si>
  <si>
    <t>Mobilization and Site Preparations, Securing the site, Demobilization</t>
  </si>
  <si>
    <t>X301</t>
  </si>
  <si>
    <t>Command Center-New Construction</t>
  </si>
  <si>
    <t>X302</t>
  </si>
  <si>
    <t>Command Center-Retrofit</t>
  </si>
  <si>
    <t>X303</t>
  </si>
  <si>
    <t>Demolition/Excavation/Removal/Saw Cut</t>
  </si>
  <si>
    <t>X304</t>
  </si>
  <si>
    <t>Clearing/Grubbing, Dirt Work (balancing cut/fill), Compaction, Drainage</t>
  </si>
  <si>
    <t>X305</t>
  </si>
  <si>
    <t>Electrical/Plumbing/Mechanical</t>
  </si>
  <si>
    <t>X306</t>
  </si>
  <si>
    <t>Concrete/Asphalt/Footers/Foundations/Lanes of Traffic</t>
  </si>
  <si>
    <t>X307</t>
  </si>
  <si>
    <t>Steel Work</t>
  </si>
  <si>
    <t>X308</t>
  </si>
  <si>
    <t>Traffic Control Measures, Jersey Barriers, Speed bumps, striping, signage</t>
  </si>
  <si>
    <t>X309</t>
  </si>
  <si>
    <t>IT Trenches, Conduit, Conduit Banks, Junction Boxes, Pull Strings</t>
  </si>
  <si>
    <t>X310</t>
  </si>
  <si>
    <t>Site Survey</t>
  </si>
  <si>
    <t>X311</t>
  </si>
  <si>
    <t>SWPPP, Permitting</t>
  </si>
  <si>
    <t>Total Civil Works</t>
  </si>
  <si>
    <t>FURNITURE, FIXTURES, AND EQUIPMENT (FFP)</t>
  </si>
  <si>
    <t>CLIN 004</t>
  </si>
  <si>
    <t>CLIN 104</t>
  </si>
  <si>
    <t>CLIN 204</t>
  </si>
  <si>
    <t>X400</t>
  </si>
  <si>
    <t>Analyst Station</t>
  </si>
  <si>
    <t>X401</t>
  </si>
  <si>
    <t>Operator Station</t>
  </si>
  <si>
    <t>X402</t>
  </si>
  <si>
    <t>Situational Wall</t>
  </si>
  <si>
    <t>X403</t>
  </si>
  <si>
    <t>Furniture and fixtures</t>
  </si>
  <si>
    <t>X404</t>
  </si>
  <si>
    <t>Generators</t>
  </si>
  <si>
    <t>X405</t>
  </si>
  <si>
    <t>Uninterrupted Power Supplies</t>
  </si>
  <si>
    <t>X406</t>
  </si>
  <si>
    <t>Power Conditioners</t>
  </si>
  <si>
    <t>X407</t>
  </si>
  <si>
    <t>Operator Booth (8'x12')</t>
  </si>
  <si>
    <t>X408</t>
  </si>
  <si>
    <t>Operator Booth (12'x16')</t>
  </si>
  <si>
    <t>X409</t>
  </si>
  <si>
    <t>Laptops</t>
  </si>
  <si>
    <t>Total Construction</t>
  </si>
  <si>
    <t>INSTALLATION (T&amp;M)</t>
  </si>
  <si>
    <t>CLIN 005</t>
  </si>
  <si>
    <t>CLIN 105</t>
  </si>
  <si>
    <t>CLIN 205</t>
  </si>
  <si>
    <t>CLIN 305</t>
  </si>
  <si>
    <t>X500</t>
  </si>
  <si>
    <t>Installation</t>
  </si>
  <si>
    <t>X501</t>
  </si>
  <si>
    <t>Integration</t>
  </si>
  <si>
    <t>X502</t>
  </si>
  <si>
    <t>Blanking Solution</t>
  </si>
  <si>
    <t>X503</t>
  </si>
  <si>
    <t>System Testing</t>
  </si>
  <si>
    <t>X504</t>
  </si>
  <si>
    <t>Software installation/upgrade</t>
  </si>
  <si>
    <t>X505</t>
  </si>
  <si>
    <t>License Plate Reader (LPR)</t>
  </si>
  <si>
    <t>X506</t>
  </si>
  <si>
    <t>Pan-Tilt-Zoom (PTZ) Camera</t>
  </si>
  <si>
    <t>X507</t>
  </si>
  <si>
    <t>Optical Character Recognition System</t>
  </si>
  <si>
    <t>X508</t>
  </si>
  <si>
    <t>Traffic Control System</t>
  </si>
  <si>
    <t>Total Installation</t>
  </si>
  <si>
    <t>TRAINING (FFP)</t>
  </si>
  <si>
    <t>CLIN 006</t>
  </si>
  <si>
    <t>CLIN 106</t>
  </si>
  <si>
    <t>CLIN 206</t>
  </si>
  <si>
    <t>CLIN 306</t>
  </si>
  <si>
    <t>CLIN 406</t>
  </si>
  <si>
    <t>X600</t>
  </si>
  <si>
    <t>Training Development</t>
  </si>
  <si>
    <t>Total Training</t>
  </si>
  <si>
    <t>PREVENTATIVE MAINTENANCE OPTIONS (FFP)</t>
  </si>
  <si>
    <t>CLIN 007</t>
  </si>
  <si>
    <t>CLIN 107</t>
  </si>
  <si>
    <t>CLIN 207</t>
  </si>
  <si>
    <t>CLIN 307</t>
  </si>
  <si>
    <t>CLIN 407</t>
  </si>
  <si>
    <t>X700</t>
  </si>
  <si>
    <t>MEP Service</t>
  </si>
  <si>
    <t>X701</t>
  </si>
  <si>
    <t>UVBx Service</t>
  </si>
  <si>
    <t>Total Preventative Maintenance (UVBx)</t>
  </si>
  <si>
    <t>CORRECTIVE MAINTENANCE OPTIONS (FFP) (parts, labor, diagnostics, and repair)</t>
  </si>
  <si>
    <t>CLIN 009</t>
  </si>
  <si>
    <t>CLIN 109</t>
  </si>
  <si>
    <t>CLIN 209</t>
  </si>
  <si>
    <t>CLIN 309</t>
  </si>
  <si>
    <t>CLIN 409</t>
  </si>
  <si>
    <t>X800</t>
  </si>
  <si>
    <t>X801</t>
  </si>
  <si>
    <t>Total Corrective Maintenance (UVBx)</t>
  </si>
  <si>
    <t>WARRANTY PERIODS (FFP)</t>
  </si>
  <si>
    <t>CLIN 011</t>
  </si>
  <si>
    <t>CLIN 111</t>
  </si>
  <si>
    <t>CLIN 211</t>
  </si>
  <si>
    <t>CLIN 311</t>
  </si>
  <si>
    <t>CLIN 411</t>
  </si>
  <si>
    <t>X110</t>
  </si>
  <si>
    <t>MEP-Required Comprehensive Base Warranty (1 Year)</t>
  </si>
  <si>
    <t>X111</t>
  </si>
  <si>
    <t>MEP-Two Years of Warranty</t>
  </si>
  <si>
    <t>X112</t>
  </si>
  <si>
    <t>MEP-Three Years of Warranty</t>
  </si>
  <si>
    <t>X113</t>
  </si>
  <si>
    <t>MEP-Four Years of Warranty</t>
  </si>
  <si>
    <t>X114</t>
  </si>
  <si>
    <t>MEP-Five Years of Warranty</t>
  </si>
  <si>
    <t>X115</t>
  </si>
  <si>
    <t>UVBx-Required Comprehensive Base Warranty (1 Year)</t>
  </si>
  <si>
    <t>UVBx-Two Years of Warranty</t>
  </si>
  <si>
    <t>X117</t>
  </si>
  <si>
    <t>UVBx-Three Years of Warranty</t>
  </si>
  <si>
    <t>X118</t>
  </si>
  <si>
    <t>UVBx-Four Years of Warranty</t>
  </si>
  <si>
    <t>X119</t>
  </si>
  <si>
    <t>UVBx-Five Years of Warranty</t>
  </si>
  <si>
    <t>Total General Requirements</t>
  </si>
  <si>
    <t>ON-DEMAND SERVICES (FFP)</t>
  </si>
  <si>
    <t>CLIN 012</t>
  </si>
  <si>
    <t>CLIN 112</t>
  </si>
  <si>
    <t>CLIN 212</t>
  </si>
  <si>
    <t>CLIN 312</t>
  </si>
  <si>
    <t>CLIN 412</t>
  </si>
  <si>
    <t>X126</t>
  </si>
  <si>
    <t xml:space="preserve">On-Demand Services </t>
  </si>
  <si>
    <t>Engineering Services</t>
  </si>
  <si>
    <t>Ad Hoc Reports</t>
  </si>
  <si>
    <t>Site Surveys</t>
  </si>
  <si>
    <t>Provisioning Support</t>
  </si>
  <si>
    <t>Retrofit Support</t>
  </si>
  <si>
    <t>Relocation Services</t>
  </si>
  <si>
    <t>Site Work</t>
  </si>
  <si>
    <t>Disposal</t>
  </si>
  <si>
    <t>Emergency Services</t>
  </si>
  <si>
    <t>Special Events</t>
  </si>
  <si>
    <t>Training Activities</t>
  </si>
  <si>
    <t>INDIRECT RATES</t>
  </si>
  <si>
    <t>CLIN 013</t>
  </si>
  <si>
    <t>CLIN 113</t>
  </si>
  <si>
    <t>CLIN 213</t>
  </si>
  <si>
    <t>CLIN 313</t>
  </si>
  <si>
    <t>CLIN 413</t>
  </si>
  <si>
    <t>X142</t>
  </si>
  <si>
    <t>G&amp;A</t>
  </si>
  <si>
    <t>X143</t>
  </si>
  <si>
    <t>X144</t>
  </si>
  <si>
    <t>Profit</t>
  </si>
  <si>
    <t>INCENTIVE POOL</t>
  </si>
  <si>
    <t>CLIN 014</t>
  </si>
  <si>
    <t>CLIN 114</t>
  </si>
  <si>
    <t>CLIN 214</t>
  </si>
  <si>
    <t>CLIN 314</t>
  </si>
  <si>
    <t>CLIN 414</t>
  </si>
  <si>
    <t>Description (would need a CLIN for each Option Year)</t>
  </si>
  <si>
    <t>Year 1 Incentives: Equipment CLIN</t>
  </si>
  <si>
    <t>Year 1 Incentives: Warranty CLIN</t>
  </si>
  <si>
    <t>Total Price Per Period</t>
  </si>
  <si>
    <t>FFP - Firm Fixed Price</t>
  </si>
  <si>
    <t>FFUP - Firm Fixed Unit Price</t>
  </si>
  <si>
    <t>T&amp;M  - Time and Materials</t>
  </si>
  <si>
    <t>EQUIPMENT - LOW ENERGY PORTAL SYSTEM (FFP)</t>
  </si>
  <si>
    <t>CLIN 001</t>
  </si>
  <si>
    <t>X104</t>
  </si>
  <si>
    <t>LEP-Type 1 (less than 5 units)</t>
  </si>
  <si>
    <t>X105</t>
  </si>
  <si>
    <t>LEP-Type 1 (units 5-10)</t>
  </si>
  <si>
    <t>X106</t>
  </si>
  <si>
    <t>LEP-Type 1 (units 11-20)</t>
  </si>
  <si>
    <t>X107</t>
  </si>
  <si>
    <t>LEP-Type 1 (more than 20 units)</t>
  </si>
  <si>
    <t>X108</t>
  </si>
  <si>
    <t>LEP-Type 2 (less than 5 units)</t>
  </si>
  <si>
    <t>X109</t>
  </si>
  <si>
    <t>LEP-Type 2 (units 5-10)</t>
  </si>
  <si>
    <t>LEP-Type 2 (units 11-20)</t>
  </si>
  <si>
    <t>LEP-Type 2 (more than 20 units)</t>
  </si>
  <si>
    <t>LEP-Type 3 (less than 5 units)</t>
  </si>
  <si>
    <t>LEP-Type 3 (units 5-10)</t>
  </si>
  <si>
    <t>LEP-Type 3 (units 11-20)</t>
  </si>
  <si>
    <t>LEP-Type 3 (more than 20 units)</t>
  </si>
  <si>
    <t>Clearing/Grubing, Dirt Work (balancing cut/fill), Compaction, Drainage</t>
  </si>
  <si>
    <t>SWPPP, Permiting</t>
  </si>
  <si>
    <t>LEP Service</t>
  </si>
  <si>
    <t>CORRECTIVE MAINTENANCE OPTIONS (FFP)</t>
  </si>
  <si>
    <t>LEP-Required Comprehensive Base Warranty (1 Year)</t>
  </si>
  <si>
    <t>LEP-Type 1 Two Years of Warranty</t>
  </si>
  <si>
    <t>X127</t>
  </si>
  <si>
    <t>LEP-Type 1 Three Years of Warranty</t>
  </si>
  <si>
    <t>X128</t>
  </si>
  <si>
    <t>LEP Type 1 Four Years of Warranty</t>
  </si>
  <si>
    <t>X129</t>
  </si>
  <si>
    <t>LEP Type 1 Five Years of Warranty</t>
  </si>
  <si>
    <t>X130</t>
  </si>
  <si>
    <t>LEP-Type 2 Two Years of Warranty</t>
  </si>
  <si>
    <t>X131</t>
  </si>
  <si>
    <t>LEP-Type 2 Three Years of Warranty</t>
  </si>
  <si>
    <t>X132</t>
  </si>
  <si>
    <t>LEP Type 2 Four Years of Warranty</t>
  </si>
  <si>
    <t>X133</t>
  </si>
  <si>
    <t>LEP Type 2 Five Years of Warranty</t>
  </si>
  <si>
    <t>X134</t>
  </si>
  <si>
    <t>LEP-Type 3 Two Years of Warranty</t>
  </si>
  <si>
    <t>X135</t>
  </si>
  <si>
    <t>LEP-Type 3 Three Years of Warranty</t>
  </si>
  <si>
    <t>X136</t>
  </si>
  <si>
    <t>LEP Type 3 Four Years of Warranty</t>
  </si>
  <si>
    <t>X137</t>
  </si>
  <si>
    <t>LEP Type 3 Five Years of Warranty</t>
  </si>
  <si>
    <t>X138</t>
  </si>
  <si>
    <t>X139</t>
  </si>
  <si>
    <t>X140</t>
  </si>
  <si>
    <t>X141</t>
  </si>
  <si>
    <t>On-Demand Services (On-demand system repair)</t>
  </si>
  <si>
    <t>Site Surverys</t>
  </si>
  <si>
    <t xml:space="preserve">Price Justification </t>
  </si>
  <si>
    <t>Project/Price Assumptions</t>
  </si>
  <si>
    <t xml:space="preserve">Allowances, Assumptions, Exclusions and Exceptions: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</si>
</sst>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quot;$&quot;#,##0.00"/>
  </numFmts>
  <fonts count="28"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b/>
      <sz val="14"/>
      <color theme="1"/>
      <name val="Times New Roman"/>
      <family val="1"/>
    </font>
    <font>
      <sz val="10"/>
      <name val="Arial"/>
      <family val="2"/>
    </font>
    <font>
      <b/>
      <sz val="12"/>
      <name val="Times New Roman"/>
      <family val="1"/>
    </font>
    <font>
      <sz val="12"/>
      <name val="Times New Roman"/>
      <family val="1"/>
    </font>
    <font>
      <sz val="11"/>
      <name val="Times New Roman"/>
      <family val="1"/>
    </font>
    <font>
      <b/>
      <sz val="16"/>
      <name val="Times New Roman"/>
      <family val="1"/>
    </font>
    <font>
      <b/>
      <sz val="11"/>
      <name val="Times New Roman"/>
      <family val="1"/>
    </font>
    <font>
      <b/>
      <i/>
      <sz val="12"/>
      <name val="Times New Roman"/>
      <family val="1"/>
    </font>
    <font>
      <b/>
      <sz val="12"/>
      <color theme="1"/>
      <name val="Calibri"/>
      <family val="2"/>
      <scheme val="minor"/>
    </font>
    <font>
      <sz val="11"/>
      <color theme="1"/>
      <name val="Times New Roman"/>
      <family val="1"/>
    </font>
    <font>
      <i/>
      <sz val="9"/>
      <color theme="1"/>
      <name val="Calibri"/>
      <family val="2"/>
      <scheme val="minor"/>
    </font>
    <font>
      <i/>
      <sz val="9"/>
      <color theme="1"/>
      <name val="Times New Roman"/>
      <family val="1"/>
    </font>
    <font>
      <i/>
      <sz val="8"/>
      <color theme="1"/>
      <name val="Times New Roman"/>
      <family val="1"/>
    </font>
    <font>
      <sz val="8"/>
      <name val="Calibri"/>
      <family val="2"/>
      <scheme val="minor"/>
    </font>
    <font>
      <sz val="12"/>
      <color rgb="FF000000"/>
      <name val="Times New Roman"/>
      <family val="1"/>
    </font>
    <font>
      <b/>
      <sz val="12"/>
      <color rgb="FFFF0000"/>
      <name val="Times New Roman"/>
      <family val="1"/>
    </font>
    <font>
      <sz val="12"/>
      <color rgb="FFFF0000"/>
      <name val="Times New Roman"/>
      <family val="1"/>
    </font>
    <font>
      <sz val="16"/>
      <color theme="1"/>
      <name val="Arial"/>
      <family val="2"/>
    </font>
    <font>
      <b/>
      <sz val="16"/>
      <name val="Arial"/>
      <family val="2"/>
    </font>
    <font>
      <sz val="12"/>
      <color indexed="0"/>
      <name val="Calibri"/>
      <family val="2"/>
      <scheme val="minor"/>
    </font>
    <font>
      <sz val="12"/>
      <color theme="1"/>
      <name val="Calibri"/>
      <family val="2"/>
      <scheme val="minor"/>
    </font>
    <font>
      <sz val="12"/>
      <color rgb="FF000000"/>
      <name val="Calibri"/>
      <scheme val="minor"/>
    </font>
    <font>
      <b/>
      <sz val="12"/>
      <color rgb="FF000000"/>
      <name val="Calibri"/>
      <scheme val="minor"/>
    </font>
    <font>
      <u/>
      <sz val="12"/>
      <color rgb="FF000000"/>
      <name val="Calibri"/>
      <scheme val="minor"/>
    </font>
  </fonts>
  <fills count="11">
    <fill>
      <patternFill patternType="none"/>
    </fill>
    <fill>
      <patternFill patternType="gray125"/>
    </fill>
    <fill>
      <patternFill patternType="solid">
        <fgColor theme="0" tint="-0.249977111117893"/>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4" tint="0.59999389629810485"/>
        <bgColor indexed="64"/>
      </patternFill>
    </fill>
    <fill>
      <patternFill patternType="solid">
        <fgColor rgb="FFFFFF66"/>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7"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auto="1"/>
      </left>
      <right/>
      <top style="hair">
        <color auto="1"/>
      </top>
      <bottom style="hair">
        <color auto="1"/>
      </bottom>
      <diagonal/>
    </border>
    <border>
      <left/>
      <right/>
      <top style="hair">
        <color auto="1"/>
      </top>
      <bottom style="hair">
        <color auto="1"/>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thin">
        <color indexed="64"/>
      </top>
      <bottom/>
      <diagonal/>
    </border>
    <border>
      <left/>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thin">
        <color indexed="64"/>
      </top>
      <bottom/>
      <diagonal/>
    </border>
    <border>
      <left style="hair">
        <color indexed="64"/>
      </left>
      <right style="thin">
        <color indexed="64"/>
      </right>
      <top/>
      <bottom style="hair">
        <color indexed="64"/>
      </bottom>
      <diagonal/>
    </border>
    <border>
      <left/>
      <right style="thin">
        <color indexed="64"/>
      </right>
      <top style="hair">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hair">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44" fontId="1" fillId="0" borderId="0" applyFont="0" applyFill="0" applyBorder="0" applyAlignment="0" applyProtection="0"/>
    <xf numFmtId="0" fontId="5" fillId="0" borderId="0"/>
    <xf numFmtId="0" fontId="7" fillId="0" borderId="0"/>
    <xf numFmtId="43" fontId="1" fillId="0" borderId="0" applyFont="0" applyFill="0" applyBorder="0" applyAlignment="0" applyProtection="0"/>
    <xf numFmtId="0" fontId="5" fillId="0" borderId="0"/>
    <xf numFmtId="44" fontId="5" fillId="0" borderId="0" applyFont="0" applyFill="0" applyBorder="0" applyAlignment="0" applyProtection="0"/>
  </cellStyleXfs>
  <cellXfs count="215">
    <xf numFmtId="0" fontId="0" fillId="0" borderId="0" xfId="0"/>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vertical="center"/>
    </xf>
    <xf numFmtId="38" fontId="2" fillId="0" borderId="5" xfId="0" applyNumberFormat="1" applyFont="1" applyBorder="1" applyAlignment="1">
      <alignment horizontal="center" vertical="center"/>
    </xf>
    <xf numFmtId="0" fontId="2" fillId="0" borderId="7" xfId="0" applyFont="1" applyBorder="1" applyAlignment="1">
      <alignment horizontal="center" vertical="center"/>
    </xf>
    <xf numFmtId="44" fontId="2" fillId="0" borderId="6" xfId="1" applyFont="1" applyBorder="1" applyAlignment="1">
      <alignment vertical="center"/>
    </xf>
    <xf numFmtId="0" fontId="3" fillId="0" borderId="6" xfId="0" applyFont="1" applyBorder="1" applyAlignment="1">
      <alignment vertical="center"/>
    </xf>
    <xf numFmtId="49" fontId="2" fillId="0" borderId="5" xfId="0" applyNumberFormat="1" applyFont="1" applyBorder="1" applyAlignment="1">
      <alignment horizontal="left" vertical="center"/>
    </xf>
    <xf numFmtId="49" fontId="2" fillId="0" borderId="6" xfId="0" applyNumberFormat="1" applyFont="1" applyBorder="1" applyAlignment="1">
      <alignment vertical="center"/>
    </xf>
    <xf numFmtId="49" fontId="2" fillId="0" borderId="6" xfId="0" applyNumberFormat="1" applyFont="1" applyBorder="1" applyAlignment="1">
      <alignment horizontal="left" vertical="center"/>
    </xf>
    <xf numFmtId="0" fontId="2" fillId="0" borderId="12" xfId="0" applyFont="1" applyBorder="1" applyAlignment="1">
      <alignment vertical="center"/>
    </xf>
    <xf numFmtId="0" fontId="2" fillId="0" borderId="13" xfId="0" applyFont="1" applyBorder="1" applyAlignment="1">
      <alignment vertical="center"/>
    </xf>
    <xf numFmtId="38" fontId="3" fillId="0" borderId="12" xfId="0" applyNumberFormat="1" applyFont="1" applyBorder="1" applyAlignment="1">
      <alignment horizontal="center" vertical="center"/>
    </xf>
    <xf numFmtId="0" fontId="2" fillId="0" borderId="14" xfId="0" applyFont="1" applyBorder="1" applyAlignment="1">
      <alignment vertical="center"/>
    </xf>
    <xf numFmtId="8" fontId="3" fillId="0" borderId="14" xfId="0" applyNumberFormat="1" applyFont="1" applyBorder="1" applyAlignment="1">
      <alignment horizontal="right" vertical="center"/>
    </xf>
    <xf numFmtId="44" fontId="3" fillId="0" borderId="13" xfId="1" applyFont="1" applyBorder="1" applyAlignment="1">
      <alignment vertical="center"/>
    </xf>
    <xf numFmtId="49" fontId="2" fillId="0" borderId="12" xfId="0" applyNumberFormat="1" applyFont="1" applyBorder="1" applyAlignment="1">
      <alignment vertical="center"/>
    </xf>
    <xf numFmtId="49" fontId="2" fillId="0" borderId="13" xfId="0" applyNumberFormat="1" applyFont="1" applyBorder="1" applyAlignment="1">
      <alignment horizontal="left" vertical="center"/>
    </xf>
    <xf numFmtId="0" fontId="3" fillId="0" borderId="14" xfId="0" applyFont="1" applyBorder="1" applyAlignment="1">
      <alignment horizontal="right" vertical="center"/>
    </xf>
    <xf numFmtId="8" fontId="2" fillId="0" borderId="7" xfId="0" applyNumberFormat="1" applyFont="1" applyBorder="1" applyAlignment="1">
      <alignment horizontal="center" vertical="center"/>
    </xf>
    <xf numFmtId="49" fontId="3" fillId="0" borderId="5" xfId="0" applyNumberFormat="1" applyFont="1" applyBorder="1" applyAlignment="1">
      <alignment horizontal="left" vertical="center"/>
    </xf>
    <xf numFmtId="49" fontId="3" fillId="0" borderId="6" xfId="0" applyNumberFormat="1" applyFont="1" applyBorder="1" applyAlignment="1">
      <alignment vertical="center"/>
    </xf>
    <xf numFmtId="0" fontId="2" fillId="0" borderId="5" xfId="0" applyFont="1" applyBorder="1" applyAlignment="1" applyProtection="1">
      <alignment horizontal="left" wrapText="1"/>
      <protection locked="0"/>
    </xf>
    <xf numFmtId="0" fontId="2" fillId="0" borderId="6" xfId="0" applyFont="1" applyBorder="1" applyAlignment="1" applyProtection="1">
      <alignment horizontal="left" wrapText="1"/>
      <protection locked="0"/>
    </xf>
    <xf numFmtId="0" fontId="6" fillId="6" borderId="0" xfId="2" applyFont="1" applyFill="1"/>
    <xf numFmtId="0" fontId="7" fillId="6" borderId="0" xfId="2" applyFont="1" applyFill="1"/>
    <xf numFmtId="0" fontId="2" fillId="6" borderId="0" xfId="0" applyFont="1" applyFill="1" applyAlignment="1">
      <alignment vertical="center"/>
    </xf>
    <xf numFmtId="0" fontId="6" fillId="6" borderId="0" xfId="2" applyFont="1" applyFill="1" applyAlignment="1">
      <alignment horizontal="left"/>
    </xf>
    <xf numFmtId="0" fontId="11" fillId="6" borderId="0" xfId="2" applyFont="1" applyFill="1"/>
    <xf numFmtId="0" fontId="2" fillId="6" borderId="12" xfId="0" applyFont="1" applyFill="1" applyBorder="1" applyAlignment="1">
      <alignment vertical="center"/>
    </xf>
    <xf numFmtId="0" fontId="2" fillId="6" borderId="13" xfId="0" applyFont="1" applyFill="1" applyBorder="1" applyAlignment="1">
      <alignment vertical="center"/>
    </xf>
    <xf numFmtId="0" fontId="2" fillId="6" borderId="14" xfId="0" applyFont="1" applyFill="1" applyBorder="1" applyAlignment="1">
      <alignment horizontal="center" vertical="center"/>
    </xf>
    <xf numFmtId="0" fontId="2" fillId="6" borderId="14" xfId="0" applyFont="1" applyFill="1" applyBorder="1" applyAlignment="1">
      <alignment vertical="center"/>
    </xf>
    <xf numFmtId="0" fontId="4" fillId="7" borderId="26" xfId="0" applyFont="1" applyFill="1" applyBorder="1" applyAlignment="1">
      <alignment vertical="center"/>
    </xf>
    <xf numFmtId="0" fontId="2" fillId="7" borderId="27" xfId="0" applyFont="1" applyFill="1" applyBorder="1" applyAlignment="1">
      <alignment vertical="center"/>
    </xf>
    <xf numFmtId="0" fontId="2" fillId="7" borderId="26" xfId="0" applyFont="1" applyFill="1" applyBorder="1" applyAlignment="1">
      <alignment vertical="center"/>
    </xf>
    <xf numFmtId="44" fontId="4" fillId="7" borderId="28" xfId="0" applyNumberFormat="1" applyFont="1" applyFill="1" applyBorder="1" applyAlignment="1">
      <alignment vertical="center"/>
    </xf>
    <xf numFmtId="0" fontId="3" fillId="0" borderId="29" xfId="0" applyFont="1" applyBorder="1" applyAlignment="1">
      <alignment horizontal="center" vertical="center"/>
    </xf>
    <xf numFmtId="44" fontId="2" fillId="0" borderId="20" xfId="0" applyNumberFormat="1" applyFont="1" applyBorder="1" applyAlignment="1">
      <alignment vertical="center"/>
    </xf>
    <xf numFmtId="0" fontId="2" fillId="0" borderId="1" xfId="0" applyFont="1" applyBorder="1" applyAlignment="1">
      <alignment vertical="center"/>
    </xf>
    <xf numFmtId="0" fontId="2" fillId="6" borderId="1" xfId="0" applyFont="1" applyFill="1" applyBorder="1" applyAlignment="1">
      <alignment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2" fillId="0" borderId="31" xfId="0" applyFont="1" applyBorder="1" applyAlignment="1">
      <alignment vertical="center"/>
    </xf>
    <xf numFmtId="0" fontId="15" fillId="0" borderId="0" xfId="0" applyFont="1" applyAlignment="1">
      <alignment horizontal="right" vertical="center"/>
    </xf>
    <xf numFmtId="0" fontId="16" fillId="0" borderId="0" xfId="0" applyFont="1" applyAlignment="1">
      <alignment horizontal="right" vertical="center"/>
    </xf>
    <xf numFmtId="0" fontId="2" fillId="0" borderId="17" xfId="0" applyFont="1" applyBorder="1" applyAlignment="1">
      <alignment vertical="center"/>
    </xf>
    <xf numFmtId="49" fontId="2" fillId="6" borderId="0" xfId="0" applyNumberFormat="1" applyFont="1" applyFill="1" applyAlignment="1">
      <alignment vertical="center"/>
    </xf>
    <xf numFmtId="49" fontId="2" fillId="6" borderId="0" xfId="0" applyNumberFormat="1" applyFont="1" applyFill="1" applyAlignment="1">
      <alignment horizontal="center" vertical="center"/>
    </xf>
    <xf numFmtId="0" fontId="3" fillId="0" borderId="7" xfId="0" applyFont="1" applyBorder="1" applyAlignment="1">
      <alignment horizontal="center" vertical="center"/>
    </xf>
    <xf numFmtId="8" fontId="3" fillId="0" borderId="7" xfId="0" applyNumberFormat="1" applyFont="1" applyBorder="1" applyAlignment="1">
      <alignment horizontal="center" vertical="center"/>
    </xf>
    <xf numFmtId="14" fontId="2" fillId="6" borderId="0" xfId="0" applyNumberFormat="1" applyFont="1" applyFill="1" applyAlignment="1">
      <alignment vertical="center"/>
    </xf>
    <xf numFmtId="43" fontId="2" fillId="6" borderId="0" xfId="4" applyFont="1" applyFill="1" applyAlignment="1">
      <alignment vertical="center"/>
    </xf>
    <xf numFmtId="43" fontId="2" fillId="6" borderId="0" xfId="0" applyNumberFormat="1" applyFont="1" applyFill="1" applyAlignment="1">
      <alignment vertical="center"/>
    </xf>
    <xf numFmtId="0" fontId="2" fillId="6" borderId="0" xfId="0" applyFont="1" applyFill="1" applyAlignment="1">
      <alignment horizontal="right" vertical="center"/>
    </xf>
    <xf numFmtId="1" fontId="2" fillId="6" borderId="0" xfId="0" applyNumberFormat="1" applyFont="1" applyFill="1" applyAlignment="1">
      <alignment vertical="center"/>
    </xf>
    <xf numFmtId="49" fontId="2" fillId="2" borderId="5" xfId="0" applyNumberFormat="1" applyFont="1" applyFill="1" applyBorder="1" applyAlignment="1">
      <alignment vertical="center"/>
    </xf>
    <xf numFmtId="0" fontId="6" fillId="6" borderId="0" xfId="2" applyFont="1" applyFill="1" applyAlignment="1">
      <alignment vertical="center"/>
    </xf>
    <xf numFmtId="0" fontId="7" fillId="6" borderId="0" xfId="2" applyFont="1" applyFill="1" applyAlignment="1">
      <alignment vertical="center"/>
    </xf>
    <xf numFmtId="0" fontId="8" fillId="6" borderId="0" xfId="3" applyFont="1" applyFill="1" applyAlignment="1">
      <alignment vertical="center"/>
    </xf>
    <xf numFmtId="0" fontId="9" fillId="6" borderId="0" xfId="0" applyFont="1" applyFill="1" applyAlignment="1">
      <alignment horizontal="center" vertical="center"/>
    </xf>
    <xf numFmtId="0" fontId="10" fillId="6" borderId="0" xfId="3" applyFont="1" applyFill="1" applyAlignment="1">
      <alignment horizontal="center" vertical="center"/>
    </xf>
    <xf numFmtId="0" fontId="8" fillId="0" borderId="0" xfId="3" applyFont="1" applyAlignment="1">
      <alignment vertical="center"/>
    </xf>
    <xf numFmtId="0" fontId="6" fillId="6" borderId="0" xfId="2" applyFont="1" applyFill="1" applyAlignment="1">
      <alignment horizontal="left" vertical="center"/>
    </xf>
    <xf numFmtId="0" fontId="10" fillId="6" borderId="0" xfId="3" applyFont="1" applyFill="1" applyAlignment="1">
      <alignment vertical="center"/>
    </xf>
    <xf numFmtId="0" fontId="6" fillId="6" borderId="0" xfId="3" applyFont="1" applyFill="1" applyAlignment="1">
      <alignment vertical="center"/>
    </xf>
    <xf numFmtId="0" fontId="8" fillId="6" borderId="0" xfId="3" applyFont="1" applyFill="1" applyAlignment="1">
      <alignment horizontal="center" vertical="center"/>
    </xf>
    <xf numFmtId="0" fontId="11" fillId="6" borderId="0" xfId="2" applyFont="1" applyFill="1" applyAlignment="1">
      <alignment vertical="center"/>
    </xf>
    <xf numFmtId="0" fontId="10" fillId="3" borderId="2" xfId="0" applyFont="1" applyFill="1" applyBorder="1" applyAlignment="1">
      <alignment horizontal="right" vertical="center"/>
    </xf>
    <xf numFmtId="0" fontId="10" fillId="3" borderId="22" xfId="0" applyFont="1" applyFill="1" applyBorder="1" applyAlignment="1">
      <alignment horizontal="center" vertical="center"/>
    </xf>
    <xf numFmtId="42" fontId="10" fillId="3" borderId="22" xfId="0" applyNumberFormat="1" applyFont="1" applyFill="1" applyBorder="1" applyAlignment="1">
      <alignment horizontal="center" vertical="center"/>
    </xf>
    <xf numFmtId="42" fontId="10" fillId="3" borderId="3" xfId="0" applyNumberFormat="1" applyFont="1" applyFill="1" applyBorder="1" applyAlignment="1">
      <alignment horizontal="center" vertical="center"/>
    </xf>
    <xf numFmtId="0" fontId="9" fillId="4" borderId="10" xfId="0" applyFont="1" applyFill="1" applyBorder="1" applyAlignment="1">
      <alignment vertical="center"/>
    </xf>
    <xf numFmtId="0" fontId="0" fillId="4" borderId="0" xfId="0" applyFill="1" applyAlignment="1">
      <alignment horizontal="center" vertical="center"/>
    </xf>
    <xf numFmtId="0" fontId="0" fillId="4" borderId="0" xfId="0" applyFill="1" applyAlignment="1">
      <alignment vertical="center"/>
    </xf>
    <xf numFmtId="0" fontId="0" fillId="4" borderId="11" xfId="0" applyFill="1" applyBorder="1" applyAlignment="1">
      <alignment vertical="center"/>
    </xf>
    <xf numFmtId="0" fontId="0" fillId="0" borderId="0" xfId="0" applyAlignment="1">
      <alignment vertical="center"/>
    </xf>
    <xf numFmtId="0" fontId="6" fillId="0" borderId="10" xfId="0" applyFont="1" applyBorder="1" applyAlignment="1">
      <alignmen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14" xfId="0" applyFont="1" applyBorder="1" applyAlignment="1">
      <alignment horizontal="right" vertical="center" wrapText="1"/>
    </xf>
    <xf numFmtId="0" fontId="12" fillId="0" borderId="0" xfId="0" applyFont="1" applyAlignment="1">
      <alignment vertical="center"/>
    </xf>
    <xf numFmtId="44" fontId="10" fillId="6" borderId="0" xfId="1" applyFont="1" applyFill="1" applyBorder="1" applyAlignment="1">
      <alignment horizontal="center" vertical="center"/>
    </xf>
    <xf numFmtId="0" fontId="13" fillId="0" borderId="24" xfId="0" applyFont="1" applyBorder="1" applyAlignment="1">
      <alignment vertical="center"/>
    </xf>
    <xf numFmtId="0" fontId="6" fillId="0" borderId="9" xfId="0" applyFont="1" applyBorder="1" applyAlignment="1">
      <alignment horizontal="left" vertical="center"/>
    </xf>
    <xf numFmtId="44" fontId="6" fillId="0" borderId="0" xfId="1" applyFont="1" applyFill="1" applyBorder="1" applyAlignment="1">
      <alignment vertical="center"/>
    </xf>
    <xf numFmtId="44" fontId="6" fillId="5" borderId="7" xfId="1" applyFont="1" applyFill="1" applyBorder="1" applyAlignment="1">
      <alignment horizontal="right" vertical="center" wrapText="1"/>
    </xf>
    <xf numFmtId="44" fontId="6" fillId="5" borderId="7" xfId="1" applyFont="1" applyFill="1" applyBorder="1" applyAlignment="1">
      <alignment horizontal="right" vertical="center"/>
    </xf>
    <xf numFmtId="44" fontId="6" fillId="6" borderId="0" xfId="1" applyFont="1" applyFill="1" applyBorder="1" applyAlignment="1">
      <alignment horizontal="center" vertical="center"/>
    </xf>
    <xf numFmtId="0" fontId="13" fillId="0" borderId="7" xfId="0" applyFont="1" applyBorder="1" applyAlignment="1">
      <alignment vertical="center"/>
    </xf>
    <xf numFmtId="0" fontId="6" fillId="0" borderId="7" xfId="0" applyFont="1" applyBorder="1" applyAlignment="1">
      <alignment horizontal="left" vertical="center"/>
    </xf>
    <xf numFmtId="44" fontId="3" fillId="0" borderId="7" xfId="1" applyFont="1" applyFill="1" applyBorder="1" applyAlignment="1">
      <alignment vertical="center"/>
    </xf>
    <xf numFmtId="44" fontId="3" fillId="5" borderId="7" xfId="1" applyFont="1" applyFill="1" applyBorder="1" applyAlignment="1">
      <alignment vertical="center"/>
    </xf>
    <xf numFmtId="0" fontId="6" fillId="0" borderId="7" xfId="0" applyFont="1" applyBorder="1" applyAlignment="1">
      <alignment horizontal="left" vertical="center" wrapText="1"/>
    </xf>
    <xf numFmtId="0" fontId="6" fillId="0" borderId="24" xfId="0" applyFont="1" applyBorder="1" applyAlignment="1">
      <alignment horizontal="left" vertical="center"/>
    </xf>
    <xf numFmtId="0" fontId="13" fillId="0" borderId="25" xfId="0" applyFont="1" applyBorder="1" applyAlignment="1">
      <alignment vertical="center"/>
    </xf>
    <xf numFmtId="44" fontId="3" fillId="0" borderId="7" xfId="0" applyNumberFormat="1" applyFont="1" applyBorder="1" applyAlignment="1">
      <alignment vertical="center"/>
    </xf>
    <xf numFmtId="0" fontId="3" fillId="5" borderId="7" xfId="0" applyFont="1" applyFill="1" applyBorder="1" applyAlignment="1">
      <alignment vertical="center"/>
    </xf>
    <xf numFmtId="44" fontId="3" fillId="0" borderId="7" xfId="1" applyFont="1" applyBorder="1" applyAlignment="1">
      <alignment horizontal="left" vertical="center"/>
    </xf>
    <xf numFmtId="0" fontId="0" fillId="0" borderId="0" xfId="0" applyAlignment="1">
      <alignment horizontal="center" vertical="center"/>
    </xf>
    <xf numFmtId="0" fontId="14" fillId="0" borderId="0" xfId="0" applyFont="1" applyAlignment="1">
      <alignment horizontal="right" vertical="center"/>
    </xf>
    <xf numFmtId="44" fontId="2" fillId="0" borderId="6" xfId="0" applyNumberFormat="1" applyFont="1" applyBorder="1" applyAlignment="1">
      <alignment horizontal="center" vertical="center" wrapText="1"/>
    </xf>
    <xf numFmtId="49" fontId="2" fillId="2" borderId="10" xfId="0" applyNumberFormat="1" applyFont="1" applyFill="1" applyBorder="1" applyAlignment="1">
      <alignment vertical="center"/>
    </xf>
    <xf numFmtId="49" fontId="2" fillId="0" borderId="11" xfId="0" applyNumberFormat="1" applyFont="1" applyBorder="1" applyAlignment="1">
      <alignment horizontal="left" vertical="center"/>
    </xf>
    <xf numFmtId="38" fontId="2" fillId="0" borderId="0" xfId="0" applyNumberFormat="1" applyFont="1" applyAlignment="1">
      <alignment horizontal="center" vertical="center"/>
    </xf>
    <xf numFmtId="0" fontId="2" fillId="0" borderId="0" xfId="0" applyFont="1" applyAlignment="1">
      <alignment horizontal="center" vertical="center"/>
    </xf>
    <xf numFmtId="8" fontId="2" fillId="0" borderId="0" xfId="0" applyNumberFormat="1" applyFont="1" applyAlignment="1">
      <alignment horizontal="center" vertical="center"/>
    </xf>
    <xf numFmtId="44" fontId="2" fillId="0" borderId="11" xfId="1" applyFont="1" applyBorder="1" applyAlignment="1">
      <alignment vertical="center"/>
    </xf>
    <xf numFmtId="0" fontId="2" fillId="0" borderId="34" xfId="0" applyFont="1" applyBorder="1" applyAlignment="1">
      <alignment vertical="center"/>
    </xf>
    <xf numFmtId="0" fontId="2" fillId="0" borderId="33" xfId="0" applyFont="1" applyBorder="1" applyAlignment="1">
      <alignment vertical="center"/>
    </xf>
    <xf numFmtId="0" fontId="3" fillId="0" borderId="24"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2" fillId="0" borderId="24" xfId="0" applyFont="1" applyBorder="1" applyAlignment="1">
      <alignment horizontal="center" vertical="center" wrapText="1"/>
    </xf>
    <xf numFmtId="8" fontId="2" fillId="0" borderId="33" xfId="0" applyNumberFormat="1" applyFont="1" applyBorder="1" applyAlignment="1">
      <alignment horizontal="center" vertical="center" wrapText="1"/>
    </xf>
    <xf numFmtId="8" fontId="2" fillId="0" borderId="15" xfId="0" applyNumberFormat="1" applyFont="1" applyBorder="1" applyAlignment="1">
      <alignment horizontal="center" vertical="center"/>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0" xfId="0" applyFont="1" applyBorder="1" applyAlignment="1">
      <alignment vertical="center"/>
    </xf>
    <xf numFmtId="0" fontId="2" fillId="0" borderId="35" xfId="0" applyFont="1" applyBorder="1" applyAlignment="1">
      <alignment vertical="center"/>
    </xf>
    <xf numFmtId="0" fontId="18" fillId="0" borderId="6" xfId="0" applyFont="1" applyBorder="1" applyAlignment="1">
      <alignment wrapText="1"/>
    </xf>
    <xf numFmtId="0" fontId="18" fillId="0" borderId="36" xfId="0" applyFont="1" applyBorder="1" applyAlignment="1">
      <alignment wrapText="1"/>
    </xf>
    <xf numFmtId="38" fontId="2" fillId="0" borderId="34" xfId="0" applyNumberFormat="1" applyFont="1" applyBorder="1" applyAlignment="1">
      <alignment horizontal="center" vertical="center" wrapText="1"/>
    </xf>
    <xf numFmtId="8" fontId="2" fillId="0" borderId="24" xfId="0" applyNumberFormat="1" applyFont="1" applyBorder="1" applyAlignment="1">
      <alignment horizontal="center" vertical="center" wrapText="1"/>
    </xf>
    <xf numFmtId="0" fontId="2" fillId="0" borderId="37" xfId="0" applyFont="1" applyBorder="1" applyAlignment="1">
      <alignment vertical="center"/>
    </xf>
    <xf numFmtId="38" fontId="2" fillId="0" borderId="34" xfId="0" applyNumberFormat="1" applyFont="1" applyBorder="1" applyAlignment="1">
      <alignment horizontal="center" vertical="center"/>
    </xf>
    <xf numFmtId="0" fontId="2" fillId="0" borderId="24" xfId="0" applyFont="1" applyBorder="1" applyAlignment="1">
      <alignment horizontal="center" vertical="center"/>
    </xf>
    <xf numFmtId="0" fontId="3" fillId="0" borderId="0" xfId="0" applyFont="1" applyAlignment="1">
      <alignment horizontal="right" vertical="center"/>
    </xf>
    <xf numFmtId="0" fontId="2" fillId="6" borderId="32" xfId="0" applyFont="1" applyFill="1" applyBorder="1" applyAlignment="1">
      <alignment vertical="center"/>
    </xf>
    <xf numFmtId="0" fontId="2" fillId="6" borderId="38" xfId="0" applyFont="1" applyFill="1" applyBorder="1" applyAlignment="1">
      <alignment vertical="center"/>
    </xf>
    <xf numFmtId="0" fontId="2" fillId="6" borderId="39" xfId="0" applyFont="1" applyFill="1" applyBorder="1" applyAlignment="1">
      <alignment horizontal="center" vertical="center"/>
    </xf>
    <xf numFmtId="0" fontId="2" fillId="6" borderId="39" xfId="0" applyFont="1" applyFill="1" applyBorder="1" applyAlignment="1">
      <alignment vertical="center"/>
    </xf>
    <xf numFmtId="49" fontId="2" fillId="0" borderId="33" xfId="0" applyNumberFormat="1" applyFont="1" applyBorder="1" applyAlignment="1">
      <alignment horizontal="left" vertical="center"/>
    </xf>
    <xf numFmtId="8" fontId="3" fillId="0" borderId="0" xfId="0" applyNumberFormat="1" applyFont="1" applyAlignment="1">
      <alignment horizontal="center" vertical="center"/>
    </xf>
    <xf numFmtId="8" fontId="3" fillId="0" borderId="21" xfId="0" applyNumberFormat="1" applyFont="1" applyBorder="1" applyAlignment="1">
      <alignment horizontal="center" vertical="center"/>
    </xf>
    <xf numFmtId="8" fontId="3" fillId="0" borderId="15" xfId="0" applyNumberFormat="1" applyFont="1" applyBorder="1" applyAlignment="1">
      <alignment horizontal="center" vertical="center"/>
    </xf>
    <xf numFmtId="44" fontId="2" fillId="0" borderId="21" xfId="0" applyNumberFormat="1" applyFont="1" applyBorder="1" applyAlignment="1">
      <alignment vertical="center"/>
    </xf>
    <xf numFmtId="0" fontId="4" fillId="0" borderId="0" xfId="0" applyFont="1" applyAlignment="1">
      <alignment vertical="center"/>
    </xf>
    <xf numFmtId="164" fontId="2" fillId="0" borderId="6" xfId="1" applyNumberFormat="1" applyFont="1" applyBorder="1" applyAlignment="1">
      <alignment horizontal="center" vertical="center"/>
    </xf>
    <xf numFmtId="44" fontId="2" fillId="0" borderId="6" xfId="1" applyFont="1" applyBorder="1" applyAlignment="1">
      <alignment horizontal="center" vertical="center"/>
    </xf>
    <xf numFmtId="49" fontId="2" fillId="0" borderId="10" xfId="0" applyNumberFormat="1" applyFont="1" applyBorder="1" applyAlignment="1">
      <alignment vertical="center"/>
    </xf>
    <xf numFmtId="0" fontId="20" fillId="0" borderId="30" xfId="0" applyFont="1" applyBorder="1" applyAlignment="1">
      <alignment vertical="center"/>
    </xf>
    <xf numFmtId="0" fontId="20" fillId="0" borderId="0" xfId="0" applyFont="1" applyAlignment="1">
      <alignment vertical="center"/>
    </xf>
    <xf numFmtId="0" fontId="21" fillId="0" borderId="0" xfId="0" applyFont="1" applyAlignment="1">
      <alignment vertical="center"/>
    </xf>
    <xf numFmtId="164" fontId="2" fillId="0" borderId="7" xfId="0" applyNumberFormat="1" applyFont="1" applyBorder="1" applyAlignment="1">
      <alignment horizontal="center" vertical="center" wrapText="1"/>
    </xf>
    <xf numFmtId="49" fontId="2" fillId="0" borderId="36" xfId="0" applyNumberFormat="1" applyFont="1" applyBorder="1" applyAlignment="1">
      <alignment vertical="center"/>
    </xf>
    <xf numFmtId="0" fontId="3" fillId="8" borderId="7"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24" xfId="0" applyFont="1" applyFill="1" applyBorder="1" applyAlignment="1">
      <alignment horizontal="center" vertical="center" wrapText="1"/>
    </xf>
    <xf numFmtId="0" fontId="3" fillId="8" borderId="33" xfId="0" applyFont="1" applyFill="1" applyBorder="1" applyAlignment="1">
      <alignment horizontal="center" vertical="center" wrapText="1"/>
    </xf>
    <xf numFmtId="0" fontId="2" fillId="8" borderId="7" xfId="0" applyFont="1" applyFill="1" applyBorder="1" applyAlignment="1">
      <alignment horizontal="center" vertical="center"/>
    </xf>
    <xf numFmtId="8" fontId="2" fillId="8" borderId="7" xfId="0" applyNumberFormat="1" applyFont="1" applyFill="1" applyBorder="1" applyAlignment="1">
      <alignment horizontal="center" vertical="center"/>
    </xf>
    <xf numFmtId="44" fontId="2" fillId="8" borderId="6" xfId="0" applyNumberFormat="1" applyFont="1" applyFill="1" applyBorder="1" applyAlignment="1">
      <alignment horizontal="center" vertical="center" wrapText="1"/>
    </xf>
    <xf numFmtId="38" fontId="2" fillId="8" borderId="5" xfId="0" applyNumberFormat="1" applyFont="1" applyFill="1" applyBorder="1" applyAlignment="1">
      <alignment horizontal="center" vertical="center"/>
    </xf>
    <xf numFmtId="8" fontId="2" fillId="8" borderId="24" xfId="0" applyNumberFormat="1" applyFont="1" applyFill="1" applyBorder="1" applyAlignment="1">
      <alignment horizontal="center" vertical="center" wrapText="1"/>
    </xf>
    <xf numFmtId="8" fontId="2" fillId="8" borderId="33" xfId="0" applyNumberFormat="1" applyFont="1" applyFill="1" applyBorder="1" applyAlignment="1">
      <alignment horizontal="center" vertical="center" wrapText="1"/>
    </xf>
    <xf numFmtId="44" fontId="3" fillId="0" borderId="21" xfId="0" applyNumberFormat="1" applyFont="1" applyBorder="1" applyAlignment="1">
      <alignment horizontal="center" vertical="center"/>
    </xf>
    <xf numFmtId="0" fontId="7" fillId="0" borderId="6" xfId="0" applyFont="1" applyBorder="1" applyAlignment="1">
      <alignment vertical="center"/>
    </xf>
    <xf numFmtId="49" fontId="7" fillId="0" borderId="6" xfId="0" applyNumberFormat="1" applyFont="1" applyBorder="1" applyAlignment="1">
      <alignment vertical="center"/>
    </xf>
    <xf numFmtId="8" fontId="2" fillId="0" borderId="6" xfId="0" applyNumberFormat="1" applyFont="1" applyBorder="1" applyAlignment="1">
      <alignment horizontal="center" vertical="center" wrapText="1"/>
    </xf>
    <xf numFmtId="0" fontId="2" fillId="0" borderId="11" xfId="0" applyFont="1" applyBorder="1" applyAlignment="1">
      <alignment vertical="center"/>
    </xf>
    <xf numFmtId="8" fontId="2" fillId="0" borderId="6" xfId="0" applyNumberFormat="1" applyFont="1" applyBorder="1" applyAlignment="1">
      <alignment horizontal="right" vertical="center" wrapText="1"/>
    </xf>
    <xf numFmtId="8" fontId="3" fillId="0" borderId="11" xfId="0" applyNumberFormat="1" applyFont="1" applyBorder="1" applyAlignment="1">
      <alignment horizontal="right" vertical="center" wrapText="1"/>
    </xf>
    <xf numFmtId="8" fontId="4" fillId="7" borderId="28" xfId="0" applyNumberFormat="1" applyFont="1" applyFill="1" applyBorder="1" applyAlignment="1">
      <alignment vertical="center"/>
    </xf>
    <xf numFmtId="8" fontId="3" fillId="0" borderId="21" xfId="0" applyNumberFormat="1" applyFont="1" applyBorder="1" applyAlignment="1">
      <alignment horizontal="right" vertical="center"/>
    </xf>
    <xf numFmtId="0" fontId="24" fillId="0" borderId="0" xfId="0" applyFont="1" applyAlignment="1">
      <alignment vertical="top" wrapText="1"/>
    </xf>
    <xf numFmtId="0" fontId="2" fillId="0" borderId="7" xfId="0" applyFont="1" applyBorder="1" applyAlignment="1">
      <alignment horizontal="center" vertical="center" wrapText="1"/>
    </xf>
    <xf numFmtId="8" fontId="2" fillId="8" borderId="15" xfId="0" applyNumberFormat="1" applyFont="1" applyFill="1" applyBorder="1" applyAlignment="1">
      <alignment horizontal="center" vertical="center"/>
    </xf>
    <xf numFmtId="164" fontId="2" fillId="0" borderId="7" xfId="1" applyNumberFormat="1" applyFont="1" applyBorder="1" applyAlignment="1">
      <alignment horizontal="center" vertical="center" wrapText="1"/>
    </xf>
    <xf numFmtId="8" fontId="2" fillId="0" borderId="24" xfId="0" applyNumberFormat="1" applyFont="1" applyBorder="1" applyAlignment="1">
      <alignment horizontal="center" vertical="center"/>
    </xf>
    <xf numFmtId="0" fontId="6" fillId="0" borderId="15" xfId="0" applyFont="1" applyBorder="1" applyAlignment="1">
      <alignment vertical="center"/>
    </xf>
    <xf numFmtId="0" fontId="6" fillId="0" borderId="16" xfId="0" applyFont="1" applyBorder="1" applyAlignment="1">
      <alignment vertical="center"/>
    </xf>
    <xf numFmtId="0" fontId="6" fillId="0" borderId="9" xfId="0" applyFont="1" applyBorder="1" applyAlignment="1">
      <alignment vertical="center"/>
    </xf>
    <xf numFmtId="0" fontId="6" fillId="0" borderId="19" xfId="0" applyFont="1" applyBorder="1" applyAlignment="1">
      <alignment vertical="center"/>
    </xf>
    <xf numFmtId="0" fontId="6" fillId="0" borderId="23" xfId="0" applyFont="1" applyBorder="1" applyAlignment="1">
      <alignment vertical="center"/>
    </xf>
    <xf numFmtId="0" fontId="6" fillId="0" borderId="18" xfId="0" applyFont="1" applyBorder="1" applyAlignment="1">
      <alignment vertical="center"/>
    </xf>
    <xf numFmtId="0" fontId="6" fillId="0" borderId="7" xfId="0" applyFont="1" applyBorder="1" applyAlignment="1">
      <alignment vertical="center"/>
    </xf>
    <xf numFmtId="0" fontId="25" fillId="10" borderId="0" xfId="0" applyFont="1" applyFill="1" applyAlignment="1">
      <alignment vertical="top" wrapText="1"/>
    </xf>
    <xf numFmtId="0" fontId="24" fillId="10" borderId="0" xfId="0" applyFont="1" applyFill="1" applyAlignment="1">
      <alignment vertical="top" wrapText="1"/>
    </xf>
    <xf numFmtId="0" fontId="19" fillId="0" borderId="19" xfId="0" applyFont="1" applyBorder="1" applyAlignment="1">
      <alignment vertical="center"/>
    </xf>
    <xf numFmtId="0" fontId="19" fillId="0" borderId="8" xfId="0" applyFont="1" applyBorder="1" applyAlignment="1">
      <alignment horizontal="center" vertical="center"/>
    </xf>
    <xf numFmtId="0" fontId="19" fillId="0" borderId="4" xfId="0" applyFont="1" applyBorder="1" applyAlignment="1">
      <alignment horizontal="center" vertical="center"/>
    </xf>
    <xf numFmtId="0" fontId="3" fillId="0" borderId="32" xfId="0" applyFont="1" applyBorder="1" applyAlignment="1">
      <alignment vertical="center"/>
    </xf>
    <xf numFmtId="0" fontId="3" fillId="0" borderId="1" xfId="0" applyFont="1" applyBorder="1" applyAlignment="1">
      <alignment horizontal="center" vertical="center"/>
    </xf>
    <xf numFmtId="0" fontId="19" fillId="0" borderId="19" xfId="0" applyFont="1" applyBorder="1" applyAlignment="1">
      <alignment horizontal="center" vertical="center"/>
    </xf>
    <xf numFmtId="0" fontId="19" fillId="0" borderId="23" xfId="0" applyFont="1" applyBorder="1" applyAlignment="1">
      <alignment horizontal="center" vertical="center"/>
    </xf>
    <xf numFmtId="0" fontId="19" fillId="0" borderId="40" xfId="0" applyFont="1" applyBorder="1" applyAlignment="1">
      <alignment horizontal="center" vertical="center"/>
    </xf>
    <xf numFmtId="0" fontId="19" fillId="0" borderId="19" xfId="2" applyFont="1" applyBorder="1"/>
    <xf numFmtId="0" fontId="22" fillId="9" borderId="0" xfId="5" applyFont="1" applyFill="1" applyAlignment="1">
      <alignment horizontal="center"/>
    </xf>
    <xf numFmtId="0" fontId="0" fillId="0" borderId="2" xfId="0" applyBorder="1" applyAlignment="1">
      <alignment horizontal="left" vertical="top"/>
    </xf>
    <xf numFmtId="0" fontId="0" fillId="0" borderId="22" xfId="0" applyBorder="1" applyAlignment="1">
      <alignment horizontal="left" vertical="top"/>
    </xf>
    <xf numFmtId="0" fontId="0" fillId="0" borderId="3" xfId="0" applyBorder="1" applyAlignment="1">
      <alignment horizontal="left" vertical="top"/>
    </xf>
    <xf numFmtId="0" fontId="6" fillId="0" borderId="41" xfId="0" applyFont="1" applyBorder="1" applyAlignment="1">
      <alignment vertical="center" wrapText="1"/>
    </xf>
    <xf numFmtId="0" fontId="0" fillId="0" borderId="41" xfId="0" applyBorder="1" applyAlignment="1">
      <alignment wrapText="1"/>
    </xf>
    <xf numFmtId="0" fontId="23" fillId="0" borderId="42" xfId="0" applyFont="1" applyBorder="1" applyAlignment="1">
      <alignment horizontal="left" vertical="top" wrapText="1"/>
    </xf>
    <xf numFmtId="0" fontId="23" fillId="0" borderId="43" xfId="0" applyFont="1" applyBorder="1" applyAlignment="1">
      <alignment horizontal="left" vertical="top" wrapText="1"/>
    </xf>
    <xf numFmtId="0" fontId="23" fillId="0" borderId="44" xfId="0" applyFont="1" applyBorder="1" applyAlignment="1">
      <alignment horizontal="left" vertical="top" wrapText="1"/>
    </xf>
    <xf numFmtId="0" fontId="23" fillId="0" borderId="45" xfId="0" applyFont="1" applyBorder="1" applyAlignment="1">
      <alignment horizontal="left" vertical="top" wrapText="1"/>
    </xf>
    <xf numFmtId="0" fontId="23" fillId="0" borderId="0" xfId="0" applyFont="1" applyAlignment="1">
      <alignment horizontal="left" vertical="top" wrapText="1"/>
    </xf>
    <xf numFmtId="0" fontId="23" fillId="0" borderId="46" xfId="0" applyFont="1" applyBorder="1" applyAlignment="1">
      <alignment horizontal="left" vertical="top" wrapText="1"/>
    </xf>
    <xf numFmtId="0" fontId="0" fillId="0" borderId="45" xfId="0" applyBorder="1" applyAlignment="1">
      <alignment horizontal="left" vertical="top" wrapText="1"/>
    </xf>
    <xf numFmtId="0" fontId="0" fillId="0" borderId="0" xfId="0"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41" xfId="0" applyBorder="1" applyAlignment="1">
      <alignment horizontal="left" vertical="top" wrapText="1"/>
    </xf>
    <xf numFmtId="0" fontId="0" fillId="0" borderId="48" xfId="0" applyBorder="1" applyAlignment="1">
      <alignment horizontal="left" vertical="top" wrapText="1"/>
    </xf>
  </cellXfs>
  <cellStyles count="7">
    <cellStyle name="_x000d__x000a_JournalTemplate=C:\COMFO\CTALK\JOURSTD.TPL_x000d__x000a_LbStateAddress=3 3 0 251 1 89 2 311_x000d__x000a_LbStateJou" xfId="5" xr:uid="{C7404F44-EA3A-4BD4-B543-1A3473DB1E0C}"/>
    <cellStyle name="Comma" xfId="4" builtinId="3"/>
    <cellStyle name="Currency" xfId="1" builtinId="4"/>
    <cellStyle name="Currency 2" xfId="6" xr:uid="{40382721-1CD4-41A6-BA73-992E83665D10}"/>
    <cellStyle name="Normal" xfId="0" builtinId="0"/>
    <cellStyle name="Normal 5" xfId="3" xr:uid="{00000000-0005-0000-0000-000002000000}"/>
    <cellStyle name="Normal_Task Order 2009-0012 (2)" xfId="2" xr:uid="{00000000-0005-0000-0000-000003000000}"/>
  </cellStyles>
  <dxfs count="0"/>
  <tableStyles count="0" defaultTableStyle="TableStyleMedium2" defaultPivotStyle="PivotStyleLight16"/>
  <colors>
    <mruColors>
      <color rgb="FFFFFF66"/>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ocumenttasks/documenttask1.xml><?xml version="1.0" encoding="utf-8"?>
<Tasks xmlns="http://schemas.microsoft.com/office/tasks/2019/documenttasks">
  <Task id="{BCF433B4-B5EE-488A-8978-61BF9338BC66}">
    <Anchor>
      <Comment id="{E7390B8D-EE95-4665-A268-9E4FDA9CD2C5}"/>
    </Anchor>
    <History>
      <Event time="2025-09-26T21:03:46.42" id="{061FB700-0C31-45FC-865E-C04EF010B15E}">
        <Attribution userId="S::0434689285@cbp.dhs.gov::72c42236-452d-4147-af1d-d0fced1d9c9f" userName="MERLI, KAITLIN H (CTR)" userProvider="AD"/>
        <Anchor>
          <Comment id="{E7390B8D-EE95-4665-A268-9E4FDA9CD2C5}"/>
        </Anchor>
        <Create/>
      </Event>
      <Event time="2025-09-26T21:03:46.42" id="{68F7C7AA-D117-4F17-9B37-632B67A97A3D}">
        <Attribution userId="S::0434689285@cbp.dhs.gov::72c42236-452d-4147-af1d-d0fced1d9c9f" userName="MERLI, KAITLIN H (CTR)" userProvider="AD"/>
        <Anchor>
          <Comment id="{E7390B8D-EE95-4665-A268-9E4FDA9CD2C5}"/>
        </Anchor>
        <Assign userId="S::0214139693@cbp.dhs.gov::2b628e6a-fb19-43ca-9717-142e33154272" userName="SHEYYAB, ALLA S" userProvider="AD"/>
      </Event>
      <Event time="2025-09-26T21:03:46.42" id="{ACD5EFE8-42ED-4A12-8F93-8B0715113655}">
        <Attribution userId="S::0434689285@cbp.dhs.gov::72c42236-452d-4147-af1d-d0fced1d9c9f" userName="MERLI, KAITLIN H (CTR)" userProvider="AD"/>
        <Anchor>
          <Comment id="{E7390B8D-EE95-4665-A268-9E4FDA9CD2C5}"/>
        </Anchor>
        <SetTitle title="@SHEYYAB, ALLA S I added an on-demand services section here we will need to work on completing."/>
      </Event>
      <Event time="2025-10-14T20:38:53.91" id="{3868110C-03D8-4144-A808-8ECC06091BC9}">
        <Attribution userId="S::0214139693@cbp.dhs.gov::2b628e6a-fb19-43ca-9717-142e33154272" userName="SHEYYAB, ALLA S" userProvider="AD"/>
        <Progress percentComplete="100"/>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bpgov-my.sharepoint.com/personal/0214139693_cbp_dhs_gov/Documents/BOD/NII/IGCE%20support/LEP_MEP_contract_recompete/Pricing%20Table%20MEP%20LEP_1st%20draft.xlsx" TargetMode="External"/><Relationship Id="rId1" Type="http://schemas.openxmlformats.org/officeDocument/2006/relationships/externalLinkPath" Target="https://cbpgov.sharepoint.com/sites/NIIProcurementCollaboration-NIIIPTandWGCollaboration/Shared%20Documents/NII%20IPT%20and%20WG%20Collaboration/MEP_LEP%20IDIQ%20(COMPLETE)/Pricing%20Table%20MEP%20LEP_1st%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1 Summary (2)"/>
      <sheetName val="Table 1 Summary"/>
      <sheetName val="Table 1 Summary (3)"/>
      <sheetName val="MEP FFP"/>
      <sheetName val="Table 1 Summary (4)"/>
      <sheetName val="LEP FFP"/>
      <sheetName val="IGCE1"/>
      <sheetName val="MEP FFP (2)"/>
    </sheetNames>
    <sheetDataSet>
      <sheetData sheetId="0"/>
      <sheetData sheetId="1"/>
      <sheetData sheetId="2"/>
      <sheetData sheetId="3"/>
      <sheetData sheetId="4"/>
      <sheetData sheetId="5"/>
      <sheetData sheetId="6"/>
      <sheetData sheetId="7">
        <row r="14">
          <cell r="F14">
            <v>0</v>
          </cell>
        </row>
        <row r="73">
          <cell r="F73">
            <v>0</v>
          </cell>
          <cell r="J73">
            <v>0</v>
          </cell>
          <cell r="N73">
            <v>0</v>
          </cell>
          <cell r="R73">
            <v>0</v>
          </cell>
          <cell r="V73">
            <v>0</v>
          </cell>
          <cell r="Z73">
            <v>0</v>
          </cell>
        </row>
        <row r="78">
          <cell r="F78">
            <v>156481</v>
          </cell>
          <cell r="J78">
            <v>0</v>
          </cell>
          <cell r="N78">
            <v>0</v>
          </cell>
          <cell r="R78">
            <v>0</v>
          </cell>
          <cell r="V78">
            <v>0</v>
          </cell>
          <cell r="Z78">
            <v>0</v>
          </cell>
        </row>
        <row r="83">
          <cell r="F83">
            <v>3542353</v>
          </cell>
          <cell r="J83">
            <v>0</v>
          </cell>
          <cell r="N83">
            <v>0</v>
          </cell>
          <cell r="R83">
            <v>0</v>
          </cell>
          <cell r="V83">
            <v>0</v>
          </cell>
          <cell r="Z83">
            <v>0</v>
          </cell>
        </row>
        <row r="103">
          <cell r="F103">
            <v>263164</v>
          </cell>
          <cell r="J103">
            <v>0</v>
          </cell>
          <cell r="N103">
            <v>0</v>
          </cell>
          <cell r="R103">
            <v>0</v>
          </cell>
          <cell r="V103">
            <v>0</v>
          </cell>
          <cell r="Z103">
            <v>0</v>
          </cell>
        </row>
        <row r="145">
          <cell r="F145">
            <v>8858355</v>
          </cell>
          <cell r="J145">
            <v>0</v>
          </cell>
          <cell r="N145">
            <v>0</v>
          </cell>
          <cell r="R145">
            <v>0</v>
          </cell>
          <cell r="V145">
            <v>0</v>
          </cell>
          <cell r="Z145">
            <v>0</v>
          </cell>
        </row>
      </sheetData>
    </sheetDataSet>
  </externalBook>
</externalLink>
</file>

<file path=xl/persons/person.xml><?xml version="1.0" encoding="utf-8"?>
<personList xmlns="http://schemas.microsoft.com/office/spreadsheetml/2018/threadedcomments" xmlns:x="http://schemas.openxmlformats.org/spreadsheetml/2006/main">
  <person displayName="SHEYYAB, ALLA S" id="{559FACCF-39E7-439C-9498-3BC9BDDA2021}" userId="0214139693@cbp.dhs.gov" providerId="PeoplePicker"/>
  <person displayName="SHEYYAB, ALLA S" id="{FE992305-4F69-4534-99DC-88A70E5768B4}" userId="S::0214139693@cbp.dhs.gov::2b628e6a-fb19-43ca-9717-142e33154272" providerId="AD"/>
  <person displayName="MERLI, KAITLIN H (CTR)" id="{CB2E8E42-0C94-490E-A34F-54E807CA714F}" userId="S::0434689285@cbp.dhs.gov::72c42236-452d-4147-af1d-d0fced1d9c9f" providerId="AD"/>
  <person displayName="RUSSO, JOHN A (CTR)" id="{16D5E3F5-5F8A-4422-87ED-51938B0EF8ED}" userId="S::0725555797@cbp.dhs.gov::643a8d82-f942-431b-9304-b4b911a7991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5" dT="2026-04-01T13:36:30.87" personId="{16D5E3F5-5F8A-4422-87ED-51938B0EF8ED}" id="{359CBE6E-C3EC-4410-944C-1AE54CFDDAF6}" done="1">
    <text>Separate IDIQs will require separate IDIQs for the MEP and LEP.
The IGCEs will have to be updated to acknowledge that some of the costs will be absorbed under the current contracts in light of the phased approach being adopted.</text>
  </threadedComment>
</ThreadedComments>
</file>

<file path=xl/threadedComments/threadedComment2.xml><?xml version="1.0" encoding="utf-8"?>
<ThreadedComments xmlns="http://schemas.microsoft.com/office/spreadsheetml/2018/threadedcomments" xmlns:x="http://schemas.openxmlformats.org/spreadsheetml/2006/main">
  <threadedComment ref="A138" dT="2025-09-26T21:03:46.42" personId="{CB2E8E42-0C94-490E-A34F-54E807CA714F}" id="{E7390B8D-EE95-4665-A268-9E4FDA9CD2C5}" done="1">
    <text>@SHEYYAB, ALLA S I added an on-demand services section here we will need to work on completing.</text>
    <mentions>
      <mention mentionpersonId="{559FACCF-39E7-439C-9498-3BC9BDDA2021}" mentionId="{9A5F44DB-C77B-4A62-9374-9617DF628274}" startIndex="0" length="16"/>
    </mentions>
  </threadedComment>
  <threadedComment ref="A138" dT="2025-10-14T20:38:49.21" personId="{FE992305-4F69-4534-99DC-88A70E5768B4}" id="{4C9E8381-D8A1-4803-AB96-0DDAC51CD6AE}" parentId="{E7390B8D-EE95-4665-A268-9E4FDA9CD2C5}">
    <text>My understanding is this line is for on-demand repair services (at least that’s my understanding from ILD spreadsheet). Some of the sub-CLINs here, such as “site work” are covered under civil works. It’s close to impossible to try and break the site work cost out of the civil works CLIN. I recommend renaming the “Civil works” CLIN if on-demand services is the preferred name</text>
  </threadedComment>
</ThreadedComments>
</file>

<file path=xl/threadedComments/threadedComment3.xml><?xml version="1.0" encoding="utf-8"?>
<ThreadedComments xmlns="http://schemas.microsoft.com/office/spreadsheetml/2018/threadedcomments" xmlns:x="http://schemas.openxmlformats.org/spreadsheetml/2006/main">
  <threadedComment ref="A42757" dT="2026-04-01T13:32:38.22" personId="{16D5E3F5-5F8A-4422-87ED-51938B0EF8ED}" id="{D7DA409D-6A65-4605-848C-D6EACE50A7E7}">
    <text xml:space="preserve">The IGCE should be accompanied by a Summary which describes the assumptions/bases/methods for developing it, including escalation rates applied to the outyears.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B3A0F-6EBA-4B9C-B92E-88B95A8D190D}">
  <sheetPr>
    <pageSetUpPr fitToPage="1"/>
  </sheetPr>
  <dimension ref="A1:I74"/>
  <sheetViews>
    <sheetView showGridLines="0" topLeftCell="A8" zoomScale="90" zoomScaleNormal="90" zoomScaleSheetLayoutView="100" workbookViewId="0">
      <selection activeCell="B39" sqref="B39"/>
    </sheetView>
  </sheetViews>
  <sheetFormatPr defaultColWidth="9.1796875" defaultRowHeight="14.5" x14ac:dyDescent="0.35"/>
  <cols>
    <col min="1" max="1" width="2.453125" style="82" customWidth="1"/>
    <col min="2" max="2" width="34.1796875" style="105" customWidth="1"/>
    <col min="3" max="8" width="20.54296875" style="82" customWidth="1"/>
    <col min="9" max="9" width="20.1796875" style="82" customWidth="1"/>
    <col min="10" max="16384" width="9.1796875" style="82"/>
  </cols>
  <sheetData>
    <row r="1" spans="1:9" s="68" customFormat="1" ht="22.5" customHeight="1" x14ac:dyDescent="0.35">
      <c r="A1" s="63" t="s">
        <v>0</v>
      </c>
      <c r="B1" s="64"/>
      <c r="C1" s="53"/>
      <c r="D1" s="65"/>
      <c r="E1" s="66" t="s">
        <v>1</v>
      </c>
      <c r="F1" s="67"/>
      <c r="G1" s="67"/>
      <c r="H1" s="65"/>
      <c r="I1" s="65"/>
    </row>
    <row r="2" spans="1:9" s="68" customFormat="1" ht="22.5" customHeight="1" x14ac:dyDescent="0.35">
      <c r="A2" s="63" t="s">
        <v>2</v>
      </c>
      <c r="B2" s="64"/>
      <c r="C2" s="53"/>
      <c r="D2" s="65"/>
      <c r="E2" s="66"/>
      <c r="F2" s="67"/>
      <c r="G2" s="67"/>
      <c r="H2" s="65"/>
      <c r="I2" s="65"/>
    </row>
    <row r="3" spans="1:9" s="68" customFormat="1" ht="22.5" customHeight="1" x14ac:dyDescent="0.35">
      <c r="A3" s="63" t="s">
        <v>3</v>
      </c>
      <c r="B3" s="64"/>
      <c r="C3" s="53"/>
      <c r="D3" s="65"/>
      <c r="E3" s="65"/>
      <c r="F3" s="65"/>
      <c r="G3" s="65"/>
      <c r="H3" s="65"/>
      <c r="I3" s="65"/>
    </row>
    <row r="4" spans="1:9" s="68" customFormat="1" ht="22.5" customHeight="1" x14ac:dyDescent="0.35">
      <c r="A4" s="63" t="s">
        <v>4</v>
      </c>
      <c r="B4" s="64"/>
      <c r="C4" s="53"/>
      <c r="D4" s="65"/>
      <c r="E4" s="65"/>
      <c r="F4" s="65"/>
      <c r="G4" s="65"/>
      <c r="H4" s="65"/>
      <c r="I4" s="65"/>
    </row>
    <row r="5" spans="1:9" s="68" customFormat="1" ht="15.5" x14ac:dyDescent="0.35">
      <c r="A5" s="64"/>
      <c r="B5" s="69" t="s">
        <v>5</v>
      </c>
      <c r="C5" s="53"/>
      <c r="D5" s="70"/>
      <c r="E5" s="65"/>
      <c r="F5" s="65"/>
      <c r="G5" s="65"/>
      <c r="H5" s="65"/>
      <c r="I5" s="65"/>
    </row>
    <row r="6" spans="1:9" s="68" customFormat="1" ht="15.5" x14ac:dyDescent="0.35">
      <c r="A6" s="64"/>
      <c r="B6" s="69" t="s">
        <v>6</v>
      </c>
      <c r="C6" s="54"/>
      <c r="D6" s="71"/>
      <c r="E6" s="72"/>
      <c r="F6" s="65"/>
      <c r="G6" s="65"/>
      <c r="H6" s="65"/>
      <c r="I6" s="65"/>
    </row>
    <row r="7" spans="1:9" s="68" customFormat="1" ht="15.5" x14ac:dyDescent="0.35">
      <c r="A7" s="63"/>
      <c r="B7" s="69" t="s">
        <v>7</v>
      </c>
      <c r="C7" s="54"/>
      <c r="D7" s="71"/>
      <c r="E7" s="72"/>
      <c r="F7" s="65"/>
      <c r="G7" s="65"/>
      <c r="H7" s="65"/>
      <c r="I7" s="65"/>
    </row>
    <row r="8" spans="1:9" s="68" customFormat="1" ht="15.5" x14ac:dyDescent="0.35">
      <c r="A8" s="73"/>
      <c r="B8" s="69" t="s">
        <v>8</v>
      </c>
      <c r="C8" s="54"/>
      <c r="D8" s="71"/>
      <c r="E8" s="72"/>
      <c r="F8" s="65"/>
      <c r="G8" s="65"/>
      <c r="H8" s="65"/>
      <c r="I8" s="65"/>
    </row>
    <row r="9" spans="1:9" s="68" customFormat="1" ht="15.5" x14ac:dyDescent="0.35">
      <c r="A9" s="73"/>
      <c r="B9" s="69" t="s">
        <v>9</v>
      </c>
      <c r="C9" s="54"/>
      <c r="D9" s="71"/>
      <c r="E9" s="72"/>
      <c r="F9" s="65"/>
      <c r="G9" s="65"/>
      <c r="H9" s="65"/>
      <c r="I9" s="65"/>
    </row>
    <row r="10" spans="1:9" s="68" customFormat="1" ht="15.5" x14ac:dyDescent="0.35">
      <c r="A10" s="73"/>
      <c r="B10" s="69" t="s">
        <v>10</v>
      </c>
      <c r="C10" s="54"/>
      <c r="D10" s="71"/>
      <c r="E10" s="72"/>
      <c r="F10" s="65"/>
      <c r="G10" s="65"/>
      <c r="H10" s="65"/>
      <c r="I10" s="65"/>
    </row>
    <row r="11" spans="1:9" s="68" customFormat="1" ht="15" customHeight="1" x14ac:dyDescent="0.35">
      <c r="A11" s="74"/>
      <c r="B11" s="75"/>
      <c r="C11" s="76"/>
      <c r="D11" s="76"/>
      <c r="E11" s="76"/>
      <c r="F11" s="76"/>
      <c r="G11" s="76"/>
      <c r="H11" s="76"/>
      <c r="I11" s="77"/>
    </row>
    <row r="12" spans="1:9" ht="20" x14ac:dyDescent="0.35">
      <c r="A12" s="78" t="s">
        <v>11</v>
      </c>
      <c r="B12" s="79"/>
      <c r="C12" s="80"/>
      <c r="D12" s="80"/>
      <c r="E12" s="80"/>
      <c r="F12" s="80"/>
      <c r="G12" s="80"/>
      <c r="H12" s="80"/>
      <c r="I12" s="81"/>
    </row>
    <row r="13" spans="1:9" s="87" customFormat="1" ht="15.5" x14ac:dyDescent="0.35">
      <c r="A13" s="83" t="s">
        <v>12</v>
      </c>
      <c r="B13" s="84"/>
      <c r="C13" s="85" t="s">
        <v>13</v>
      </c>
      <c r="D13" s="85" t="s">
        <v>14</v>
      </c>
      <c r="E13" s="85" t="s">
        <v>15</v>
      </c>
      <c r="F13" s="85" t="s">
        <v>16</v>
      </c>
      <c r="G13" s="85" t="s">
        <v>17</v>
      </c>
      <c r="H13" s="85" t="s">
        <v>18</v>
      </c>
      <c r="I13" s="86" t="s">
        <v>19</v>
      </c>
    </row>
    <row r="14" spans="1:9" ht="15" x14ac:dyDescent="0.35">
      <c r="A14" s="182" t="s">
        <v>20</v>
      </c>
      <c r="B14" s="183"/>
      <c r="C14" s="183"/>
      <c r="D14" s="183"/>
      <c r="E14" s="183"/>
      <c r="F14" s="183"/>
      <c r="G14" s="183"/>
      <c r="H14" s="183"/>
      <c r="I14" s="88"/>
    </row>
    <row r="15" spans="1:9" ht="15" x14ac:dyDescent="0.35">
      <c r="A15" s="89"/>
      <c r="B15" s="90" t="s">
        <v>21</v>
      </c>
      <c r="C15" s="91">
        <f>+'[1]MEP FFP (2)'!F14</f>
        <v>0</v>
      </c>
      <c r="D15" s="92"/>
      <c r="E15" s="92"/>
      <c r="F15" s="92"/>
      <c r="G15" s="92"/>
      <c r="H15" s="93"/>
      <c r="I15" s="94">
        <f>SUM(C15:H15)</f>
        <v>0</v>
      </c>
    </row>
    <row r="16" spans="1:9" ht="15" x14ac:dyDescent="0.35">
      <c r="A16" s="95"/>
      <c r="B16" s="99" t="s">
        <v>22</v>
      </c>
      <c r="C16" s="98"/>
      <c r="D16" s="97" t="e">
        <f>+'[1]MEP FFP (2)'!#REF!</f>
        <v>#REF!</v>
      </c>
      <c r="E16" s="98"/>
      <c r="F16" s="98"/>
      <c r="G16" s="98"/>
      <c r="H16" s="98"/>
      <c r="I16" s="94"/>
    </row>
    <row r="17" spans="1:9" ht="15" x14ac:dyDescent="0.35">
      <c r="A17" s="95"/>
      <c r="B17" s="99" t="s">
        <v>23</v>
      </c>
      <c r="C17" s="98"/>
      <c r="D17" s="98"/>
      <c r="E17" s="97" t="e">
        <f>+'[1]MEP FFP (2)'!#REF!</f>
        <v>#REF!</v>
      </c>
      <c r="F17" s="98"/>
      <c r="G17" s="98"/>
      <c r="H17" s="98"/>
      <c r="I17" s="94"/>
    </row>
    <row r="18" spans="1:9" ht="15" x14ac:dyDescent="0.35">
      <c r="A18" s="95"/>
      <c r="B18" s="99" t="s">
        <v>24</v>
      </c>
      <c r="C18" s="98"/>
      <c r="D18" s="98"/>
      <c r="E18" s="98"/>
      <c r="F18" s="97" t="e">
        <f>+'[1]MEP FFP (2)'!#REF!</f>
        <v>#REF!</v>
      </c>
      <c r="G18" s="98"/>
      <c r="H18" s="98"/>
      <c r="I18" s="94"/>
    </row>
    <row r="19" spans="1:9" ht="15" x14ac:dyDescent="0.35">
      <c r="A19" s="95"/>
      <c r="B19" s="99" t="s">
        <v>25</v>
      </c>
      <c r="C19" s="98"/>
      <c r="D19" s="98"/>
      <c r="E19" s="98"/>
      <c r="F19" s="98"/>
      <c r="G19" s="97" t="e">
        <f>+'[1]MEP FFP (2)'!#REF!</f>
        <v>#REF!</v>
      </c>
      <c r="H19" s="98"/>
      <c r="I19" s="94"/>
    </row>
    <row r="20" spans="1:9" ht="15" x14ac:dyDescent="0.35">
      <c r="A20" s="95"/>
      <c r="B20" s="96" t="s">
        <v>26</v>
      </c>
      <c r="C20" s="98"/>
      <c r="D20" s="98"/>
      <c r="E20" s="98"/>
      <c r="F20" s="98"/>
      <c r="G20" s="98"/>
      <c r="H20" s="97" t="e">
        <f>+'[1]MEP FFP (2)'!#REF!</f>
        <v>#REF!</v>
      </c>
      <c r="I20" s="94" t="e">
        <f>SUM(C16:H20)</f>
        <v>#REF!</v>
      </c>
    </row>
    <row r="21" spans="1:9" ht="15" x14ac:dyDescent="0.35">
      <c r="A21" s="184" t="s">
        <v>27</v>
      </c>
      <c r="B21" s="180"/>
      <c r="C21" s="180"/>
      <c r="D21" s="180"/>
      <c r="E21" s="180"/>
      <c r="F21" s="180"/>
      <c r="G21" s="180"/>
      <c r="H21" s="180"/>
      <c r="I21" s="94"/>
    </row>
    <row r="22" spans="1:9" ht="15" x14ac:dyDescent="0.35">
      <c r="A22" s="95"/>
      <c r="B22" s="96" t="s">
        <v>28</v>
      </c>
      <c r="C22" s="97" t="e">
        <f>+'[1]MEP FFP (2)'!#REF!</f>
        <v>#REF!</v>
      </c>
      <c r="D22" s="98"/>
      <c r="E22" s="98"/>
      <c r="F22" s="98"/>
      <c r="G22" s="98"/>
      <c r="H22" s="98"/>
      <c r="I22" s="94"/>
    </row>
    <row r="23" spans="1:9" ht="15" x14ac:dyDescent="0.35">
      <c r="A23" s="95"/>
      <c r="B23" s="99" t="s">
        <v>29</v>
      </c>
      <c r="C23" s="98"/>
      <c r="D23" s="97" t="e">
        <f>+'[1]MEP FFP (2)'!#REF!</f>
        <v>#REF!</v>
      </c>
      <c r="E23" s="98"/>
      <c r="F23" s="98"/>
      <c r="G23" s="98"/>
      <c r="H23" s="98"/>
      <c r="I23" s="94"/>
    </row>
    <row r="24" spans="1:9" ht="15" x14ac:dyDescent="0.35">
      <c r="A24" s="95"/>
      <c r="B24" s="99" t="s">
        <v>30</v>
      </c>
      <c r="C24" s="98"/>
      <c r="D24" s="98"/>
      <c r="E24" s="97" t="e">
        <f>+'[1]MEP FFP (2)'!#REF!</f>
        <v>#REF!</v>
      </c>
      <c r="F24" s="98"/>
      <c r="G24" s="98"/>
      <c r="H24" s="98"/>
      <c r="I24" s="94"/>
    </row>
    <row r="25" spans="1:9" ht="15" x14ac:dyDescent="0.35">
      <c r="A25" s="95"/>
      <c r="B25" s="99" t="s">
        <v>31</v>
      </c>
      <c r="C25" s="98"/>
      <c r="D25" s="98"/>
      <c r="E25" s="98"/>
      <c r="F25" s="97" t="e">
        <f>+'[1]MEP FFP (2)'!#REF!</f>
        <v>#REF!</v>
      </c>
      <c r="G25" s="98"/>
      <c r="H25" s="98"/>
      <c r="I25" s="94"/>
    </row>
    <row r="26" spans="1:9" ht="15" x14ac:dyDescent="0.35">
      <c r="A26" s="95"/>
      <c r="B26" s="99" t="s">
        <v>32</v>
      </c>
      <c r="C26" s="98"/>
      <c r="D26" s="98"/>
      <c r="E26" s="98"/>
      <c r="F26" s="98"/>
      <c r="G26" s="97" t="e">
        <f>+'[1]MEP FFP (2)'!#REF!</f>
        <v>#REF!</v>
      </c>
      <c r="H26" s="98"/>
      <c r="I26" s="94"/>
    </row>
    <row r="27" spans="1:9" ht="15" x14ac:dyDescent="0.35">
      <c r="A27" s="95"/>
      <c r="B27" s="96" t="s">
        <v>33</v>
      </c>
      <c r="C27" s="98"/>
      <c r="D27" s="98"/>
      <c r="E27" s="98"/>
      <c r="F27" s="98"/>
      <c r="G27" s="98"/>
      <c r="H27" s="97" t="e">
        <f>+'[1]MEP FFP (2)'!#REF!</f>
        <v>#REF!</v>
      </c>
      <c r="I27" s="94" t="e">
        <f>SUM(C22:H27)</f>
        <v>#REF!</v>
      </c>
    </row>
    <row r="28" spans="1:9" ht="15" x14ac:dyDescent="0.35">
      <c r="A28" s="179" t="s">
        <v>34</v>
      </c>
      <c r="B28" s="180"/>
      <c r="C28" s="180"/>
      <c r="D28" s="180"/>
      <c r="E28" s="180"/>
      <c r="F28" s="180"/>
      <c r="G28" s="180"/>
      <c r="H28" s="180"/>
      <c r="I28" s="94"/>
    </row>
    <row r="29" spans="1:9" ht="15" x14ac:dyDescent="0.35">
      <c r="A29" s="95"/>
      <c r="B29" s="96" t="s">
        <v>35</v>
      </c>
      <c r="C29" s="97">
        <f>+'[1]MEP FFP (2)'!F73</f>
        <v>0</v>
      </c>
      <c r="D29" s="98"/>
      <c r="E29" s="98"/>
      <c r="F29" s="98"/>
      <c r="G29" s="98"/>
      <c r="H29" s="98"/>
      <c r="I29" s="94"/>
    </row>
    <row r="30" spans="1:9" ht="15" x14ac:dyDescent="0.35">
      <c r="A30" s="95"/>
      <c r="B30" s="99" t="s">
        <v>36</v>
      </c>
      <c r="C30" s="98"/>
      <c r="D30" s="97">
        <f>+'[1]MEP FFP (2)'!J73</f>
        <v>0</v>
      </c>
      <c r="E30" s="98"/>
      <c r="F30" s="98"/>
      <c r="G30" s="98"/>
      <c r="H30" s="98"/>
      <c r="I30" s="94"/>
    </row>
    <row r="31" spans="1:9" ht="15" x14ac:dyDescent="0.35">
      <c r="A31" s="95"/>
      <c r="B31" s="99" t="s">
        <v>37</v>
      </c>
      <c r="C31" s="98"/>
      <c r="D31" s="98"/>
      <c r="E31" s="97">
        <f>+'[1]MEP FFP (2)'!N73</f>
        <v>0</v>
      </c>
      <c r="F31" s="98"/>
      <c r="G31" s="98"/>
      <c r="H31" s="98"/>
      <c r="I31" s="94"/>
    </row>
    <row r="32" spans="1:9" ht="15" x14ac:dyDescent="0.35">
      <c r="A32" s="95"/>
      <c r="B32" s="99" t="s">
        <v>38</v>
      </c>
      <c r="C32" s="98"/>
      <c r="D32" s="98"/>
      <c r="E32" s="98"/>
      <c r="F32" s="97">
        <f>+'[1]MEP FFP (2)'!R73</f>
        <v>0</v>
      </c>
      <c r="G32" s="98"/>
      <c r="H32" s="98"/>
      <c r="I32" s="94"/>
    </row>
    <row r="33" spans="1:9" ht="15" x14ac:dyDescent="0.35">
      <c r="A33" s="95"/>
      <c r="B33" s="99" t="s">
        <v>39</v>
      </c>
      <c r="C33" s="98"/>
      <c r="D33" s="98"/>
      <c r="E33" s="98"/>
      <c r="F33" s="98"/>
      <c r="G33" s="97">
        <f>+'[1]MEP FFP (2)'!V73</f>
        <v>0</v>
      </c>
      <c r="H33" s="98"/>
      <c r="I33" s="94"/>
    </row>
    <row r="34" spans="1:9" ht="15" customHeight="1" x14ac:dyDescent="0.35">
      <c r="A34" s="95"/>
      <c r="B34" s="100" t="s">
        <v>40</v>
      </c>
      <c r="C34" s="98"/>
      <c r="D34" s="98"/>
      <c r="E34" s="98"/>
      <c r="F34" s="98"/>
      <c r="G34" s="98"/>
      <c r="H34" s="97">
        <f>+'[1]MEP FFP (2)'!Z73</f>
        <v>0</v>
      </c>
      <c r="I34" s="94">
        <f>SUM(C29:H34)</f>
        <v>0</v>
      </c>
    </row>
    <row r="35" spans="1:9" ht="15" x14ac:dyDescent="0.35">
      <c r="A35" s="179" t="s">
        <v>41</v>
      </c>
      <c r="B35" s="180"/>
      <c r="C35" s="180"/>
      <c r="D35" s="180"/>
      <c r="E35" s="180"/>
      <c r="F35" s="180"/>
      <c r="G35" s="180"/>
      <c r="H35" s="180"/>
      <c r="I35" s="94"/>
    </row>
    <row r="36" spans="1:9" ht="15" x14ac:dyDescent="0.35">
      <c r="A36" s="101"/>
      <c r="B36" s="96" t="s">
        <v>42</v>
      </c>
      <c r="C36" s="102">
        <f>'[1]MEP FFP (2)'!F78</f>
        <v>156481</v>
      </c>
      <c r="D36" s="103"/>
      <c r="E36" s="103"/>
      <c r="F36" s="103"/>
      <c r="G36" s="103"/>
      <c r="H36" s="103"/>
      <c r="I36" s="94"/>
    </row>
    <row r="37" spans="1:9" ht="15" x14ac:dyDescent="0.35">
      <c r="A37" s="101"/>
      <c r="B37" s="99" t="s">
        <v>43</v>
      </c>
      <c r="C37" s="103"/>
      <c r="D37" s="102">
        <f>'[1]MEP FFP (2)'!J78</f>
        <v>0</v>
      </c>
      <c r="E37" s="103"/>
      <c r="F37" s="103"/>
      <c r="G37" s="103"/>
      <c r="H37" s="103"/>
      <c r="I37" s="94"/>
    </row>
    <row r="38" spans="1:9" ht="15" x14ac:dyDescent="0.35">
      <c r="A38" s="101"/>
      <c r="B38" s="99" t="s">
        <v>44</v>
      </c>
      <c r="C38" s="103"/>
      <c r="D38" s="103"/>
      <c r="E38" s="102">
        <f>'[1]MEP FFP (2)'!N78</f>
        <v>0</v>
      </c>
      <c r="F38" s="103"/>
      <c r="G38" s="103"/>
      <c r="H38" s="103"/>
      <c r="I38" s="94"/>
    </row>
    <row r="39" spans="1:9" ht="15" x14ac:dyDescent="0.35">
      <c r="A39" s="101"/>
      <c r="B39" s="99" t="s">
        <v>45</v>
      </c>
      <c r="C39" s="103"/>
      <c r="D39" s="103"/>
      <c r="E39" s="103"/>
      <c r="F39" s="102">
        <f>'[1]MEP FFP (2)'!R78</f>
        <v>0</v>
      </c>
      <c r="G39" s="103"/>
      <c r="H39" s="103"/>
      <c r="I39" s="94"/>
    </row>
    <row r="40" spans="1:9" ht="15" x14ac:dyDescent="0.35">
      <c r="A40" s="101"/>
      <c r="B40" s="99" t="s">
        <v>46</v>
      </c>
      <c r="C40" s="103"/>
      <c r="D40" s="103"/>
      <c r="E40" s="103"/>
      <c r="F40" s="103"/>
      <c r="G40" s="102">
        <f>'[1]MEP FFP (2)'!V78</f>
        <v>0</v>
      </c>
      <c r="H40" s="103"/>
      <c r="I40" s="94"/>
    </row>
    <row r="41" spans="1:9" ht="15" x14ac:dyDescent="0.35">
      <c r="A41" s="101"/>
      <c r="B41" s="96" t="s">
        <v>47</v>
      </c>
      <c r="C41" s="103"/>
      <c r="D41" s="103"/>
      <c r="E41" s="103"/>
      <c r="F41" s="103"/>
      <c r="G41" s="103"/>
      <c r="H41" s="102">
        <f>'[1]MEP FFP (2)'!Z78</f>
        <v>0</v>
      </c>
      <c r="I41" s="94">
        <f>SUM(C36:H41)</f>
        <v>156481</v>
      </c>
    </row>
    <row r="42" spans="1:9" ht="15" x14ac:dyDescent="0.35">
      <c r="A42" s="179" t="s">
        <v>48</v>
      </c>
      <c r="B42" s="180"/>
      <c r="C42" s="180"/>
      <c r="D42" s="180"/>
      <c r="E42" s="180"/>
      <c r="F42" s="180"/>
      <c r="G42" s="180"/>
      <c r="H42" s="180"/>
      <c r="I42" s="94"/>
    </row>
    <row r="43" spans="1:9" ht="15" x14ac:dyDescent="0.35">
      <c r="A43" s="101"/>
      <c r="B43" s="96" t="s">
        <v>49</v>
      </c>
      <c r="C43" s="102">
        <f>'[1]MEP FFP (2)'!F83</f>
        <v>3542353</v>
      </c>
      <c r="D43" s="103"/>
      <c r="E43" s="103"/>
      <c r="F43" s="103"/>
      <c r="G43" s="103"/>
      <c r="H43" s="103"/>
      <c r="I43" s="94"/>
    </row>
    <row r="44" spans="1:9" ht="15" x14ac:dyDescent="0.35">
      <c r="A44" s="101"/>
      <c r="B44" s="99" t="s">
        <v>50</v>
      </c>
      <c r="C44" s="103"/>
      <c r="D44" s="102">
        <f>'[1]MEP FFP (2)'!J83</f>
        <v>0</v>
      </c>
      <c r="E44" s="103"/>
      <c r="F44" s="103"/>
      <c r="G44" s="103"/>
      <c r="H44" s="103"/>
      <c r="I44" s="94"/>
    </row>
    <row r="45" spans="1:9" ht="15" x14ac:dyDescent="0.35">
      <c r="A45" s="101"/>
      <c r="B45" s="99" t="s">
        <v>51</v>
      </c>
      <c r="C45" s="103"/>
      <c r="D45" s="103"/>
      <c r="E45" s="102">
        <f>'[1]MEP FFP (2)'!N83</f>
        <v>0</v>
      </c>
      <c r="F45" s="103"/>
      <c r="G45" s="103"/>
      <c r="H45" s="103"/>
      <c r="I45" s="94"/>
    </row>
    <row r="46" spans="1:9" ht="15" x14ac:dyDescent="0.35">
      <c r="A46" s="101"/>
      <c r="B46" s="99" t="s">
        <v>52</v>
      </c>
      <c r="C46" s="103"/>
      <c r="D46" s="103"/>
      <c r="E46" s="103"/>
      <c r="F46" s="102">
        <f>'[1]MEP FFP (2)'!R83</f>
        <v>0</v>
      </c>
      <c r="G46" s="103"/>
      <c r="H46" s="103"/>
      <c r="I46" s="94"/>
    </row>
    <row r="47" spans="1:9" ht="15" x14ac:dyDescent="0.35">
      <c r="A47" s="101"/>
      <c r="B47" s="99" t="s">
        <v>53</v>
      </c>
      <c r="C47" s="103"/>
      <c r="D47" s="103"/>
      <c r="E47" s="103"/>
      <c r="F47" s="103"/>
      <c r="G47" s="102">
        <f>'[1]MEP FFP (2)'!V83</f>
        <v>0</v>
      </c>
      <c r="H47" s="103"/>
      <c r="I47" s="94"/>
    </row>
    <row r="48" spans="1:9" ht="15" x14ac:dyDescent="0.35">
      <c r="A48" s="101"/>
      <c r="B48" s="96" t="s">
        <v>54</v>
      </c>
      <c r="C48" s="103"/>
      <c r="D48" s="103"/>
      <c r="E48" s="103"/>
      <c r="F48" s="103"/>
      <c r="G48" s="103"/>
      <c r="H48" s="102">
        <f>'[1]MEP FFP (2)'!Z83</f>
        <v>0</v>
      </c>
      <c r="I48" s="94">
        <f>SUM(C43:H48)</f>
        <v>3542353</v>
      </c>
    </row>
    <row r="49" spans="1:9" ht="15" x14ac:dyDescent="0.35">
      <c r="A49" s="179" t="s">
        <v>55</v>
      </c>
      <c r="B49" s="180"/>
      <c r="C49" s="180"/>
      <c r="D49" s="180"/>
      <c r="E49" s="180"/>
      <c r="F49" s="180"/>
      <c r="G49" s="180"/>
      <c r="H49" s="180"/>
      <c r="I49" s="94"/>
    </row>
    <row r="50" spans="1:9" ht="15" x14ac:dyDescent="0.35">
      <c r="A50" s="101"/>
      <c r="B50" s="96" t="s">
        <v>56</v>
      </c>
      <c r="C50" s="102">
        <f>+'[1]MEP FFP (2)'!F103</f>
        <v>263164</v>
      </c>
      <c r="D50" s="103"/>
      <c r="E50" s="103"/>
      <c r="F50" s="103"/>
      <c r="G50" s="103"/>
      <c r="H50" s="103"/>
      <c r="I50" s="94"/>
    </row>
    <row r="51" spans="1:9" ht="15" x14ac:dyDescent="0.35">
      <c r="A51" s="101"/>
      <c r="B51" s="99" t="s">
        <v>57</v>
      </c>
      <c r="C51" s="103"/>
      <c r="D51" s="102">
        <f>+'[1]MEP FFP (2)'!J103</f>
        <v>0</v>
      </c>
      <c r="E51" s="103"/>
      <c r="F51" s="103"/>
      <c r="G51" s="103"/>
      <c r="H51" s="103"/>
      <c r="I51" s="94"/>
    </row>
    <row r="52" spans="1:9" ht="15" x14ac:dyDescent="0.35">
      <c r="A52" s="101"/>
      <c r="B52" s="99" t="s">
        <v>58</v>
      </c>
      <c r="C52" s="103"/>
      <c r="D52" s="103"/>
      <c r="E52" s="102">
        <f>+'[1]MEP FFP (2)'!N103</f>
        <v>0</v>
      </c>
      <c r="F52" s="103"/>
      <c r="G52" s="103"/>
      <c r="H52" s="103"/>
      <c r="I52" s="94"/>
    </row>
    <row r="53" spans="1:9" ht="15" x14ac:dyDescent="0.35">
      <c r="A53" s="101"/>
      <c r="B53" s="99" t="s">
        <v>59</v>
      </c>
      <c r="C53" s="103"/>
      <c r="D53" s="103"/>
      <c r="E53" s="103"/>
      <c r="F53" s="102">
        <f>+'[1]MEP FFP (2)'!R103</f>
        <v>0</v>
      </c>
      <c r="G53" s="103"/>
      <c r="H53" s="103"/>
      <c r="I53" s="94"/>
    </row>
    <row r="54" spans="1:9" ht="15" x14ac:dyDescent="0.35">
      <c r="A54" s="101"/>
      <c r="B54" s="99" t="s">
        <v>60</v>
      </c>
      <c r="C54" s="103"/>
      <c r="D54" s="103"/>
      <c r="E54" s="103"/>
      <c r="F54" s="103"/>
      <c r="G54" s="102">
        <f>+'[1]MEP FFP (2)'!V103</f>
        <v>0</v>
      </c>
      <c r="H54" s="103"/>
      <c r="I54" s="94"/>
    </row>
    <row r="55" spans="1:9" ht="15" x14ac:dyDescent="0.35">
      <c r="A55" s="101"/>
      <c r="B55" s="96" t="s">
        <v>61</v>
      </c>
      <c r="C55" s="103"/>
      <c r="D55" s="103"/>
      <c r="E55" s="103"/>
      <c r="F55" s="103"/>
      <c r="G55" s="103"/>
      <c r="H55" s="102">
        <f>+'[1]MEP FFP (2)'!Z103</f>
        <v>0</v>
      </c>
      <c r="I55" s="94">
        <f>SUM(C50:H55)</f>
        <v>263164</v>
      </c>
    </row>
    <row r="56" spans="1:9" ht="15" x14ac:dyDescent="0.35">
      <c r="A56" s="179" t="s">
        <v>62</v>
      </c>
      <c r="B56" s="180"/>
      <c r="C56" s="180"/>
      <c r="D56" s="180"/>
      <c r="E56" s="180"/>
      <c r="F56" s="180"/>
      <c r="G56" s="180"/>
      <c r="H56" s="180"/>
      <c r="I56" s="94"/>
    </row>
    <row r="57" spans="1:9" ht="15" x14ac:dyDescent="0.35">
      <c r="A57" s="101"/>
      <c r="B57" s="96" t="s">
        <v>63</v>
      </c>
      <c r="C57" s="102">
        <f>+'[1]MEP FFP (2)'!F145</f>
        <v>8858355</v>
      </c>
      <c r="D57" s="103"/>
      <c r="E57" s="103"/>
      <c r="F57" s="103"/>
      <c r="G57" s="103"/>
      <c r="H57" s="103"/>
      <c r="I57" s="94"/>
    </row>
    <row r="58" spans="1:9" ht="15" x14ac:dyDescent="0.35">
      <c r="A58" s="101"/>
      <c r="B58" s="99" t="s">
        <v>64</v>
      </c>
      <c r="C58" s="103"/>
      <c r="D58" s="102">
        <f>+'[1]MEP FFP (2)'!J145</f>
        <v>0</v>
      </c>
      <c r="E58" s="103"/>
      <c r="F58" s="103"/>
      <c r="G58" s="103"/>
      <c r="H58" s="103"/>
      <c r="I58" s="94"/>
    </row>
    <row r="59" spans="1:9" ht="15" x14ac:dyDescent="0.35">
      <c r="A59" s="101"/>
      <c r="B59" s="96" t="s">
        <v>65</v>
      </c>
      <c r="C59" s="103"/>
      <c r="D59" s="103"/>
      <c r="E59" s="102">
        <f>+'[1]MEP FFP (2)'!N145</f>
        <v>0</v>
      </c>
      <c r="F59" s="103"/>
      <c r="G59" s="103"/>
      <c r="H59" s="103"/>
      <c r="I59" s="94"/>
    </row>
    <row r="60" spans="1:9" ht="15" x14ac:dyDescent="0.35">
      <c r="A60" s="101"/>
      <c r="B60" s="99" t="s">
        <v>66</v>
      </c>
      <c r="C60" s="103"/>
      <c r="D60" s="103"/>
      <c r="E60" s="103"/>
      <c r="F60" s="102">
        <f>+'[1]MEP FFP (2)'!R145</f>
        <v>0</v>
      </c>
      <c r="G60" s="103"/>
      <c r="H60" s="103"/>
      <c r="I60" s="94"/>
    </row>
    <row r="61" spans="1:9" ht="15" x14ac:dyDescent="0.35">
      <c r="A61" s="101"/>
      <c r="B61" s="99" t="s">
        <v>67</v>
      </c>
      <c r="C61" s="103"/>
      <c r="D61" s="103"/>
      <c r="E61" s="103"/>
      <c r="F61" s="102">
        <f>+'[1]MEP FFP (2)'!R145</f>
        <v>0</v>
      </c>
      <c r="G61" s="103"/>
      <c r="H61" s="103"/>
      <c r="I61" s="94"/>
    </row>
    <row r="62" spans="1:9" ht="15" x14ac:dyDescent="0.35">
      <c r="A62" s="101"/>
      <c r="B62" s="96" t="s">
        <v>68</v>
      </c>
      <c r="C62" s="103"/>
      <c r="D62" s="103"/>
      <c r="E62" s="103"/>
      <c r="F62" s="103"/>
      <c r="G62" s="102">
        <f>+'[1]MEP FFP (2)'!V145</f>
        <v>0</v>
      </c>
      <c r="H62" s="103"/>
      <c r="I62" s="94"/>
    </row>
    <row r="63" spans="1:9" ht="15" x14ac:dyDescent="0.35">
      <c r="A63" s="101"/>
      <c r="B63" s="99" t="s">
        <v>69</v>
      </c>
      <c r="C63" s="103"/>
      <c r="D63" s="103"/>
      <c r="E63" s="103"/>
      <c r="F63" s="103"/>
      <c r="G63" s="103"/>
      <c r="H63" s="102">
        <f>+'[1]MEP FFP (2)'!Z145</f>
        <v>0</v>
      </c>
      <c r="I63" s="94">
        <f>SUM(C57:H63)</f>
        <v>8858355</v>
      </c>
    </row>
    <row r="64" spans="1:9" ht="15" x14ac:dyDescent="0.35">
      <c r="A64" s="179" t="s">
        <v>70</v>
      </c>
      <c r="B64" s="180"/>
      <c r="C64" s="180"/>
      <c r="D64" s="180"/>
      <c r="E64" s="180"/>
      <c r="F64" s="180"/>
      <c r="G64" s="180"/>
      <c r="H64" s="180"/>
      <c r="I64" s="94"/>
    </row>
    <row r="65" spans="1:9" ht="15" x14ac:dyDescent="0.35">
      <c r="A65" s="101"/>
      <c r="B65" s="96" t="s">
        <v>71</v>
      </c>
      <c r="C65" s="102">
        <f>+'[1]MEP FFP (2)'!F152</f>
        <v>0</v>
      </c>
      <c r="D65" s="103"/>
      <c r="E65" s="103"/>
      <c r="F65" s="103"/>
      <c r="G65" s="103"/>
      <c r="H65" s="103"/>
      <c r="I65" s="94"/>
    </row>
    <row r="66" spans="1:9" ht="15" x14ac:dyDescent="0.35">
      <c r="A66" s="101"/>
      <c r="B66" s="99" t="s">
        <v>72</v>
      </c>
      <c r="C66" s="103"/>
      <c r="D66" s="102">
        <f>+'[1]MEP FFP (2)'!J152</f>
        <v>0</v>
      </c>
      <c r="E66" s="103"/>
      <c r="F66" s="103"/>
      <c r="G66" s="103"/>
      <c r="H66" s="103"/>
      <c r="I66" s="94"/>
    </row>
    <row r="67" spans="1:9" ht="15" x14ac:dyDescent="0.35">
      <c r="A67" s="101"/>
      <c r="B67" s="96" t="s">
        <v>73</v>
      </c>
      <c r="C67" s="103"/>
      <c r="D67" s="103"/>
      <c r="E67" s="102">
        <f>+'[1]MEP FFP (2)'!N152</f>
        <v>0</v>
      </c>
      <c r="F67" s="103"/>
      <c r="G67" s="103"/>
      <c r="H67" s="103"/>
      <c r="I67" s="94"/>
    </row>
    <row r="68" spans="1:9" ht="15" x14ac:dyDescent="0.35">
      <c r="A68" s="101"/>
      <c r="B68" s="99" t="s">
        <v>74</v>
      </c>
      <c r="C68" s="103"/>
      <c r="D68" s="103"/>
      <c r="E68" s="103"/>
      <c r="F68" s="102">
        <f>+'[1]MEP FFP (2)'!R152</f>
        <v>0</v>
      </c>
      <c r="G68" s="103"/>
      <c r="H68" s="103"/>
      <c r="I68" s="94"/>
    </row>
    <row r="69" spans="1:9" ht="15" x14ac:dyDescent="0.35">
      <c r="A69" s="101"/>
      <c r="B69" s="99" t="s">
        <v>75</v>
      </c>
      <c r="C69" s="103"/>
      <c r="D69" s="103"/>
      <c r="E69" s="103"/>
      <c r="F69" s="102">
        <f>+'[1]MEP FFP (2)'!R153</f>
        <v>0</v>
      </c>
      <c r="G69" s="103"/>
      <c r="H69" s="103"/>
      <c r="I69" s="94"/>
    </row>
    <row r="70" spans="1:9" ht="15" x14ac:dyDescent="0.35">
      <c r="A70" s="101"/>
      <c r="B70" s="96" t="s">
        <v>76</v>
      </c>
      <c r="C70" s="103"/>
      <c r="D70" s="103"/>
      <c r="E70" s="103"/>
      <c r="F70" s="103"/>
      <c r="G70" s="102">
        <f>+'[1]MEP FFP (2)'!V152</f>
        <v>0</v>
      </c>
      <c r="H70" s="103"/>
      <c r="I70" s="94"/>
    </row>
    <row r="71" spans="1:9" ht="15" x14ac:dyDescent="0.35">
      <c r="A71" s="101"/>
      <c r="B71" s="99" t="s">
        <v>77</v>
      </c>
      <c r="C71" s="103"/>
      <c r="D71" s="103"/>
      <c r="E71" s="103"/>
      <c r="F71" s="103"/>
      <c r="G71" s="103"/>
      <c r="H71" s="102">
        <f>+'[1]MEP FFP (2)'!Z152</f>
        <v>0</v>
      </c>
      <c r="I71" s="94">
        <f>SUM(C65:H71)</f>
        <v>0</v>
      </c>
    </row>
    <row r="72" spans="1:9" ht="15" x14ac:dyDescent="0.35">
      <c r="A72" s="179" t="s">
        <v>78</v>
      </c>
      <c r="B72" s="181"/>
      <c r="C72" s="104" t="e">
        <f t="shared" ref="C72:H72" si="0">SUM(C15:C71)</f>
        <v>#REF!</v>
      </c>
      <c r="D72" s="104" t="e">
        <f t="shared" si="0"/>
        <v>#REF!</v>
      </c>
      <c r="E72" s="104" t="e">
        <f t="shared" si="0"/>
        <v>#REF!</v>
      </c>
      <c r="F72" s="104" t="e">
        <f t="shared" si="0"/>
        <v>#REF!</v>
      </c>
      <c r="G72" s="104" t="e">
        <f t="shared" si="0"/>
        <v>#REF!</v>
      </c>
      <c r="H72" s="104" t="e">
        <f t="shared" si="0"/>
        <v>#REF!</v>
      </c>
      <c r="I72" s="104" t="e">
        <f>SUM(C72:H72)</f>
        <v>#REF!</v>
      </c>
    </row>
    <row r="73" spans="1:9" x14ac:dyDescent="0.35">
      <c r="I73" s="106" t="s">
        <v>79</v>
      </c>
    </row>
    <row r="74" spans="1:9" x14ac:dyDescent="0.35">
      <c r="I74" s="106" t="e">
        <f>IF(I72=SUM(I15:I71),"Ok","Error")</f>
        <v>#REF!</v>
      </c>
    </row>
  </sheetData>
  <mergeCells count="9">
    <mergeCell ref="A56:H56"/>
    <mergeCell ref="A64:H64"/>
    <mergeCell ref="A72:B72"/>
    <mergeCell ref="A14:H14"/>
    <mergeCell ref="A21:H21"/>
    <mergeCell ref="A28:H28"/>
    <mergeCell ref="A35:H35"/>
    <mergeCell ref="A42:H42"/>
    <mergeCell ref="A49:H49"/>
  </mergeCells>
  <printOptions horizontalCentered="1"/>
  <pageMargins left="0.25" right="0.25" top="0.5" bottom="0.5" header="0.3" footer="0.3"/>
  <pageSetup paperSize="9" scale="54" fitToHeight="0" orientation="landscape" verticalDpi="597" r:id="rId1"/>
  <headerFooter>
    <oddFooter>&amp;C&amp;1#&amp;"Times New Roman"&amp;10&amp;K000000SENSITIVE BUT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4"/>
  <sheetViews>
    <sheetView showGridLines="0" zoomScale="90" zoomScaleNormal="90" zoomScaleSheetLayoutView="100" workbookViewId="0">
      <selection activeCell="B46" sqref="B46"/>
    </sheetView>
  </sheetViews>
  <sheetFormatPr defaultColWidth="9.1796875" defaultRowHeight="14.5" x14ac:dyDescent="0.35"/>
  <cols>
    <col min="1" max="1" width="2.453125" style="82" customWidth="1"/>
    <col min="2" max="2" width="34.1796875" style="105" customWidth="1"/>
    <col min="3" max="8" width="20.54296875" style="82" customWidth="1"/>
    <col min="9" max="9" width="20.1796875" style="82" customWidth="1"/>
    <col min="10" max="16384" width="9.1796875" style="82"/>
  </cols>
  <sheetData>
    <row r="1" spans="1:9" s="68" customFormat="1" ht="22.5" customHeight="1" x14ac:dyDescent="0.35">
      <c r="A1" s="63" t="s">
        <v>0</v>
      </c>
      <c r="B1" s="64"/>
      <c r="C1" s="53"/>
      <c r="D1" s="65"/>
      <c r="E1" s="66" t="s">
        <v>1</v>
      </c>
      <c r="F1" s="67"/>
      <c r="G1" s="67"/>
      <c r="H1" s="65"/>
      <c r="I1" s="65"/>
    </row>
    <row r="2" spans="1:9" s="68" customFormat="1" ht="22.5" customHeight="1" x14ac:dyDescent="0.35">
      <c r="A2" s="63" t="s">
        <v>2</v>
      </c>
      <c r="B2" s="64"/>
      <c r="C2" s="53"/>
      <c r="D2" s="65"/>
      <c r="E2" s="66"/>
      <c r="F2" s="67"/>
      <c r="G2" s="67"/>
      <c r="H2" s="65"/>
      <c r="I2" s="65"/>
    </row>
    <row r="3" spans="1:9" s="68" customFormat="1" ht="22.5" customHeight="1" x14ac:dyDescent="0.35">
      <c r="A3" s="63" t="s">
        <v>3</v>
      </c>
      <c r="B3" s="64"/>
      <c r="C3" s="53"/>
      <c r="D3" s="65"/>
      <c r="E3" s="65"/>
      <c r="F3" s="65"/>
      <c r="G3" s="65"/>
      <c r="H3" s="65"/>
      <c r="I3" s="65"/>
    </row>
    <row r="4" spans="1:9" s="68" customFormat="1" ht="22.5" customHeight="1" x14ac:dyDescent="0.35">
      <c r="A4" s="63" t="s">
        <v>4</v>
      </c>
      <c r="B4" s="64"/>
      <c r="C4" s="53"/>
      <c r="D4" s="65"/>
      <c r="E4" s="65"/>
      <c r="F4" s="65"/>
      <c r="G4" s="65"/>
      <c r="H4" s="65"/>
      <c r="I4" s="65"/>
    </row>
    <row r="5" spans="1:9" s="68" customFormat="1" ht="15.5" x14ac:dyDescent="0.35">
      <c r="A5" s="64"/>
      <c r="B5" s="69" t="s">
        <v>5</v>
      </c>
      <c r="C5" s="53"/>
      <c r="D5" s="70"/>
      <c r="E5" s="65"/>
      <c r="F5" s="65"/>
      <c r="G5" s="65"/>
      <c r="H5" s="65"/>
      <c r="I5" s="65"/>
    </row>
    <row r="6" spans="1:9" s="68" customFormat="1" ht="15.5" x14ac:dyDescent="0.35">
      <c r="A6" s="64"/>
      <c r="B6" s="69" t="s">
        <v>6</v>
      </c>
      <c r="C6" s="54"/>
      <c r="D6" s="71"/>
      <c r="E6" s="72"/>
      <c r="F6" s="65"/>
      <c r="G6" s="65"/>
      <c r="H6" s="65"/>
      <c r="I6" s="65"/>
    </row>
    <row r="7" spans="1:9" s="68" customFormat="1" ht="15.5" x14ac:dyDescent="0.35">
      <c r="A7" s="63"/>
      <c r="B7" s="69" t="s">
        <v>7</v>
      </c>
      <c r="C7" s="54"/>
      <c r="D7" s="71"/>
      <c r="E7" s="72"/>
      <c r="F7" s="65"/>
      <c r="G7" s="65"/>
      <c r="H7" s="65"/>
      <c r="I7" s="65"/>
    </row>
    <row r="8" spans="1:9" s="68" customFormat="1" ht="15.5" x14ac:dyDescent="0.35">
      <c r="A8" s="73"/>
      <c r="B8" s="69" t="s">
        <v>8</v>
      </c>
      <c r="C8" s="54"/>
      <c r="D8" s="71"/>
      <c r="E8" s="72"/>
      <c r="F8" s="65"/>
      <c r="G8" s="65"/>
      <c r="H8" s="65"/>
      <c r="I8" s="65"/>
    </row>
    <row r="9" spans="1:9" s="68" customFormat="1" ht="15.5" x14ac:dyDescent="0.35">
      <c r="A9" s="73"/>
      <c r="B9" s="69" t="s">
        <v>9</v>
      </c>
      <c r="C9" s="54"/>
      <c r="D9" s="71"/>
      <c r="E9" s="72"/>
      <c r="F9" s="65"/>
      <c r="G9" s="65"/>
      <c r="H9" s="65"/>
      <c r="I9" s="65"/>
    </row>
    <row r="10" spans="1:9" s="68" customFormat="1" ht="15.5" x14ac:dyDescent="0.35">
      <c r="A10" s="73"/>
      <c r="B10" s="69" t="s">
        <v>10</v>
      </c>
      <c r="C10" s="54"/>
      <c r="D10" s="71"/>
      <c r="E10" s="72"/>
      <c r="F10" s="65"/>
      <c r="G10" s="65"/>
      <c r="H10" s="65"/>
      <c r="I10" s="65"/>
    </row>
    <row r="11" spans="1:9" s="68" customFormat="1" ht="15" customHeight="1" x14ac:dyDescent="0.35">
      <c r="A11" s="74"/>
      <c r="B11" s="75"/>
      <c r="C11" s="76"/>
      <c r="D11" s="76"/>
      <c r="E11" s="76"/>
      <c r="F11" s="76"/>
      <c r="G11" s="76"/>
      <c r="H11" s="76"/>
      <c r="I11" s="77"/>
    </row>
    <row r="12" spans="1:9" ht="20" x14ac:dyDescent="0.35">
      <c r="A12" s="78" t="s">
        <v>11</v>
      </c>
      <c r="B12" s="79"/>
      <c r="C12" s="80"/>
      <c r="D12" s="80"/>
      <c r="E12" s="80"/>
      <c r="F12" s="80"/>
      <c r="G12" s="80"/>
      <c r="H12" s="80"/>
      <c r="I12" s="81"/>
    </row>
    <row r="13" spans="1:9" s="87" customFormat="1" ht="15.5" x14ac:dyDescent="0.35">
      <c r="A13" s="83" t="s">
        <v>12</v>
      </c>
      <c r="B13" s="84"/>
      <c r="C13" s="85" t="s">
        <v>13</v>
      </c>
      <c r="D13" s="85" t="s">
        <v>14</v>
      </c>
      <c r="E13" s="85" t="s">
        <v>15</v>
      </c>
      <c r="F13" s="85" t="s">
        <v>16</v>
      </c>
      <c r="G13" s="85" t="s">
        <v>17</v>
      </c>
      <c r="H13" s="85" t="s">
        <v>18</v>
      </c>
      <c r="I13" s="86" t="s">
        <v>19</v>
      </c>
    </row>
    <row r="14" spans="1:9" ht="15" x14ac:dyDescent="0.35">
      <c r="A14" s="182" t="s">
        <v>80</v>
      </c>
      <c r="B14" s="183"/>
      <c r="C14" s="183"/>
      <c r="D14" s="183"/>
      <c r="E14" s="183"/>
      <c r="F14" s="183"/>
      <c r="G14" s="183"/>
      <c r="H14" s="183"/>
      <c r="I14" s="88"/>
    </row>
    <row r="15" spans="1:9" ht="15" x14ac:dyDescent="0.35">
      <c r="A15" s="89"/>
      <c r="B15" s="99" t="s">
        <v>81</v>
      </c>
      <c r="C15" s="91">
        <f>+'[1]MEP FFP (2)'!F14</f>
        <v>0</v>
      </c>
      <c r="D15" s="92"/>
      <c r="E15" s="92"/>
      <c r="F15" s="92"/>
      <c r="G15" s="92"/>
      <c r="H15" s="93"/>
      <c r="I15" s="94">
        <f>SUM(C15:H15)</f>
        <v>0</v>
      </c>
    </row>
    <row r="16" spans="1:9" ht="15" x14ac:dyDescent="0.35">
      <c r="A16" s="95"/>
      <c r="B16" s="99" t="s">
        <v>22</v>
      </c>
      <c r="C16" s="98"/>
      <c r="D16" s="97" t="e">
        <f>+'[1]MEP FFP (2)'!#REF!</f>
        <v>#REF!</v>
      </c>
      <c r="E16" s="98"/>
      <c r="F16" s="98"/>
      <c r="G16" s="98"/>
      <c r="H16" s="98"/>
      <c r="I16" s="94"/>
    </row>
    <row r="17" spans="1:9" ht="15" x14ac:dyDescent="0.35">
      <c r="A17" s="95"/>
      <c r="B17" s="99" t="s">
        <v>23</v>
      </c>
      <c r="C17" s="98"/>
      <c r="D17" s="98"/>
      <c r="E17" s="97" t="e">
        <f>+'[1]MEP FFP (2)'!#REF!</f>
        <v>#REF!</v>
      </c>
      <c r="F17" s="98"/>
      <c r="G17" s="98"/>
      <c r="H17" s="98"/>
      <c r="I17" s="94"/>
    </row>
    <row r="18" spans="1:9" ht="15" x14ac:dyDescent="0.35">
      <c r="A18" s="95"/>
      <c r="B18" s="99" t="s">
        <v>24</v>
      </c>
      <c r="C18" s="98"/>
      <c r="D18" s="98"/>
      <c r="E18" s="98"/>
      <c r="F18" s="97" t="e">
        <f>+'[1]MEP FFP (2)'!#REF!</f>
        <v>#REF!</v>
      </c>
      <c r="G18" s="98"/>
      <c r="H18" s="98"/>
      <c r="I18" s="94"/>
    </row>
    <row r="19" spans="1:9" ht="15" x14ac:dyDescent="0.35">
      <c r="A19" s="95"/>
      <c r="B19" s="99" t="s">
        <v>25</v>
      </c>
      <c r="C19" s="98"/>
      <c r="D19" s="98"/>
      <c r="E19" s="98"/>
      <c r="F19" s="98"/>
      <c r="G19" s="97" t="e">
        <f>+'[1]MEP FFP (2)'!#REF!</f>
        <v>#REF!</v>
      </c>
      <c r="H19" s="98"/>
      <c r="I19" s="94"/>
    </row>
    <row r="20" spans="1:9" ht="15" x14ac:dyDescent="0.35">
      <c r="A20" s="95"/>
      <c r="B20" s="96" t="s">
        <v>26</v>
      </c>
      <c r="C20" s="98"/>
      <c r="D20" s="98"/>
      <c r="E20" s="98"/>
      <c r="F20" s="98"/>
      <c r="G20" s="98"/>
      <c r="H20" s="97" t="e">
        <f>+'[1]MEP FFP (2)'!#REF!</f>
        <v>#REF!</v>
      </c>
      <c r="I20" s="94" t="e">
        <f>SUM(C16:H20)</f>
        <v>#REF!</v>
      </c>
    </row>
    <row r="21" spans="1:9" ht="15" x14ac:dyDescent="0.35">
      <c r="A21" s="184" t="s">
        <v>27</v>
      </c>
      <c r="B21" s="180"/>
      <c r="C21" s="180"/>
      <c r="D21" s="180"/>
      <c r="E21" s="180"/>
      <c r="F21" s="180"/>
      <c r="G21" s="180"/>
      <c r="H21" s="180"/>
      <c r="I21" s="94"/>
    </row>
    <row r="22" spans="1:9" ht="15" x14ac:dyDescent="0.35">
      <c r="A22" s="95"/>
      <c r="B22" s="96" t="s">
        <v>28</v>
      </c>
      <c r="C22" s="97" t="e">
        <f>+'[1]MEP FFP (2)'!#REF!</f>
        <v>#REF!</v>
      </c>
      <c r="D22" s="98"/>
      <c r="E22" s="98"/>
      <c r="F22" s="98"/>
      <c r="G22" s="98"/>
      <c r="H22" s="98"/>
      <c r="I22" s="94"/>
    </row>
    <row r="23" spans="1:9" ht="15" x14ac:dyDescent="0.35">
      <c r="A23" s="95"/>
      <c r="B23" s="99" t="s">
        <v>29</v>
      </c>
      <c r="C23" s="98"/>
      <c r="D23" s="97" t="e">
        <f>+'[1]MEP FFP (2)'!#REF!</f>
        <v>#REF!</v>
      </c>
      <c r="E23" s="98"/>
      <c r="F23" s="98"/>
      <c r="G23" s="98"/>
      <c r="H23" s="98"/>
      <c r="I23" s="94"/>
    </row>
    <row r="24" spans="1:9" ht="15" x14ac:dyDescent="0.35">
      <c r="A24" s="95"/>
      <c r="B24" s="99" t="s">
        <v>30</v>
      </c>
      <c r="C24" s="98"/>
      <c r="D24" s="98"/>
      <c r="E24" s="97" t="e">
        <f>+'[1]MEP FFP (2)'!#REF!</f>
        <v>#REF!</v>
      </c>
      <c r="F24" s="98"/>
      <c r="G24" s="98"/>
      <c r="H24" s="98"/>
      <c r="I24" s="94"/>
    </row>
    <row r="25" spans="1:9" ht="15" x14ac:dyDescent="0.35">
      <c r="A25" s="95"/>
      <c r="B25" s="99" t="s">
        <v>82</v>
      </c>
      <c r="C25" s="98"/>
      <c r="D25" s="98"/>
      <c r="E25" s="98"/>
      <c r="F25" s="97" t="e">
        <f>+'[1]MEP FFP (2)'!#REF!</f>
        <v>#REF!</v>
      </c>
      <c r="G25" s="98"/>
      <c r="H25" s="98"/>
      <c r="I25" s="94"/>
    </row>
    <row r="26" spans="1:9" ht="15" x14ac:dyDescent="0.35">
      <c r="A26" s="95"/>
      <c r="B26" s="99" t="s">
        <v>32</v>
      </c>
      <c r="C26" s="98"/>
      <c r="D26" s="98"/>
      <c r="E26" s="98"/>
      <c r="F26" s="98"/>
      <c r="G26" s="97" t="e">
        <f>+'[1]MEP FFP (2)'!#REF!</f>
        <v>#REF!</v>
      </c>
      <c r="H26" s="98"/>
      <c r="I26" s="94"/>
    </row>
    <row r="27" spans="1:9" ht="15" x14ac:dyDescent="0.35">
      <c r="A27" s="95"/>
      <c r="B27" s="96" t="s">
        <v>83</v>
      </c>
      <c r="C27" s="98"/>
      <c r="D27" s="98"/>
      <c r="E27" s="98"/>
      <c r="F27" s="98"/>
      <c r="G27" s="98"/>
      <c r="H27" s="97" t="e">
        <f>+'[1]MEP FFP (2)'!#REF!</f>
        <v>#REF!</v>
      </c>
      <c r="I27" s="94" t="e">
        <f>SUM(C22:H27)</f>
        <v>#REF!</v>
      </c>
    </row>
    <row r="28" spans="1:9" ht="15" x14ac:dyDescent="0.35">
      <c r="A28" s="179" t="s">
        <v>34</v>
      </c>
      <c r="B28" s="180"/>
      <c r="C28" s="180"/>
      <c r="D28" s="180"/>
      <c r="E28" s="180"/>
      <c r="F28" s="180"/>
      <c r="G28" s="180"/>
      <c r="H28" s="180"/>
      <c r="I28" s="94"/>
    </row>
    <row r="29" spans="1:9" ht="15" x14ac:dyDescent="0.35">
      <c r="A29" s="95"/>
      <c r="B29" s="96" t="s">
        <v>35</v>
      </c>
      <c r="C29" s="97">
        <f>+'[1]MEP FFP (2)'!F73</f>
        <v>0</v>
      </c>
      <c r="D29" s="98"/>
      <c r="E29" s="98"/>
      <c r="F29" s="98"/>
      <c r="G29" s="98"/>
      <c r="H29" s="98"/>
      <c r="I29" s="94"/>
    </row>
    <row r="30" spans="1:9" ht="15" x14ac:dyDescent="0.35">
      <c r="A30" s="95"/>
      <c r="B30" s="99" t="s">
        <v>36</v>
      </c>
      <c r="C30" s="98"/>
      <c r="D30" s="97">
        <f>+'[1]MEP FFP (2)'!J73</f>
        <v>0</v>
      </c>
      <c r="E30" s="98"/>
      <c r="F30" s="98"/>
      <c r="G30" s="98"/>
      <c r="H30" s="98"/>
      <c r="I30" s="94"/>
    </row>
    <row r="31" spans="1:9" ht="15" x14ac:dyDescent="0.35">
      <c r="A31" s="95"/>
      <c r="B31" s="99" t="s">
        <v>37</v>
      </c>
      <c r="C31" s="98"/>
      <c r="D31" s="98"/>
      <c r="E31" s="97">
        <f>+'[1]MEP FFP (2)'!N73</f>
        <v>0</v>
      </c>
      <c r="F31" s="98"/>
      <c r="G31" s="98"/>
      <c r="H31" s="98"/>
      <c r="I31" s="94"/>
    </row>
    <row r="32" spans="1:9" ht="15" x14ac:dyDescent="0.35">
      <c r="A32" s="95"/>
      <c r="B32" s="99" t="s">
        <v>38</v>
      </c>
      <c r="C32" s="98"/>
      <c r="D32" s="98"/>
      <c r="E32" s="98"/>
      <c r="F32" s="97">
        <f>+'[1]MEP FFP (2)'!R73</f>
        <v>0</v>
      </c>
      <c r="G32" s="98"/>
      <c r="H32" s="98"/>
      <c r="I32" s="94"/>
    </row>
    <row r="33" spans="1:9" ht="15" x14ac:dyDescent="0.35">
      <c r="A33" s="95"/>
      <c r="B33" s="99" t="s">
        <v>39</v>
      </c>
      <c r="C33" s="98"/>
      <c r="D33" s="98"/>
      <c r="E33" s="98"/>
      <c r="F33" s="98"/>
      <c r="G33" s="97">
        <f>+'[1]MEP FFP (2)'!V73</f>
        <v>0</v>
      </c>
      <c r="H33" s="98"/>
      <c r="I33" s="94"/>
    </row>
    <row r="34" spans="1:9" ht="15" customHeight="1" x14ac:dyDescent="0.35">
      <c r="A34" s="95"/>
      <c r="B34" s="100" t="s">
        <v>40</v>
      </c>
      <c r="C34" s="98"/>
      <c r="D34" s="98"/>
      <c r="E34" s="98"/>
      <c r="F34" s="98"/>
      <c r="G34" s="98"/>
      <c r="H34" s="97">
        <f>+'[1]MEP FFP (2)'!Z73</f>
        <v>0</v>
      </c>
      <c r="I34" s="94">
        <f>SUM(C29:H34)</f>
        <v>0</v>
      </c>
    </row>
    <row r="35" spans="1:9" ht="15" x14ac:dyDescent="0.35">
      <c r="A35" s="179" t="s">
        <v>41</v>
      </c>
      <c r="B35" s="180"/>
      <c r="C35" s="180"/>
      <c r="D35" s="180"/>
      <c r="E35" s="180"/>
      <c r="F35" s="180"/>
      <c r="G35" s="180"/>
      <c r="H35" s="180"/>
      <c r="I35" s="94"/>
    </row>
    <row r="36" spans="1:9" ht="15" x14ac:dyDescent="0.35">
      <c r="A36" s="101"/>
      <c r="B36" s="96" t="s">
        <v>42</v>
      </c>
      <c r="C36" s="102">
        <f>'[1]MEP FFP (2)'!F78</f>
        <v>156481</v>
      </c>
      <c r="D36" s="103"/>
      <c r="E36" s="103"/>
      <c r="F36" s="103"/>
      <c r="G36" s="103"/>
      <c r="H36" s="103"/>
      <c r="I36" s="94"/>
    </row>
    <row r="37" spans="1:9" ht="15" x14ac:dyDescent="0.35">
      <c r="A37" s="101"/>
      <c r="B37" s="99" t="s">
        <v>43</v>
      </c>
      <c r="C37" s="103"/>
      <c r="D37" s="102">
        <f>'[1]MEP FFP (2)'!J78</f>
        <v>0</v>
      </c>
      <c r="E37" s="103"/>
      <c r="F37" s="103"/>
      <c r="G37" s="103"/>
      <c r="H37" s="103"/>
      <c r="I37" s="94"/>
    </row>
    <row r="38" spans="1:9" ht="15" x14ac:dyDescent="0.35">
      <c r="A38" s="101"/>
      <c r="B38" s="99" t="s">
        <v>44</v>
      </c>
      <c r="C38" s="103"/>
      <c r="D38" s="103"/>
      <c r="E38" s="102">
        <f>'[1]MEP FFP (2)'!N78</f>
        <v>0</v>
      </c>
      <c r="F38" s="103"/>
      <c r="G38" s="103"/>
      <c r="H38" s="103"/>
      <c r="I38" s="94"/>
    </row>
    <row r="39" spans="1:9" ht="15" x14ac:dyDescent="0.35">
      <c r="A39" s="101"/>
      <c r="B39" s="99" t="s">
        <v>84</v>
      </c>
      <c r="C39" s="103"/>
      <c r="D39" s="103"/>
      <c r="E39" s="103"/>
      <c r="F39" s="102">
        <f>'[1]MEP FFP (2)'!R78</f>
        <v>0</v>
      </c>
      <c r="G39" s="103"/>
      <c r="H39" s="103"/>
      <c r="I39" s="94"/>
    </row>
    <row r="40" spans="1:9" ht="15" x14ac:dyDescent="0.35">
      <c r="A40" s="101"/>
      <c r="B40" s="99" t="s">
        <v>46</v>
      </c>
      <c r="C40" s="103"/>
      <c r="D40" s="103"/>
      <c r="E40" s="103"/>
      <c r="F40" s="103"/>
      <c r="G40" s="102">
        <f>'[1]MEP FFP (2)'!V78</f>
        <v>0</v>
      </c>
      <c r="H40" s="103"/>
      <c r="I40" s="94"/>
    </row>
    <row r="41" spans="1:9" ht="15" x14ac:dyDescent="0.35">
      <c r="A41" s="101"/>
      <c r="B41" s="96" t="s">
        <v>47</v>
      </c>
      <c r="C41" s="103"/>
      <c r="D41" s="103"/>
      <c r="E41" s="103"/>
      <c r="F41" s="103"/>
      <c r="G41" s="103"/>
      <c r="H41" s="102">
        <f>'[1]MEP FFP (2)'!Z78</f>
        <v>0</v>
      </c>
      <c r="I41" s="94">
        <f>SUM(C36:H41)</f>
        <v>156481</v>
      </c>
    </row>
    <row r="42" spans="1:9" ht="15" x14ac:dyDescent="0.35">
      <c r="A42" s="179" t="s">
        <v>48</v>
      </c>
      <c r="B42" s="180"/>
      <c r="C42" s="180"/>
      <c r="D42" s="180"/>
      <c r="E42" s="180"/>
      <c r="F42" s="180"/>
      <c r="G42" s="180"/>
      <c r="H42" s="180"/>
      <c r="I42" s="94"/>
    </row>
    <row r="43" spans="1:9" ht="15" x14ac:dyDescent="0.35">
      <c r="A43" s="101"/>
      <c r="B43" s="96" t="s">
        <v>49</v>
      </c>
      <c r="C43" s="102">
        <f>'[1]MEP FFP (2)'!F83</f>
        <v>3542353</v>
      </c>
      <c r="D43" s="103"/>
      <c r="E43" s="103"/>
      <c r="F43" s="103"/>
      <c r="G43" s="103"/>
      <c r="H43" s="103"/>
      <c r="I43" s="94"/>
    </row>
    <row r="44" spans="1:9" ht="15" x14ac:dyDescent="0.35">
      <c r="A44" s="101"/>
      <c r="B44" s="99" t="s">
        <v>50</v>
      </c>
      <c r="C44" s="103"/>
      <c r="D44" s="102">
        <f>'[1]MEP FFP (2)'!J83</f>
        <v>0</v>
      </c>
      <c r="E44" s="103"/>
      <c r="F44" s="103"/>
      <c r="G44" s="103"/>
      <c r="H44" s="103"/>
      <c r="I44" s="94"/>
    </row>
    <row r="45" spans="1:9" ht="15" x14ac:dyDescent="0.35">
      <c r="A45" s="101"/>
      <c r="B45" s="99" t="s">
        <v>51</v>
      </c>
      <c r="C45" s="103"/>
      <c r="D45" s="103"/>
      <c r="E45" s="102">
        <f>'[1]MEP FFP (2)'!N83</f>
        <v>0</v>
      </c>
      <c r="F45" s="103"/>
      <c r="G45" s="103"/>
      <c r="H45" s="103"/>
      <c r="I45" s="94"/>
    </row>
    <row r="46" spans="1:9" ht="15" x14ac:dyDescent="0.35">
      <c r="A46" s="101"/>
      <c r="B46" s="99" t="s">
        <v>52</v>
      </c>
      <c r="C46" s="103"/>
      <c r="D46" s="103"/>
      <c r="E46" s="103"/>
      <c r="F46" s="102">
        <f>'[1]MEP FFP (2)'!R83</f>
        <v>0</v>
      </c>
      <c r="G46" s="103"/>
      <c r="H46" s="103"/>
      <c r="I46" s="94"/>
    </row>
    <row r="47" spans="1:9" ht="15" x14ac:dyDescent="0.35">
      <c r="A47" s="101"/>
      <c r="B47" s="99" t="s">
        <v>53</v>
      </c>
      <c r="C47" s="103"/>
      <c r="D47" s="103"/>
      <c r="E47" s="103"/>
      <c r="F47" s="103"/>
      <c r="G47" s="102">
        <f>'[1]MEP FFP (2)'!V83</f>
        <v>0</v>
      </c>
      <c r="H47" s="103"/>
      <c r="I47" s="94"/>
    </row>
    <row r="48" spans="1:9" ht="15" x14ac:dyDescent="0.35">
      <c r="A48" s="101"/>
      <c r="B48" s="96" t="s">
        <v>54</v>
      </c>
      <c r="C48" s="103"/>
      <c r="D48" s="103"/>
      <c r="E48" s="103"/>
      <c r="F48" s="103"/>
      <c r="G48" s="103"/>
      <c r="H48" s="102">
        <f>'[1]MEP FFP (2)'!Z83</f>
        <v>0</v>
      </c>
      <c r="I48" s="94">
        <f>SUM(C43:H48)</f>
        <v>3542353</v>
      </c>
    </row>
    <row r="49" spans="1:9" ht="15" x14ac:dyDescent="0.35">
      <c r="A49" s="179" t="s">
        <v>55</v>
      </c>
      <c r="B49" s="180"/>
      <c r="C49" s="180"/>
      <c r="D49" s="180"/>
      <c r="E49" s="180"/>
      <c r="F49" s="180"/>
      <c r="G49" s="180"/>
      <c r="H49" s="180"/>
      <c r="I49" s="94"/>
    </row>
    <row r="50" spans="1:9" ht="15" x14ac:dyDescent="0.35">
      <c r="A50" s="101"/>
      <c r="B50" s="96" t="s">
        <v>56</v>
      </c>
      <c r="C50" s="102">
        <f>+'[1]MEP FFP (2)'!F103</f>
        <v>263164</v>
      </c>
      <c r="D50" s="103"/>
      <c r="E50" s="103"/>
      <c r="F50" s="103"/>
      <c r="G50" s="103"/>
      <c r="H50" s="103"/>
      <c r="I50" s="94"/>
    </row>
    <row r="51" spans="1:9" ht="15" x14ac:dyDescent="0.35">
      <c r="A51" s="101"/>
      <c r="B51" s="99" t="s">
        <v>57</v>
      </c>
      <c r="C51" s="103"/>
      <c r="D51" s="102">
        <f>+'[1]MEP FFP (2)'!J103</f>
        <v>0</v>
      </c>
      <c r="E51" s="103"/>
      <c r="F51" s="103"/>
      <c r="G51" s="103"/>
      <c r="H51" s="103"/>
      <c r="I51" s="94"/>
    </row>
    <row r="52" spans="1:9" ht="15" x14ac:dyDescent="0.35">
      <c r="A52" s="101"/>
      <c r="B52" s="99" t="s">
        <v>58</v>
      </c>
      <c r="C52" s="103"/>
      <c r="D52" s="103"/>
      <c r="E52" s="102">
        <f>+'[1]MEP FFP (2)'!N103</f>
        <v>0</v>
      </c>
      <c r="F52" s="103"/>
      <c r="G52" s="103"/>
      <c r="H52" s="103"/>
      <c r="I52" s="94"/>
    </row>
    <row r="53" spans="1:9" ht="15" x14ac:dyDescent="0.35">
      <c r="A53" s="101"/>
      <c r="B53" s="99" t="s">
        <v>59</v>
      </c>
      <c r="C53" s="103"/>
      <c r="D53" s="103"/>
      <c r="E53" s="103"/>
      <c r="F53" s="102">
        <f>+'[1]MEP FFP (2)'!R103</f>
        <v>0</v>
      </c>
      <c r="G53" s="103"/>
      <c r="H53" s="103"/>
      <c r="I53" s="94"/>
    </row>
    <row r="54" spans="1:9" ht="15" x14ac:dyDescent="0.35">
      <c r="A54" s="101"/>
      <c r="B54" s="99" t="s">
        <v>60</v>
      </c>
      <c r="C54" s="103"/>
      <c r="D54" s="103"/>
      <c r="E54" s="103"/>
      <c r="F54" s="103"/>
      <c r="G54" s="102">
        <f>+'[1]MEP FFP (2)'!V103</f>
        <v>0</v>
      </c>
      <c r="H54" s="103"/>
      <c r="I54" s="94"/>
    </row>
    <row r="55" spans="1:9" ht="15" x14ac:dyDescent="0.35">
      <c r="A55" s="101"/>
      <c r="B55" s="96" t="s">
        <v>61</v>
      </c>
      <c r="C55" s="103"/>
      <c r="D55" s="103"/>
      <c r="E55" s="103"/>
      <c r="F55" s="103"/>
      <c r="G55" s="103"/>
      <c r="H55" s="102">
        <f>+'[1]MEP FFP (2)'!Z103</f>
        <v>0</v>
      </c>
      <c r="I55" s="94">
        <f>SUM(C50:H55)</f>
        <v>263164</v>
      </c>
    </row>
    <row r="56" spans="1:9" ht="15" x14ac:dyDescent="0.35">
      <c r="A56" s="179" t="s">
        <v>62</v>
      </c>
      <c r="B56" s="180"/>
      <c r="C56" s="180"/>
      <c r="D56" s="180"/>
      <c r="E56" s="180"/>
      <c r="F56" s="180"/>
      <c r="G56" s="180"/>
      <c r="H56" s="180"/>
      <c r="I56" s="94"/>
    </row>
    <row r="57" spans="1:9" ht="15" x14ac:dyDescent="0.35">
      <c r="A57" s="101"/>
      <c r="B57" s="96" t="s">
        <v>63</v>
      </c>
      <c r="C57" s="102">
        <f>+'[1]MEP FFP (2)'!F145</f>
        <v>8858355</v>
      </c>
      <c r="D57" s="103"/>
      <c r="E57" s="103"/>
      <c r="F57" s="103"/>
      <c r="G57" s="103"/>
      <c r="H57" s="103"/>
      <c r="I57" s="94"/>
    </row>
    <row r="58" spans="1:9" ht="15" x14ac:dyDescent="0.35">
      <c r="A58" s="101"/>
      <c r="B58" s="99" t="s">
        <v>64</v>
      </c>
      <c r="C58" s="103"/>
      <c r="D58" s="102">
        <f>+'[1]MEP FFP (2)'!J145</f>
        <v>0</v>
      </c>
      <c r="E58" s="103"/>
      <c r="F58" s="103"/>
      <c r="G58" s="103"/>
      <c r="H58" s="103"/>
      <c r="I58" s="94"/>
    </row>
    <row r="59" spans="1:9" ht="15" x14ac:dyDescent="0.35">
      <c r="A59" s="101"/>
      <c r="B59" s="96" t="s">
        <v>65</v>
      </c>
      <c r="C59" s="103"/>
      <c r="D59" s="103"/>
      <c r="E59" s="102">
        <f>+'[1]MEP FFP (2)'!N145</f>
        <v>0</v>
      </c>
      <c r="F59" s="103"/>
      <c r="G59" s="103"/>
      <c r="H59" s="103"/>
      <c r="I59" s="94"/>
    </row>
    <row r="60" spans="1:9" ht="15" x14ac:dyDescent="0.35">
      <c r="A60" s="101"/>
      <c r="B60" s="99" t="s">
        <v>66</v>
      </c>
      <c r="C60" s="103"/>
      <c r="D60" s="103"/>
      <c r="E60" s="103"/>
      <c r="F60" s="102">
        <f>+'[1]MEP FFP (2)'!R145</f>
        <v>0</v>
      </c>
      <c r="G60" s="103"/>
      <c r="H60" s="103"/>
      <c r="I60" s="94"/>
    </row>
    <row r="61" spans="1:9" ht="15" x14ac:dyDescent="0.35">
      <c r="A61" s="101"/>
      <c r="B61" s="99" t="s">
        <v>67</v>
      </c>
      <c r="C61" s="103"/>
      <c r="D61" s="103"/>
      <c r="E61" s="103"/>
      <c r="F61" s="103"/>
      <c r="G61" s="102">
        <f>+'[1]MEP FFP (2)'!V145</f>
        <v>0</v>
      </c>
      <c r="H61" s="103"/>
      <c r="I61" s="94"/>
    </row>
    <row r="62" spans="1:9" ht="15" x14ac:dyDescent="0.35">
      <c r="A62" s="101"/>
      <c r="B62" s="96" t="s">
        <v>68</v>
      </c>
      <c r="C62" s="103"/>
      <c r="D62" s="103"/>
      <c r="E62" s="103"/>
      <c r="F62" s="103"/>
      <c r="G62" s="102"/>
      <c r="H62" s="103"/>
      <c r="I62" s="94"/>
    </row>
    <row r="63" spans="1:9" ht="15" x14ac:dyDescent="0.35">
      <c r="A63" s="101"/>
      <c r="B63" s="99" t="s">
        <v>69</v>
      </c>
      <c r="C63" s="103"/>
      <c r="D63" s="103"/>
      <c r="E63" s="103"/>
      <c r="F63" s="103"/>
      <c r="G63" s="103"/>
      <c r="H63" s="102">
        <f>+'[1]MEP FFP (2)'!Z145</f>
        <v>0</v>
      </c>
      <c r="I63" s="94">
        <f>SUM(C57:H63)</f>
        <v>8858355</v>
      </c>
    </row>
    <row r="64" spans="1:9" ht="15" x14ac:dyDescent="0.35">
      <c r="A64" s="179" t="s">
        <v>70</v>
      </c>
      <c r="B64" s="180"/>
      <c r="C64" s="180"/>
      <c r="D64" s="180"/>
      <c r="E64" s="180"/>
      <c r="F64" s="180"/>
      <c r="G64" s="180"/>
      <c r="H64" s="180"/>
      <c r="I64" s="94"/>
    </row>
    <row r="65" spans="1:9" ht="15" x14ac:dyDescent="0.35">
      <c r="A65" s="101"/>
      <c r="B65" s="96" t="s">
        <v>71</v>
      </c>
      <c r="C65" s="102">
        <f>+'[1]MEP FFP (2)'!F152</f>
        <v>0</v>
      </c>
      <c r="D65" s="103"/>
      <c r="E65" s="103"/>
      <c r="F65" s="103"/>
      <c r="G65" s="103"/>
      <c r="H65" s="103"/>
      <c r="I65" s="94"/>
    </row>
    <row r="66" spans="1:9" ht="15" x14ac:dyDescent="0.35">
      <c r="A66" s="101"/>
      <c r="B66" s="99" t="s">
        <v>72</v>
      </c>
      <c r="C66" s="103"/>
      <c r="D66" s="102">
        <f>+'[1]MEP FFP (2)'!J152</f>
        <v>0</v>
      </c>
      <c r="E66" s="103"/>
      <c r="F66" s="103"/>
      <c r="G66" s="103"/>
      <c r="H66" s="103"/>
      <c r="I66" s="94"/>
    </row>
    <row r="67" spans="1:9" ht="15" x14ac:dyDescent="0.35">
      <c r="A67" s="101"/>
      <c r="B67" s="96" t="s">
        <v>73</v>
      </c>
      <c r="C67" s="103"/>
      <c r="D67" s="102"/>
      <c r="E67" s="103"/>
      <c r="F67" s="103"/>
      <c r="G67" s="103"/>
      <c r="H67" s="103"/>
      <c r="I67" s="94"/>
    </row>
    <row r="68" spans="1:9" ht="15" x14ac:dyDescent="0.35">
      <c r="A68" s="101"/>
      <c r="B68" s="99" t="s">
        <v>74</v>
      </c>
      <c r="C68" s="103"/>
      <c r="D68" s="103"/>
      <c r="E68" s="102">
        <f>+'[1]MEP FFP (2)'!N152</f>
        <v>0</v>
      </c>
      <c r="F68" s="103"/>
      <c r="G68" s="103"/>
      <c r="H68" s="103"/>
      <c r="I68" s="94"/>
    </row>
    <row r="69" spans="1:9" ht="15" x14ac:dyDescent="0.35">
      <c r="A69" s="101"/>
      <c r="B69" s="99" t="s">
        <v>75</v>
      </c>
      <c r="C69" s="103"/>
      <c r="D69" s="103"/>
      <c r="E69" s="103"/>
      <c r="F69" s="102">
        <f>+'[1]MEP FFP (2)'!R152</f>
        <v>0</v>
      </c>
      <c r="G69" s="103"/>
      <c r="H69" s="103"/>
      <c r="I69" s="94"/>
    </row>
    <row r="70" spans="1:9" ht="15" x14ac:dyDescent="0.35">
      <c r="A70" s="101"/>
      <c r="B70" s="96" t="s">
        <v>76</v>
      </c>
      <c r="C70" s="103"/>
      <c r="D70" s="103"/>
      <c r="E70" s="103"/>
      <c r="F70" s="103"/>
      <c r="G70" s="102">
        <f>+'[1]MEP FFP (2)'!V152</f>
        <v>0</v>
      </c>
      <c r="H70" s="103"/>
      <c r="I70" s="94"/>
    </row>
    <row r="71" spans="1:9" ht="15" x14ac:dyDescent="0.35">
      <c r="A71" s="101"/>
      <c r="B71" s="99" t="s">
        <v>77</v>
      </c>
      <c r="C71" s="103"/>
      <c r="D71" s="103"/>
      <c r="E71" s="103"/>
      <c r="F71" s="103"/>
      <c r="G71" s="103"/>
      <c r="H71" s="102">
        <f>+'[1]MEP FFP (2)'!Z152</f>
        <v>0</v>
      </c>
      <c r="I71" s="94">
        <f>SUM(C65:H71)</f>
        <v>0</v>
      </c>
    </row>
    <row r="72" spans="1:9" ht="15" x14ac:dyDescent="0.35">
      <c r="A72" s="185" t="s">
        <v>78</v>
      </c>
      <c r="B72" s="185"/>
      <c r="C72" s="104" t="e">
        <f t="shared" ref="C72:H72" si="0">SUM(C15:C71)</f>
        <v>#REF!</v>
      </c>
      <c r="D72" s="104" t="e">
        <f t="shared" si="0"/>
        <v>#REF!</v>
      </c>
      <c r="E72" s="104" t="e">
        <f t="shared" si="0"/>
        <v>#REF!</v>
      </c>
      <c r="F72" s="104" t="e">
        <f t="shared" si="0"/>
        <v>#REF!</v>
      </c>
      <c r="G72" s="104" t="e">
        <f t="shared" si="0"/>
        <v>#REF!</v>
      </c>
      <c r="H72" s="104" t="e">
        <f t="shared" si="0"/>
        <v>#REF!</v>
      </c>
      <c r="I72" s="104" t="e">
        <f>SUM(C72:H72)</f>
        <v>#REF!</v>
      </c>
    </row>
    <row r="73" spans="1:9" x14ac:dyDescent="0.35">
      <c r="I73" s="106" t="s">
        <v>79</v>
      </c>
    </row>
    <row r="74" spans="1:9" x14ac:dyDescent="0.35">
      <c r="I74" s="106" t="e">
        <f>IF(I72=SUM(I15:I71),"Ok","Error")</f>
        <v>#REF!</v>
      </c>
    </row>
  </sheetData>
  <mergeCells count="9">
    <mergeCell ref="A49:H49"/>
    <mergeCell ref="A72:B72"/>
    <mergeCell ref="A14:H14"/>
    <mergeCell ref="A21:H21"/>
    <mergeCell ref="A28:H28"/>
    <mergeCell ref="A35:H35"/>
    <mergeCell ref="A42:H42"/>
    <mergeCell ref="A56:H56"/>
    <mergeCell ref="A64:H64"/>
  </mergeCells>
  <phoneticPr fontId="17" type="noConversion"/>
  <printOptions horizontalCentered="1"/>
  <pageMargins left="0.25" right="0.25" top="0.5" bottom="0.5" header="0.3" footer="0.3"/>
  <pageSetup paperSize="9" scale="54" fitToHeight="0" orientation="landscape" verticalDpi="597" r:id="rId1"/>
  <headerFooter>
    <oddFooter>&amp;C&amp;1#&amp;"Times New Roman"&amp;10&amp;K000000SENSITIVE BUT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19B0-D929-49EE-8BAD-90B054F8EA7D}">
  <dimension ref="A1:M18"/>
  <sheetViews>
    <sheetView tabSelected="1" zoomScaleNormal="100" workbookViewId="0">
      <selection activeCell="O2" sqref="O2"/>
    </sheetView>
  </sheetViews>
  <sheetFormatPr defaultRowHeight="14.5" x14ac:dyDescent="0.35"/>
  <sheetData>
    <row r="1" spans="1:13" ht="315.64999999999998" customHeight="1" x14ac:dyDescent="0.35">
      <c r="A1" s="186" t="s">
        <v>85</v>
      </c>
      <c r="B1" s="187"/>
      <c r="C1" s="187"/>
      <c r="D1" s="187"/>
      <c r="E1" s="187"/>
      <c r="F1" s="187"/>
      <c r="G1" s="187"/>
      <c r="H1" s="187"/>
      <c r="I1" s="187"/>
      <c r="J1" s="187"/>
      <c r="K1" s="187"/>
      <c r="L1" s="187"/>
      <c r="M1" s="187"/>
    </row>
    <row r="2" spans="1:13" ht="341.5" customHeight="1" x14ac:dyDescent="0.35">
      <c r="A2" s="187"/>
      <c r="B2" s="187"/>
      <c r="C2" s="187"/>
      <c r="D2" s="187"/>
      <c r="E2" s="187"/>
      <c r="F2" s="187"/>
      <c r="G2" s="187"/>
      <c r="H2" s="187"/>
      <c r="I2" s="187"/>
      <c r="J2" s="187"/>
      <c r="K2" s="187"/>
      <c r="L2" s="187"/>
      <c r="M2" s="187"/>
    </row>
    <row r="3" spans="1:13" ht="259" customHeight="1" x14ac:dyDescent="0.35">
      <c r="A3" s="174"/>
      <c r="B3" s="174"/>
      <c r="C3" s="174"/>
      <c r="D3" s="174"/>
      <c r="E3" s="174"/>
      <c r="F3" s="174"/>
      <c r="G3" s="174"/>
      <c r="H3" s="174"/>
      <c r="I3" s="174"/>
      <c r="J3" s="174"/>
      <c r="K3" s="174"/>
      <c r="L3" s="174"/>
      <c r="M3" s="174"/>
    </row>
    <row r="4" spans="1:13" ht="259" customHeight="1" x14ac:dyDescent="0.35">
      <c r="A4" s="174"/>
      <c r="B4" s="174"/>
      <c r="C4" s="174"/>
      <c r="D4" s="174"/>
      <c r="E4" s="174"/>
      <c r="F4" s="174"/>
      <c r="G4" s="174"/>
      <c r="H4" s="174"/>
      <c r="I4" s="174"/>
      <c r="J4" s="174"/>
      <c r="K4" s="174"/>
      <c r="L4" s="174"/>
      <c r="M4" s="174"/>
    </row>
    <row r="5" spans="1:13" ht="259" customHeight="1" x14ac:dyDescent="0.35">
      <c r="A5" s="174"/>
      <c r="B5" s="174"/>
      <c r="C5" s="174"/>
      <c r="D5" s="174"/>
      <c r="E5" s="174"/>
      <c r="F5" s="174"/>
      <c r="G5" s="174"/>
      <c r="H5" s="174"/>
      <c r="I5" s="174"/>
      <c r="J5" s="174"/>
      <c r="K5" s="174"/>
      <c r="L5" s="174"/>
      <c r="M5" s="174"/>
    </row>
    <row r="6" spans="1:13" ht="259" customHeight="1" x14ac:dyDescent="0.35">
      <c r="A6" s="174"/>
      <c r="B6" s="174"/>
      <c r="C6" s="174"/>
      <c r="D6" s="174"/>
      <c r="E6" s="174"/>
      <c r="F6" s="174"/>
      <c r="G6" s="174"/>
      <c r="H6" s="174"/>
      <c r="I6" s="174"/>
      <c r="J6" s="174"/>
      <c r="K6" s="174"/>
      <c r="L6" s="174"/>
      <c r="M6" s="174"/>
    </row>
    <row r="7" spans="1:13" ht="259" customHeight="1" x14ac:dyDescent="0.35">
      <c r="A7" s="174"/>
      <c r="B7" s="174"/>
      <c r="C7" s="174"/>
      <c r="D7" s="174"/>
      <c r="E7" s="174"/>
      <c r="F7" s="174"/>
      <c r="G7" s="174"/>
      <c r="H7" s="174"/>
      <c r="I7" s="174"/>
      <c r="J7" s="174"/>
      <c r="K7" s="174"/>
      <c r="L7" s="174"/>
      <c r="M7" s="174"/>
    </row>
    <row r="8" spans="1:13" ht="259" customHeight="1" x14ac:dyDescent="0.35">
      <c r="A8" s="174"/>
      <c r="B8" s="174"/>
      <c r="C8" s="174"/>
      <c r="D8" s="174"/>
      <c r="E8" s="174"/>
      <c r="F8" s="174"/>
      <c r="G8" s="174"/>
      <c r="H8" s="174"/>
      <c r="I8" s="174"/>
      <c r="J8" s="174"/>
      <c r="K8" s="174"/>
      <c r="L8" s="174"/>
      <c r="M8" s="174"/>
    </row>
    <row r="9" spans="1:13" ht="259" customHeight="1" x14ac:dyDescent="0.35">
      <c r="A9" s="174"/>
      <c r="B9" s="174"/>
      <c r="C9" s="174"/>
      <c r="D9" s="174"/>
      <c r="E9" s="174"/>
      <c r="F9" s="174"/>
      <c r="G9" s="174"/>
      <c r="H9" s="174"/>
      <c r="I9" s="174"/>
      <c r="J9" s="174"/>
      <c r="K9" s="174"/>
      <c r="L9" s="174"/>
      <c r="M9" s="174"/>
    </row>
    <row r="10" spans="1:13" ht="259" customHeight="1" x14ac:dyDescent="0.35">
      <c r="A10" s="174"/>
      <c r="B10" s="174"/>
      <c r="C10" s="174"/>
      <c r="D10" s="174"/>
      <c r="E10" s="174"/>
      <c r="F10" s="174"/>
      <c r="G10" s="174"/>
      <c r="H10" s="174"/>
      <c r="I10" s="174"/>
      <c r="J10" s="174"/>
      <c r="K10" s="174"/>
      <c r="L10" s="174"/>
      <c r="M10" s="174"/>
    </row>
    <row r="11" spans="1:13" ht="259" customHeight="1" x14ac:dyDescent="0.35">
      <c r="A11" s="174"/>
      <c r="B11" s="174"/>
      <c r="C11" s="174"/>
      <c r="D11" s="174"/>
      <c r="E11" s="174"/>
      <c r="F11" s="174"/>
      <c r="G11" s="174"/>
      <c r="H11" s="174"/>
      <c r="I11" s="174"/>
      <c r="J11" s="174"/>
      <c r="K11" s="174"/>
      <c r="L11" s="174"/>
      <c r="M11" s="174"/>
    </row>
    <row r="12" spans="1:13" ht="259" customHeight="1" x14ac:dyDescent="0.35">
      <c r="A12" s="174"/>
      <c r="B12" s="174"/>
      <c r="C12" s="174"/>
      <c r="D12" s="174"/>
      <c r="E12" s="174"/>
      <c r="F12" s="174"/>
      <c r="G12" s="174"/>
      <c r="H12" s="174"/>
      <c r="I12" s="174"/>
      <c r="J12" s="174"/>
      <c r="K12" s="174"/>
      <c r="L12" s="174"/>
      <c r="M12" s="174"/>
    </row>
    <row r="13" spans="1:13" ht="259" customHeight="1" x14ac:dyDescent="0.35">
      <c r="A13" s="174"/>
      <c r="B13" s="174"/>
      <c r="C13" s="174"/>
      <c r="D13" s="174"/>
      <c r="E13" s="174"/>
      <c r="F13" s="174"/>
      <c r="G13" s="174"/>
      <c r="H13" s="174"/>
      <c r="I13" s="174"/>
      <c r="J13" s="174"/>
      <c r="K13" s="174"/>
      <c r="L13" s="174"/>
      <c r="M13" s="174"/>
    </row>
    <row r="14" spans="1:13" ht="259" customHeight="1" x14ac:dyDescent="0.35">
      <c r="A14" s="174"/>
      <c r="B14" s="174"/>
      <c r="C14" s="174"/>
      <c r="D14" s="174"/>
      <c r="E14" s="174"/>
      <c r="F14" s="174"/>
      <c r="G14" s="174"/>
      <c r="H14" s="174"/>
      <c r="I14" s="174"/>
      <c r="J14" s="174"/>
      <c r="K14" s="174"/>
      <c r="L14" s="174"/>
      <c r="M14" s="174"/>
    </row>
    <row r="15" spans="1:13" ht="259" customHeight="1" x14ac:dyDescent="0.35">
      <c r="A15" s="174"/>
      <c r="B15" s="174"/>
      <c r="C15" s="174"/>
      <c r="D15" s="174"/>
      <c r="E15" s="174"/>
      <c r="F15" s="174"/>
      <c r="G15" s="174"/>
      <c r="H15" s="174"/>
      <c r="I15" s="174"/>
      <c r="J15" s="174"/>
      <c r="K15" s="174"/>
      <c r="L15" s="174"/>
      <c r="M15" s="174"/>
    </row>
    <row r="16" spans="1:13" ht="259" customHeight="1" x14ac:dyDescent="0.35">
      <c r="A16" s="174"/>
      <c r="B16" s="174"/>
      <c r="C16" s="174"/>
      <c r="D16" s="174"/>
      <c r="E16" s="174"/>
      <c r="F16" s="174"/>
      <c r="G16" s="174"/>
      <c r="H16" s="174"/>
      <c r="I16" s="174"/>
      <c r="J16" s="174"/>
      <c r="K16" s="174"/>
      <c r="L16" s="174"/>
      <c r="M16" s="174"/>
    </row>
    <row r="17" spans="1:13" ht="259" customHeight="1" x14ac:dyDescent="0.35">
      <c r="A17" s="174"/>
      <c r="B17" s="174"/>
      <c r="C17" s="174"/>
      <c r="D17" s="174"/>
      <c r="E17" s="174"/>
      <c r="F17" s="174"/>
      <c r="G17" s="174"/>
      <c r="H17" s="174"/>
      <c r="I17" s="174"/>
      <c r="J17" s="174"/>
      <c r="K17" s="174"/>
      <c r="L17" s="174"/>
      <c r="M17" s="174"/>
    </row>
    <row r="18" spans="1:13" ht="259" customHeight="1" x14ac:dyDescent="0.35">
      <c r="A18" s="174"/>
      <c r="B18" s="174"/>
      <c r="C18" s="174"/>
      <c r="D18" s="174"/>
      <c r="E18" s="174"/>
      <c r="F18" s="174"/>
      <c r="G18" s="174"/>
      <c r="H18" s="174"/>
      <c r="I18" s="174"/>
      <c r="J18" s="174"/>
      <c r="K18" s="174"/>
      <c r="L18" s="174"/>
      <c r="M18" s="174"/>
    </row>
  </sheetData>
  <mergeCells count="1">
    <mergeCell ref="A1: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30F7-42AD-4616-8F19-7ED78BD5AFFF}">
  <sheetPr>
    <pageSetUpPr fitToPage="1"/>
  </sheetPr>
  <dimension ref="A1:W168"/>
  <sheetViews>
    <sheetView showGridLines="0" zoomScale="80" zoomScaleNormal="80" workbookViewId="0">
      <selection activeCell="C130" sqref="C130"/>
    </sheetView>
  </sheetViews>
  <sheetFormatPr defaultColWidth="9.1796875" defaultRowHeight="15.5" x14ac:dyDescent="0.35"/>
  <cols>
    <col min="1" max="1" width="31.1796875" style="1" bestFit="1" customWidth="1"/>
    <col min="2" max="2" width="77.1796875" style="1" customWidth="1"/>
    <col min="3" max="3" width="18.7265625" style="1" bestFit="1" customWidth="1"/>
    <col min="4" max="4" width="5.1796875" style="1" bestFit="1" customWidth="1"/>
    <col min="5" max="5" width="43.1796875" style="1" bestFit="1" customWidth="1"/>
    <col min="6" max="6" width="21.54296875" style="1" bestFit="1" customWidth="1"/>
    <col min="7" max="7" width="18.7265625" style="1" bestFit="1" customWidth="1"/>
    <col min="8" max="8" width="5.1796875" style="1" bestFit="1" customWidth="1"/>
    <col min="9" max="9" width="41.453125" style="1" bestFit="1" customWidth="1"/>
    <col min="10" max="10" width="21.54296875" style="1" bestFit="1" customWidth="1"/>
    <col min="11" max="11" width="18.7265625" style="1" bestFit="1" customWidth="1"/>
    <col min="12" max="12" width="5.1796875" style="1" bestFit="1" customWidth="1"/>
    <col min="13" max="13" width="31.81640625" style="1" bestFit="1" customWidth="1"/>
    <col min="14" max="14" width="20.1796875" style="1" bestFit="1" customWidth="1"/>
    <col min="15" max="15" width="18.7265625" style="1" bestFit="1" customWidth="1"/>
    <col min="16" max="16" width="5.1796875" style="1" bestFit="1" customWidth="1"/>
    <col min="17" max="17" width="31.81640625" style="1" bestFit="1" customWidth="1"/>
    <col min="18" max="18" width="20.1796875" style="1" bestFit="1" customWidth="1"/>
    <col min="19" max="19" width="18.7265625" style="1" bestFit="1" customWidth="1"/>
    <col min="20" max="20" width="5.1796875" style="1" bestFit="1" customWidth="1"/>
    <col min="21" max="21" width="31.81640625" style="1" bestFit="1" customWidth="1"/>
    <col min="22" max="22" width="20.1796875" style="1" bestFit="1" customWidth="1"/>
    <col min="23" max="23" width="21.54296875" style="1" bestFit="1" customWidth="1"/>
    <col min="24" max="16384" width="9.1796875" style="1"/>
  </cols>
  <sheetData>
    <row r="1" spans="1:23" x14ac:dyDescent="0.35">
      <c r="A1" s="30" t="str">
        <f>+'Table 1 Summary'!A1</f>
        <v xml:space="preserve">Contractor Name: </v>
      </c>
      <c r="B1" s="31"/>
      <c r="C1" s="32"/>
      <c r="D1" s="32"/>
      <c r="E1" s="32"/>
      <c r="F1" s="32"/>
      <c r="G1" s="32"/>
      <c r="H1" s="32"/>
      <c r="I1" s="32"/>
      <c r="J1" s="32"/>
      <c r="K1" s="32"/>
      <c r="L1" s="32"/>
      <c r="M1" s="32"/>
      <c r="N1" s="32"/>
      <c r="O1" s="32"/>
      <c r="P1" s="32"/>
      <c r="Q1" s="32"/>
      <c r="R1" s="32"/>
      <c r="S1" s="32"/>
      <c r="T1" s="32"/>
      <c r="U1" s="32"/>
      <c r="V1" s="32"/>
      <c r="W1" s="32"/>
    </row>
    <row r="2" spans="1:23" x14ac:dyDescent="0.35">
      <c r="A2" s="30" t="str">
        <f>+'Table 1 Summary'!A2</f>
        <v xml:space="preserve">Solicitation Number: </v>
      </c>
      <c r="B2" s="31"/>
      <c r="C2" s="57"/>
      <c r="D2" s="57"/>
      <c r="E2" s="57"/>
      <c r="F2" s="57"/>
      <c r="G2" s="57"/>
      <c r="H2" s="57"/>
      <c r="I2" s="57"/>
      <c r="J2" s="57"/>
      <c r="K2" s="57"/>
      <c r="L2" s="57"/>
      <c r="M2" s="57"/>
      <c r="N2" s="32"/>
      <c r="O2" s="32"/>
      <c r="P2" s="32"/>
      <c r="Q2" s="32"/>
      <c r="R2" s="32"/>
      <c r="S2" s="32"/>
      <c r="T2" s="32"/>
      <c r="U2" s="32"/>
      <c r="V2" s="32"/>
      <c r="W2" s="32"/>
    </row>
    <row r="3" spans="1:23" x14ac:dyDescent="0.35">
      <c r="A3" s="30" t="str">
        <f>+'Table 1 Summary'!A3</f>
        <v xml:space="preserve">Task Order Number:  </v>
      </c>
      <c r="B3" s="31"/>
      <c r="C3" s="32"/>
      <c r="D3" s="32"/>
      <c r="E3" s="32"/>
      <c r="F3" s="32"/>
      <c r="G3" s="32"/>
      <c r="H3" s="32"/>
      <c r="I3" s="32"/>
      <c r="J3" s="32"/>
      <c r="K3" s="32"/>
      <c r="L3" s="32"/>
      <c r="M3" s="32"/>
      <c r="N3" s="32"/>
      <c r="O3" s="32"/>
      <c r="P3" s="32"/>
      <c r="Q3" s="32"/>
      <c r="R3" s="32"/>
      <c r="S3" s="32"/>
      <c r="T3" s="32"/>
      <c r="U3" s="32"/>
      <c r="V3" s="32"/>
      <c r="W3" s="32"/>
    </row>
    <row r="4" spans="1:23" x14ac:dyDescent="0.35">
      <c r="A4" s="30" t="str">
        <f>+'Table 1 Summary'!A4</f>
        <v xml:space="preserve">Task Order Title:  </v>
      </c>
      <c r="B4" s="31"/>
      <c r="C4" s="57"/>
      <c r="D4" s="57"/>
      <c r="E4" s="57"/>
      <c r="F4" s="32"/>
      <c r="G4" s="32"/>
      <c r="H4" s="32"/>
      <c r="I4" s="32"/>
      <c r="J4" s="32"/>
      <c r="K4" s="32"/>
      <c r="L4" s="32"/>
      <c r="M4" s="32"/>
      <c r="N4" s="32"/>
      <c r="O4" s="32"/>
      <c r="P4" s="32"/>
      <c r="Q4" s="32"/>
      <c r="R4" s="32"/>
      <c r="S4" s="32"/>
      <c r="T4" s="32"/>
      <c r="U4" s="32"/>
      <c r="V4" s="32"/>
      <c r="W4" s="32"/>
    </row>
    <row r="5" spans="1:23" x14ac:dyDescent="0.35">
      <c r="A5" s="31"/>
      <c r="B5" s="33"/>
      <c r="C5" s="32"/>
      <c r="D5" s="32"/>
      <c r="E5" s="32"/>
      <c r="F5" s="32"/>
      <c r="G5" s="32"/>
      <c r="H5" s="32"/>
      <c r="I5" s="32"/>
      <c r="J5" s="32"/>
      <c r="K5" s="32"/>
      <c r="L5" s="32"/>
      <c r="M5" s="32"/>
      <c r="N5" s="32"/>
      <c r="O5" s="32"/>
      <c r="P5" s="32"/>
      <c r="Q5" s="32"/>
      <c r="R5" s="32"/>
      <c r="S5" s="32"/>
      <c r="T5" s="32"/>
      <c r="U5" s="32"/>
      <c r="V5" s="32"/>
      <c r="W5" s="32"/>
    </row>
    <row r="6" spans="1:23" x14ac:dyDescent="0.35">
      <c r="A6" s="31"/>
      <c r="B6" s="33"/>
      <c r="C6" s="57"/>
      <c r="D6" s="57"/>
      <c r="E6" s="32"/>
      <c r="F6" s="32"/>
      <c r="G6" s="32"/>
      <c r="H6" s="32"/>
      <c r="I6" s="32"/>
      <c r="J6" s="32"/>
      <c r="K6" s="32"/>
      <c r="L6" s="32"/>
      <c r="M6" s="32"/>
      <c r="N6" s="32"/>
      <c r="O6" s="32"/>
      <c r="P6" s="32"/>
      <c r="Q6" s="32"/>
      <c r="R6" s="32"/>
      <c r="S6" s="32"/>
      <c r="T6" s="32"/>
      <c r="U6" s="32"/>
      <c r="V6" s="32"/>
      <c r="W6" s="32"/>
    </row>
    <row r="7" spans="1:23" x14ac:dyDescent="0.35">
      <c r="A7" s="31"/>
      <c r="B7" s="33"/>
      <c r="C7" s="32"/>
      <c r="D7" s="58"/>
      <c r="E7" s="60"/>
      <c r="F7" s="32"/>
      <c r="G7" s="32"/>
      <c r="H7" s="32"/>
      <c r="I7" s="32"/>
      <c r="J7" s="32"/>
      <c r="K7" s="32"/>
      <c r="L7" s="32"/>
      <c r="M7" s="32"/>
      <c r="N7" s="32"/>
      <c r="O7" s="32"/>
      <c r="P7" s="32"/>
      <c r="Q7" s="32"/>
      <c r="R7" s="32"/>
      <c r="S7" s="32"/>
      <c r="T7" s="32"/>
      <c r="U7" s="32"/>
      <c r="V7" s="32"/>
      <c r="W7" s="32"/>
    </row>
    <row r="8" spans="1:23" x14ac:dyDescent="0.3">
      <c r="A8" s="30"/>
      <c r="B8" s="33"/>
      <c r="C8" s="61"/>
      <c r="D8" s="59"/>
      <c r="E8" s="60"/>
      <c r="F8" s="32"/>
      <c r="G8" s="32"/>
      <c r="H8" s="32"/>
      <c r="I8" s="32"/>
      <c r="J8" s="32"/>
      <c r="K8" s="32"/>
      <c r="L8" s="32"/>
      <c r="M8" s="32"/>
      <c r="N8" s="32"/>
      <c r="O8" s="32"/>
      <c r="P8" s="32"/>
      <c r="Q8" s="32"/>
      <c r="R8" s="32"/>
      <c r="S8" s="32"/>
      <c r="T8" s="32"/>
      <c r="U8" s="32"/>
      <c r="V8" s="32"/>
      <c r="W8" s="32"/>
    </row>
    <row r="9" spans="1:23" x14ac:dyDescent="0.35">
      <c r="A9" s="34"/>
      <c r="B9" s="33"/>
      <c r="C9" s="61"/>
      <c r="D9" s="32"/>
      <c r="E9" s="32"/>
      <c r="F9" s="32"/>
      <c r="G9" s="32"/>
      <c r="H9" s="32"/>
      <c r="I9" s="32"/>
      <c r="J9" s="32"/>
      <c r="K9" s="32"/>
      <c r="L9" s="32"/>
      <c r="M9" s="32"/>
      <c r="N9" s="32"/>
      <c r="O9" s="32"/>
      <c r="P9" s="32"/>
      <c r="Q9" s="32"/>
      <c r="R9" s="32"/>
      <c r="S9" s="32"/>
      <c r="T9" s="32"/>
      <c r="U9" s="32"/>
      <c r="V9" s="32"/>
      <c r="W9" s="32"/>
    </row>
    <row r="10" spans="1:23" x14ac:dyDescent="0.35">
      <c r="A10" s="191"/>
      <c r="B10" s="191"/>
      <c r="C10" s="192" t="s">
        <v>86</v>
      </c>
      <c r="D10" s="192"/>
      <c r="E10" s="192"/>
      <c r="F10" s="192"/>
      <c r="G10" s="192" t="s">
        <v>87</v>
      </c>
      <c r="H10" s="192"/>
      <c r="I10" s="192"/>
      <c r="J10" s="192"/>
      <c r="K10" s="192" t="s">
        <v>88</v>
      </c>
      <c r="L10" s="192"/>
      <c r="M10" s="192"/>
      <c r="N10" s="192"/>
      <c r="O10" s="192" t="s">
        <v>89</v>
      </c>
      <c r="P10" s="192"/>
      <c r="Q10" s="192"/>
      <c r="R10" s="192"/>
      <c r="S10" s="192" t="s">
        <v>90</v>
      </c>
      <c r="T10" s="192"/>
      <c r="U10" s="192"/>
      <c r="V10" s="192"/>
      <c r="W10" s="46"/>
    </row>
    <row r="11" spans="1:23" s="148" customFormat="1" x14ac:dyDescent="0.35">
      <c r="A11" s="188" t="s">
        <v>91</v>
      </c>
      <c r="B11" s="188"/>
      <c r="C11" s="189" t="s">
        <v>92</v>
      </c>
      <c r="D11" s="189"/>
      <c r="E11" s="189"/>
      <c r="F11" s="189"/>
      <c r="G11" s="190" t="s">
        <v>93</v>
      </c>
      <c r="H11" s="190"/>
      <c r="I11" s="190"/>
      <c r="J11" s="190"/>
      <c r="K11" s="190" t="s">
        <v>94</v>
      </c>
      <c r="L11" s="190"/>
      <c r="M11" s="190"/>
      <c r="N11" s="190"/>
      <c r="O11" s="190" t="s">
        <v>95</v>
      </c>
      <c r="P11" s="190"/>
      <c r="Q11" s="190"/>
      <c r="R11" s="190"/>
      <c r="S11" s="190" t="s">
        <v>25</v>
      </c>
      <c r="T11" s="190"/>
      <c r="U11" s="190"/>
      <c r="V11" s="190"/>
      <c r="W11" s="147"/>
    </row>
    <row r="12" spans="1:23" x14ac:dyDescent="0.35">
      <c r="A12" s="8" t="s">
        <v>96</v>
      </c>
      <c r="B12" s="12" t="s">
        <v>12</v>
      </c>
      <c r="C12" s="7" t="s">
        <v>97</v>
      </c>
      <c r="D12" s="5" t="s">
        <v>98</v>
      </c>
      <c r="E12" s="5" t="s">
        <v>99</v>
      </c>
      <c r="F12" s="6" t="s">
        <v>100</v>
      </c>
      <c r="G12" s="4" t="s">
        <v>97</v>
      </c>
      <c r="H12" s="5" t="s">
        <v>98</v>
      </c>
      <c r="I12" s="5" t="s">
        <v>99</v>
      </c>
      <c r="J12" s="6" t="s">
        <v>100</v>
      </c>
      <c r="K12" s="4" t="s">
        <v>97</v>
      </c>
      <c r="L12" s="5" t="s">
        <v>98</v>
      </c>
      <c r="M12" s="5" t="s">
        <v>99</v>
      </c>
      <c r="N12" s="6" t="s">
        <v>100</v>
      </c>
      <c r="O12" s="4" t="s">
        <v>97</v>
      </c>
      <c r="P12" s="5" t="s">
        <v>98</v>
      </c>
      <c r="Q12" s="5" t="s">
        <v>99</v>
      </c>
      <c r="R12" s="6" t="s">
        <v>100</v>
      </c>
      <c r="S12" s="4" t="s">
        <v>97</v>
      </c>
      <c r="T12" s="5" t="s">
        <v>98</v>
      </c>
      <c r="U12" s="5" t="s">
        <v>99</v>
      </c>
      <c r="V12" s="6" t="s">
        <v>100</v>
      </c>
      <c r="W12" s="48" t="s">
        <v>101</v>
      </c>
    </row>
    <row r="13" spans="1:23" x14ac:dyDescent="0.35">
      <c r="A13" s="114" t="s">
        <v>102</v>
      </c>
      <c r="B13" s="15" t="s">
        <v>103</v>
      </c>
      <c r="C13" s="9" t="s">
        <v>104</v>
      </c>
      <c r="D13" s="119">
        <v>1</v>
      </c>
      <c r="E13" s="25">
        <v>0</v>
      </c>
      <c r="F13" s="120">
        <f>D13*E13</f>
        <v>0</v>
      </c>
      <c r="G13" s="128" t="str">
        <f>C13</f>
        <v>FFUP</v>
      </c>
      <c r="H13" s="119">
        <v>1</v>
      </c>
      <c r="I13" s="129">
        <f>E13*1.05</f>
        <v>0</v>
      </c>
      <c r="J13" s="120">
        <f>H13*I13</f>
        <v>0</v>
      </c>
      <c r="K13" s="128" t="str">
        <f>G13</f>
        <v>FFUP</v>
      </c>
      <c r="L13" s="119">
        <v>1</v>
      </c>
      <c r="M13" s="129">
        <f>I13*1.05</f>
        <v>0</v>
      </c>
      <c r="N13" s="120">
        <f>L13*M13</f>
        <v>0</v>
      </c>
      <c r="O13" s="128" t="str">
        <f>K13</f>
        <v>FFUP</v>
      </c>
      <c r="P13" s="119">
        <v>1</v>
      </c>
      <c r="Q13" s="129">
        <f>M13*1.05</f>
        <v>0</v>
      </c>
      <c r="R13" s="120">
        <f>P13*Q13</f>
        <v>0</v>
      </c>
      <c r="S13" s="128" t="str">
        <f>O13</f>
        <v>FFUP</v>
      </c>
      <c r="T13" s="119">
        <v>1</v>
      </c>
      <c r="U13" s="129">
        <f>Q13*1.05</f>
        <v>0</v>
      </c>
      <c r="V13" s="120">
        <f>T13*U13</f>
        <v>0</v>
      </c>
      <c r="W13" s="140">
        <f>SUM(V13,R13,N13,J13,F13)</f>
        <v>0</v>
      </c>
    </row>
    <row r="14" spans="1:23" x14ac:dyDescent="0.35">
      <c r="A14" s="114" t="s">
        <v>105</v>
      </c>
      <c r="B14" s="15" t="s">
        <v>106</v>
      </c>
      <c r="C14" s="9" t="s">
        <v>104</v>
      </c>
      <c r="D14" s="119">
        <v>5</v>
      </c>
      <c r="E14" s="25">
        <v>0</v>
      </c>
      <c r="F14" s="120">
        <f t="shared" ref="F14:F17" si="0">D14*E14</f>
        <v>0</v>
      </c>
      <c r="G14" s="128" t="str">
        <f t="shared" ref="G14:G16" si="1">C14</f>
        <v>FFUP</v>
      </c>
      <c r="H14" s="119">
        <v>5</v>
      </c>
      <c r="I14" s="129">
        <f t="shared" ref="I14:I17" si="2">E14*1.05</f>
        <v>0</v>
      </c>
      <c r="J14" s="120">
        <f t="shared" ref="J14:J17" si="3">H14*I14</f>
        <v>0</v>
      </c>
      <c r="K14" s="128" t="str">
        <f t="shared" ref="K14:K16" si="4">G14</f>
        <v>FFUP</v>
      </c>
      <c r="L14" s="119">
        <v>5</v>
      </c>
      <c r="M14" s="129">
        <f t="shared" ref="M14:M17" si="5">I14*1.05</f>
        <v>0</v>
      </c>
      <c r="N14" s="120">
        <f t="shared" ref="N14:N17" si="6">L14*M14</f>
        <v>0</v>
      </c>
      <c r="O14" s="128" t="str">
        <f t="shared" ref="O14:O16" si="7">K14</f>
        <v>FFUP</v>
      </c>
      <c r="P14" s="119">
        <v>5</v>
      </c>
      <c r="Q14" s="129">
        <f t="shared" ref="Q14:Q17" si="8">M14*1.05</f>
        <v>0</v>
      </c>
      <c r="R14" s="120">
        <f t="shared" ref="R14:R17" si="9">P14*Q14</f>
        <v>0</v>
      </c>
      <c r="S14" s="128" t="str">
        <f t="shared" ref="S14:S16" si="10">O14</f>
        <v>FFUP</v>
      </c>
      <c r="T14" s="119">
        <v>5</v>
      </c>
      <c r="U14" s="129">
        <f t="shared" ref="U14:U17" si="11">Q14*1.05</f>
        <v>0</v>
      </c>
      <c r="V14" s="120">
        <f t="shared" ref="V14:V17" si="12">T14*U14</f>
        <v>0</v>
      </c>
      <c r="W14" s="140">
        <f t="shared" ref="W14:W20" si="13">SUM(V14,R14,N14,J14,F14)</f>
        <v>0</v>
      </c>
    </row>
    <row r="15" spans="1:23" x14ac:dyDescent="0.35">
      <c r="A15" s="114" t="s">
        <v>107</v>
      </c>
      <c r="B15" s="15" t="s">
        <v>108</v>
      </c>
      <c r="C15" s="9" t="s">
        <v>104</v>
      </c>
      <c r="D15" s="119">
        <v>11</v>
      </c>
      <c r="E15" s="25">
        <v>0</v>
      </c>
      <c r="F15" s="120">
        <f t="shared" si="0"/>
        <v>0</v>
      </c>
      <c r="G15" s="128" t="str">
        <f t="shared" si="1"/>
        <v>FFUP</v>
      </c>
      <c r="H15" s="119">
        <v>11</v>
      </c>
      <c r="I15" s="129">
        <f t="shared" si="2"/>
        <v>0</v>
      </c>
      <c r="J15" s="120">
        <f t="shared" si="3"/>
        <v>0</v>
      </c>
      <c r="K15" s="128" t="str">
        <f t="shared" si="4"/>
        <v>FFUP</v>
      </c>
      <c r="L15" s="119">
        <v>11</v>
      </c>
      <c r="M15" s="129">
        <f t="shared" si="5"/>
        <v>0</v>
      </c>
      <c r="N15" s="120">
        <f t="shared" si="6"/>
        <v>0</v>
      </c>
      <c r="O15" s="128" t="str">
        <f t="shared" si="7"/>
        <v>FFUP</v>
      </c>
      <c r="P15" s="119">
        <v>11</v>
      </c>
      <c r="Q15" s="129">
        <f t="shared" si="8"/>
        <v>0</v>
      </c>
      <c r="R15" s="120">
        <f t="shared" si="9"/>
        <v>0</v>
      </c>
      <c r="S15" s="128" t="str">
        <f t="shared" si="10"/>
        <v>FFUP</v>
      </c>
      <c r="T15" s="119">
        <v>11</v>
      </c>
      <c r="U15" s="129">
        <f t="shared" si="11"/>
        <v>0</v>
      </c>
      <c r="V15" s="120">
        <f t="shared" si="12"/>
        <v>0</v>
      </c>
      <c r="W15" s="140">
        <f t="shared" si="13"/>
        <v>0</v>
      </c>
    </row>
    <row r="16" spans="1:23" x14ac:dyDescent="0.35">
      <c r="A16" s="114" t="s">
        <v>109</v>
      </c>
      <c r="B16" s="15" t="s">
        <v>110</v>
      </c>
      <c r="C16" s="9" t="s">
        <v>104</v>
      </c>
      <c r="D16" s="119">
        <v>21</v>
      </c>
      <c r="E16" s="25">
        <v>0</v>
      </c>
      <c r="F16" s="120">
        <f t="shared" si="0"/>
        <v>0</v>
      </c>
      <c r="G16" s="128" t="str">
        <f t="shared" si="1"/>
        <v>FFUP</v>
      </c>
      <c r="H16" s="119">
        <v>21</v>
      </c>
      <c r="I16" s="129">
        <f t="shared" si="2"/>
        <v>0</v>
      </c>
      <c r="J16" s="120">
        <f t="shared" si="3"/>
        <v>0</v>
      </c>
      <c r="K16" s="128" t="str">
        <f t="shared" si="4"/>
        <v>FFUP</v>
      </c>
      <c r="L16" s="119">
        <v>21</v>
      </c>
      <c r="M16" s="129">
        <f t="shared" si="5"/>
        <v>0</v>
      </c>
      <c r="N16" s="120">
        <f t="shared" si="6"/>
        <v>0</v>
      </c>
      <c r="O16" s="128" t="str">
        <f t="shared" si="7"/>
        <v>FFUP</v>
      </c>
      <c r="P16" s="119">
        <v>21</v>
      </c>
      <c r="Q16" s="129">
        <f t="shared" si="8"/>
        <v>0</v>
      </c>
      <c r="R16" s="120">
        <f t="shared" si="9"/>
        <v>0</v>
      </c>
      <c r="S16" s="128" t="str">
        <f t="shared" si="10"/>
        <v>FFUP</v>
      </c>
      <c r="T16" s="119">
        <v>21</v>
      </c>
      <c r="U16" s="129">
        <f t="shared" si="11"/>
        <v>0</v>
      </c>
      <c r="V16" s="120">
        <f t="shared" si="12"/>
        <v>0</v>
      </c>
      <c r="W16" s="140">
        <f t="shared" si="13"/>
        <v>0</v>
      </c>
    </row>
    <row r="17" spans="1:23" x14ac:dyDescent="0.35">
      <c r="A17" s="114" t="s">
        <v>111</v>
      </c>
      <c r="B17" s="15" t="s">
        <v>112</v>
      </c>
      <c r="C17" s="9" t="s">
        <v>104</v>
      </c>
      <c r="D17" s="119">
        <f>D13</f>
        <v>1</v>
      </c>
      <c r="E17" s="25">
        <v>0</v>
      </c>
      <c r="F17" s="120">
        <f t="shared" si="0"/>
        <v>0</v>
      </c>
      <c r="G17" s="9" t="s">
        <v>104</v>
      </c>
      <c r="H17" s="119">
        <f>H13</f>
        <v>1</v>
      </c>
      <c r="I17" s="129">
        <f t="shared" si="2"/>
        <v>0</v>
      </c>
      <c r="J17" s="120">
        <f t="shared" si="3"/>
        <v>0</v>
      </c>
      <c r="K17" s="9" t="s">
        <v>104</v>
      </c>
      <c r="L17" s="119">
        <f>L13</f>
        <v>1</v>
      </c>
      <c r="M17" s="129">
        <f t="shared" si="5"/>
        <v>0</v>
      </c>
      <c r="N17" s="120">
        <f t="shared" si="6"/>
        <v>0</v>
      </c>
      <c r="O17" s="9" t="s">
        <v>104</v>
      </c>
      <c r="P17" s="119">
        <f>P13</f>
        <v>1</v>
      </c>
      <c r="Q17" s="129">
        <f t="shared" si="8"/>
        <v>0</v>
      </c>
      <c r="R17" s="120">
        <f t="shared" si="9"/>
        <v>0</v>
      </c>
      <c r="S17" s="9" t="s">
        <v>104</v>
      </c>
      <c r="T17" s="119">
        <f>T13</f>
        <v>1</v>
      </c>
      <c r="U17" s="129">
        <f t="shared" si="11"/>
        <v>0</v>
      </c>
      <c r="V17" s="120">
        <f t="shared" si="12"/>
        <v>0</v>
      </c>
      <c r="W17" s="140">
        <f t="shared" si="13"/>
        <v>0</v>
      </c>
    </row>
    <row r="18" spans="1:23" x14ac:dyDescent="0.35">
      <c r="A18" s="114"/>
      <c r="B18" s="15" t="s">
        <v>113</v>
      </c>
      <c r="C18" s="9"/>
      <c r="D18" s="119"/>
      <c r="E18" s="178"/>
      <c r="F18" s="120"/>
      <c r="G18" s="131"/>
      <c r="H18" s="119"/>
      <c r="I18" s="129"/>
      <c r="J18" s="120"/>
      <c r="K18" s="131"/>
      <c r="L18" s="119"/>
      <c r="M18" s="129"/>
      <c r="N18" s="120"/>
      <c r="O18" s="131"/>
      <c r="P18" s="119"/>
      <c r="Q18" s="129"/>
      <c r="R18" s="120"/>
      <c r="S18" s="131"/>
      <c r="T18" s="119"/>
      <c r="U18" s="129"/>
      <c r="V18" s="120"/>
      <c r="W18" s="140"/>
    </row>
    <row r="19" spans="1:23" x14ac:dyDescent="0.35">
      <c r="A19" s="114"/>
      <c r="C19" s="9"/>
      <c r="D19" s="119"/>
      <c r="E19" s="119"/>
      <c r="F19" s="120"/>
      <c r="G19" s="118"/>
      <c r="H19" s="116"/>
      <c r="I19" s="116"/>
      <c r="J19" s="117"/>
      <c r="K19" s="118"/>
      <c r="L19" s="116"/>
      <c r="M19" s="116"/>
      <c r="N19" s="117"/>
      <c r="O19" s="118"/>
      <c r="P19" s="116"/>
      <c r="Q19" s="116"/>
      <c r="R19" s="117"/>
      <c r="S19" s="118"/>
      <c r="T19" s="116"/>
      <c r="U19" s="116"/>
      <c r="V19" s="117"/>
      <c r="W19" s="140"/>
    </row>
    <row r="20" spans="1:23" x14ac:dyDescent="0.35">
      <c r="A20" s="114"/>
      <c r="B20" s="138"/>
      <c r="C20" s="131"/>
      <c r="D20" s="119"/>
      <c r="E20" s="116" t="s">
        <v>114</v>
      </c>
      <c r="F20" s="120">
        <f>SUM(F13:F19)</f>
        <v>0</v>
      </c>
      <c r="G20" s="118"/>
      <c r="H20" s="116"/>
      <c r="I20" s="116" t="s">
        <v>114</v>
      </c>
      <c r="J20" s="120">
        <f>SUM(J13:J19)</f>
        <v>0</v>
      </c>
      <c r="K20" s="118"/>
      <c r="L20" s="116"/>
      <c r="M20" s="116" t="s">
        <v>114</v>
      </c>
      <c r="N20" s="120">
        <f>SUM(N13:N19)</f>
        <v>0</v>
      </c>
      <c r="O20" s="118"/>
      <c r="P20" s="116"/>
      <c r="Q20" s="116" t="s">
        <v>114</v>
      </c>
      <c r="R20" s="120">
        <f>SUM(R13:R19)</f>
        <v>0</v>
      </c>
      <c r="S20" s="118"/>
      <c r="T20" s="116"/>
      <c r="U20" s="116" t="s">
        <v>114</v>
      </c>
      <c r="V20" s="120">
        <f>SUM(V13:V19)</f>
        <v>0</v>
      </c>
      <c r="W20" s="140">
        <f t="shared" si="13"/>
        <v>0</v>
      </c>
    </row>
    <row r="21" spans="1:23" x14ac:dyDescent="0.35">
      <c r="A21" s="134"/>
      <c r="B21" s="135"/>
      <c r="C21" s="136"/>
      <c r="D21" s="137"/>
      <c r="E21" s="137"/>
      <c r="F21" s="135"/>
      <c r="G21" s="136"/>
      <c r="H21" s="137"/>
      <c r="I21" s="137"/>
      <c r="J21" s="135"/>
      <c r="K21" s="136"/>
      <c r="L21" s="137"/>
      <c r="M21" s="137"/>
      <c r="N21" s="135"/>
      <c r="O21" s="136"/>
      <c r="P21" s="137"/>
      <c r="Q21" s="137"/>
      <c r="R21" s="135"/>
      <c r="S21" s="136"/>
      <c r="T21" s="137"/>
      <c r="U21" s="137"/>
      <c r="V21" s="135"/>
      <c r="W21" s="46"/>
    </row>
    <row r="22" spans="1:23" x14ac:dyDescent="0.35">
      <c r="C22" s="192" t="s">
        <v>86</v>
      </c>
      <c r="D22" s="192"/>
      <c r="E22" s="192"/>
      <c r="F22" s="192"/>
      <c r="G22" s="192" t="s">
        <v>87</v>
      </c>
      <c r="H22" s="192"/>
      <c r="I22" s="192"/>
      <c r="J22" s="192"/>
      <c r="K22" s="192" t="s">
        <v>88</v>
      </c>
      <c r="L22" s="192"/>
      <c r="M22" s="192"/>
      <c r="N22" s="192"/>
      <c r="O22" s="192" t="s">
        <v>89</v>
      </c>
      <c r="P22" s="192"/>
      <c r="Q22" s="192"/>
      <c r="R22" s="192"/>
      <c r="S22" s="192" t="s">
        <v>90</v>
      </c>
      <c r="T22" s="192"/>
      <c r="U22" s="192"/>
      <c r="V22" s="192"/>
      <c r="W22" s="45"/>
    </row>
    <row r="23" spans="1:23" s="148" customFormat="1" x14ac:dyDescent="0.35">
      <c r="A23" s="188" t="s">
        <v>115</v>
      </c>
      <c r="B23" s="188"/>
      <c r="C23" s="193" t="s">
        <v>116</v>
      </c>
      <c r="D23" s="194"/>
      <c r="E23" s="194"/>
      <c r="F23" s="195"/>
      <c r="G23" s="190" t="s">
        <v>117</v>
      </c>
      <c r="H23" s="190"/>
      <c r="I23" s="190"/>
      <c r="J23" s="190"/>
      <c r="K23" s="190" t="s">
        <v>118</v>
      </c>
      <c r="L23" s="190"/>
      <c r="M23" s="190"/>
      <c r="N23" s="190"/>
      <c r="O23" s="190" t="s">
        <v>119</v>
      </c>
      <c r="P23" s="190"/>
      <c r="Q23" s="190"/>
      <c r="R23" s="190"/>
      <c r="S23" s="190" t="s">
        <v>120</v>
      </c>
      <c r="T23" s="190"/>
      <c r="U23" s="190"/>
      <c r="V23" s="190"/>
      <c r="W23" s="147"/>
    </row>
    <row r="24" spans="1:23" x14ac:dyDescent="0.35">
      <c r="A24" s="8" t="s">
        <v>96</v>
      </c>
      <c r="B24" s="12" t="s">
        <v>12</v>
      </c>
      <c r="C24" s="4" t="s">
        <v>97</v>
      </c>
      <c r="D24" s="5" t="s">
        <v>98</v>
      </c>
      <c r="E24" s="5" t="s">
        <v>99</v>
      </c>
      <c r="F24" s="6" t="s">
        <v>100</v>
      </c>
      <c r="G24" s="4" t="s">
        <v>97</v>
      </c>
      <c r="H24" s="5" t="s">
        <v>98</v>
      </c>
      <c r="I24" s="5" t="s">
        <v>99</v>
      </c>
      <c r="J24" s="6" t="s">
        <v>100</v>
      </c>
      <c r="K24" s="4" t="s">
        <v>97</v>
      </c>
      <c r="L24" s="5" t="s">
        <v>98</v>
      </c>
      <c r="M24" s="5" t="s">
        <v>99</v>
      </c>
      <c r="N24" s="6" t="s">
        <v>100</v>
      </c>
      <c r="O24" s="4" t="s">
        <v>97</v>
      </c>
      <c r="P24" s="5" t="s">
        <v>98</v>
      </c>
      <c r="Q24" s="5" t="s">
        <v>99</v>
      </c>
      <c r="R24" s="6" t="s">
        <v>100</v>
      </c>
      <c r="S24" s="4" t="s">
        <v>97</v>
      </c>
      <c r="T24" s="5" t="s">
        <v>98</v>
      </c>
      <c r="U24" s="5" t="s">
        <v>99</v>
      </c>
      <c r="V24" s="6" t="s">
        <v>100</v>
      </c>
      <c r="W24" s="47" t="s">
        <v>101</v>
      </c>
    </row>
    <row r="25" spans="1:23" x14ac:dyDescent="0.35">
      <c r="A25" s="2" t="s">
        <v>121</v>
      </c>
      <c r="B25" s="3" t="s">
        <v>122</v>
      </c>
      <c r="C25" s="9" t="s">
        <v>123</v>
      </c>
      <c r="D25" s="119">
        <v>1</v>
      </c>
      <c r="E25" s="175"/>
      <c r="F25" s="120">
        <f t="shared" ref="F25:F26" si="14">D25*E25</f>
        <v>0</v>
      </c>
      <c r="G25" s="128" t="str">
        <f t="shared" ref="G25:G26" si="15">C25</f>
        <v>T&amp;M</v>
      </c>
      <c r="H25" s="119">
        <v>1</v>
      </c>
      <c r="I25" s="129">
        <f t="shared" ref="I25:I26" si="16">E25*1.05</f>
        <v>0</v>
      </c>
      <c r="J25" s="120">
        <f t="shared" ref="J25:J26" si="17">H25*I25</f>
        <v>0</v>
      </c>
      <c r="K25" s="128" t="str">
        <f t="shared" ref="K25:K26" si="18">G25</f>
        <v>T&amp;M</v>
      </c>
      <c r="L25" s="119">
        <v>1</v>
      </c>
      <c r="M25" s="129">
        <f t="shared" ref="M25:M26" si="19">I25*1.05</f>
        <v>0</v>
      </c>
      <c r="N25" s="120">
        <f t="shared" ref="N25:N26" si="20">L25*M25</f>
        <v>0</v>
      </c>
      <c r="O25" s="128" t="str">
        <f t="shared" ref="O25:O26" si="21">K25</f>
        <v>T&amp;M</v>
      </c>
      <c r="P25" s="119">
        <v>1</v>
      </c>
      <c r="Q25" s="129">
        <f t="shared" ref="Q25:Q26" si="22">M25*1.05</f>
        <v>0</v>
      </c>
      <c r="R25" s="120">
        <f t="shared" ref="R25:R26" si="23">P25*Q25</f>
        <v>0</v>
      </c>
      <c r="S25" s="128" t="str">
        <f t="shared" ref="S25:S26" si="24">O25</f>
        <v>T&amp;M</v>
      </c>
      <c r="T25" s="119">
        <v>1</v>
      </c>
      <c r="U25" s="129">
        <f t="shared" ref="U25:U26" si="25">Q25*1.05</f>
        <v>0</v>
      </c>
      <c r="V25" s="120">
        <f t="shared" ref="V25:V26" si="26">T25*U25</f>
        <v>0</v>
      </c>
      <c r="W25" s="140">
        <f t="shared" ref="W25:W26" si="27">SUM(V25,R25,N25,J25,F25)</f>
        <v>0</v>
      </c>
    </row>
    <row r="26" spans="1:23" x14ac:dyDescent="0.35">
      <c r="A26" s="2" t="s">
        <v>124</v>
      </c>
      <c r="B26" s="3" t="s">
        <v>125</v>
      </c>
      <c r="C26" s="123" t="s">
        <v>126</v>
      </c>
      <c r="D26" s="119">
        <v>1</v>
      </c>
      <c r="E26" s="175"/>
      <c r="F26" s="120">
        <f t="shared" si="14"/>
        <v>0</v>
      </c>
      <c r="G26" s="128" t="str">
        <f t="shared" si="15"/>
        <v>Cost reimbursable</v>
      </c>
      <c r="H26" s="119">
        <v>1</v>
      </c>
      <c r="I26" s="129">
        <f t="shared" si="16"/>
        <v>0</v>
      </c>
      <c r="J26" s="120">
        <f t="shared" si="17"/>
        <v>0</v>
      </c>
      <c r="K26" s="128" t="str">
        <f t="shared" si="18"/>
        <v>Cost reimbursable</v>
      </c>
      <c r="L26" s="119">
        <v>1</v>
      </c>
      <c r="M26" s="129">
        <f t="shared" si="19"/>
        <v>0</v>
      </c>
      <c r="N26" s="120">
        <f t="shared" si="20"/>
        <v>0</v>
      </c>
      <c r="O26" s="128" t="str">
        <f t="shared" si="21"/>
        <v>Cost reimbursable</v>
      </c>
      <c r="P26" s="119">
        <v>1</v>
      </c>
      <c r="Q26" s="129">
        <f t="shared" si="22"/>
        <v>0</v>
      </c>
      <c r="R26" s="120">
        <f t="shared" si="23"/>
        <v>0</v>
      </c>
      <c r="S26" s="128" t="str">
        <f t="shared" si="24"/>
        <v>Cost reimbursable</v>
      </c>
      <c r="T26" s="119">
        <v>1</v>
      </c>
      <c r="U26" s="129">
        <f t="shared" si="25"/>
        <v>0</v>
      </c>
      <c r="V26" s="120">
        <f t="shared" si="26"/>
        <v>0</v>
      </c>
      <c r="W26" s="140">
        <f t="shared" si="27"/>
        <v>0</v>
      </c>
    </row>
    <row r="27" spans="1:23" x14ac:dyDescent="0.35">
      <c r="A27" s="2" t="s">
        <v>127</v>
      </c>
      <c r="B27" s="3" t="s">
        <v>128</v>
      </c>
      <c r="C27" s="123" t="s">
        <v>129</v>
      </c>
      <c r="D27" s="119">
        <v>1</v>
      </c>
      <c r="E27" s="25"/>
      <c r="F27" s="120">
        <f>D27*E27</f>
        <v>0</v>
      </c>
      <c r="G27" s="128" t="str">
        <f>C27</f>
        <v>FFP</v>
      </c>
      <c r="H27" s="119">
        <v>1</v>
      </c>
      <c r="I27" s="129">
        <f>E27*1.05</f>
        <v>0</v>
      </c>
      <c r="J27" s="120">
        <f>H27*I27</f>
        <v>0</v>
      </c>
      <c r="K27" s="128" t="str">
        <f>G27</f>
        <v>FFP</v>
      </c>
      <c r="L27" s="119">
        <v>1</v>
      </c>
      <c r="M27" s="129">
        <f>I27*1.05</f>
        <v>0</v>
      </c>
      <c r="N27" s="120">
        <f>L27*M27</f>
        <v>0</v>
      </c>
      <c r="O27" s="128" t="str">
        <f>K27</f>
        <v>FFP</v>
      </c>
      <c r="P27" s="119">
        <v>1</v>
      </c>
      <c r="Q27" s="129">
        <f>M27*1.05</f>
        <v>0</v>
      </c>
      <c r="R27" s="120">
        <f>P27*Q27</f>
        <v>0</v>
      </c>
      <c r="S27" s="128" t="str">
        <f>O27</f>
        <v>FFP</v>
      </c>
      <c r="T27" s="119">
        <v>1</v>
      </c>
      <c r="U27" s="129">
        <f>Q27*1.05</f>
        <v>0</v>
      </c>
      <c r="V27" s="120">
        <f>T27*U27</f>
        <v>0</v>
      </c>
      <c r="W27" s="140">
        <f>SUM(V27,R27,N27,J27,F27)</f>
        <v>0</v>
      </c>
    </row>
    <row r="28" spans="1:23" x14ac:dyDescent="0.35">
      <c r="A28" s="2" t="s">
        <v>130</v>
      </c>
      <c r="B28" s="3" t="s">
        <v>131</v>
      </c>
      <c r="C28" s="153"/>
      <c r="D28" s="154"/>
      <c r="E28" s="152"/>
      <c r="F28" s="155"/>
      <c r="G28" s="153"/>
      <c r="H28" s="154"/>
      <c r="I28" s="152"/>
      <c r="J28" s="155"/>
      <c r="K28" s="153"/>
      <c r="L28" s="154"/>
      <c r="M28" s="152"/>
      <c r="N28" s="155"/>
      <c r="O28" s="153"/>
      <c r="P28" s="154"/>
      <c r="Q28" s="152"/>
      <c r="R28" s="155"/>
      <c r="S28" s="156"/>
      <c r="T28" s="152"/>
      <c r="U28" s="157"/>
      <c r="V28" s="158"/>
      <c r="W28" s="140"/>
    </row>
    <row r="29" spans="1:23" x14ac:dyDescent="0.35">
      <c r="A29" s="2" t="s">
        <v>132</v>
      </c>
      <c r="B29" s="3" t="s">
        <v>133</v>
      </c>
      <c r="C29" s="153"/>
      <c r="D29" s="154"/>
      <c r="E29" s="152"/>
      <c r="F29" s="155"/>
      <c r="G29" s="153"/>
      <c r="H29" s="154"/>
      <c r="I29" s="152"/>
      <c r="J29" s="155"/>
      <c r="K29" s="153"/>
      <c r="L29" s="154"/>
      <c r="M29" s="152"/>
      <c r="N29" s="155"/>
      <c r="O29" s="153"/>
      <c r="P29" s="154"/>
      <c r="Q29" s="152"/>
      <c r="R29" s="155"/>
      <c r="S29" s="156"/>
      <c r="T29" s="152"/>
      <c r="U29" s="157"/>
      <c r="V29" s="158"/>
      <c r="W29" s="140"/>
    </row>
    <row r="30" spans="1:23" x14ac:dyDescent="0.35">
      <c r="A30" s="2" t="s">
        <v>134</v>
      </c>
      <c r="B30" s="3" t="s">
        <v>135</v>
      </c>
      <c r="C30" s="153"/>
      <c r="D30" s="159"/>
      <c r="E30" s="160"/>
      <c r="F30" s="161"/>
      <c r="G30" s="153"/>
      <c r="H30" s="159"/>
      <c r="I30" s="160"/>
      <c r="J30" s="161"/>
      <c r="K30" s="153"/>
      <c r="L30" s="159"/>
      <c r="M30" s="160"/>
      <c r="N30" s="161"/>
      <c r="O30" s="153"/>
      <c r="P30" s="159"/>
      <c r="Q30" s="160"/>
      <c r="R30" s="161"/>
      <c r="S30" s="162"/>
      <c r="T30" s="159"/>
      <c r="U30" s="163"/>
      <c r="V30" s="164"/>
      <c r="W30" s="140"/>
    </row>
    <row r="31" spans="1:23" x14ac:dyDescent="0.35">
      <c r="A31" s="2" t="s">
        <v>136</v>
      </c>
      <c r="B31" s="52" t="s">
        <v>137</v>
      </c>
      <c r="C31" s="153"/>
      <c r="D31" s="159"/>
      <c r="E31" s="160"/>
      <c r="F31" s="161"/>
      <c r="G31" s="153"/>
      <c r="H31" s="159"/>
      <c r="I31" s="160"/>
      <c r="J31" s="161"/>
      <c r="K31" s="153"/>
      <c r="L31" s="159"/>
      <c r="M31" s="160"/>
      <c r="N31" s="161"/>
      <c r="O31" s="153"/>
      <c r="P31" s="159"/>
      <c r="Q31" s="160"/>
      <c r="R31" s="161"/>
      <c r="S31" s="162"/>
      <c r="T31" s="159"/>
      <c r="U31" s="163"/>
      <c r="V31" s="164"/>
      <c r="W31" s="140"/>
    </row>
    <row r="32" spans="1:23" x14ac:dyDescent="0.35">
      <c r="A32" s="114"/>
      <c r="B32" s="130"/>
      <c r="C32" s="131"/>
      <c r="D32" s="132"/>
      <c r="E32" s="133" t="s">
        <v>138</v>
      </c>
      <c r="F32" s="120">
        <f>SUM(F27:F31)</f>
        <v>0</v>
      </c>
      <c r="G32" s="131"/>
      <c r="H32" s="132"/>
      <c r="I32" s="133" t="s">
        <v>138</v>
      </c>
      <c r="J32" s="120">
        <f>SUM(J21:J31)</f>
        <v>0</v>
      </c>
      <c r="K32" s="131"/>
      <c r="L32" s="132"/>
      <c r="M32" s="133" t="s">
        <v>138</v>
      </c>
      <c r="N32" s="120">
        <f>SUM(N21:N31)</f>
        <v>0</v>
      </c>
      <c r="O32" s="131"/>
      <c r="P32" s="132"/>
      <c r="Q32" s="133" t="s">
        <v>138</v>
      </c>
      <c r="R32" s="120">
        <f>SUM(R21:R31)</f>
        <v>0</v>
      </c>
      <c r="S32" s="131"/>
      <c r="T32" s="132"/>
      <c r="U32" s="133" t="s">
        <v>138</v>
      </c>
      <c r="V32" s="120">
        <f>SUM(V21:V31)</f>
        <v>0</v>
      </c>
      <c r="W32" s="140">
        <f>SUM(V32,R32,N32,J32,F32)</f>
        <v>0</v>
      </c>
    </row>
    <row r="33" spans="1:23" x14ac:dyDescent="0.35">
      <c r="A33" s="35"/>
      <c r="B33" s="36"/>
      <c r="C33" s="37"/>
      <c r="D33" s="38"/>
      <c r="E33" s="38"/>
      <c r="F33" s="36"/>
      <c r="G33" s="37"/>
      <c r="H33" s="38"/>
      <c r="I33" s="38"/>
      <c r="J33" s="36"/>
      <c r="K33" s="37"/>
      <c r="L33" s="38"/>
      <c r="M33" s="38"/>
      <c r="N33" s="36"/>
      <c r="O33" s="37"/>
      <c r="P33" s="38"/>
      <c r="Q33" s="38"/>
      <c r="R33" s="36"/>
      <c r="S33" s="37"/>
      <c r="T33" s="38"/>
      <c r="U33" s="38"/>
      <c r="V33" s="36"/>
      <c r="W33" s="46"/>
    </row>
    <row r="34" spans="1:23" x14ac:dyDescent="0.35">
      <c r="A34" s="124"/>
      <c r="C34" s="192" t="s">
        <v>86</v>
      </c>
      <c r="D34" s="192"/>
      <c r="E34" s="192"/>
      <c r="F34" s="192"/>
      <c r="G34" s="192" t="s">
        <v>87</v>
      </c>
      <c r="H34" s="192"/>
      <c r="I34" s="192"/>
      <c r="J34" s="192"/>
      <c r="K34" s="192" t="s">
        <v>88</v>
      </c>
      <c r="L34" s="192"/>
      <c r="M34" s="192"/>
      <c r="N34" s="192"/>
      <c r="O34" s="192" t="s">
        <v>89</v>
      </c>
      <c r="P34" s="192"/>
      <c r="Q34" s="192"/>
      <c r="R34" s="192"/>
      <c r="S34" s="192" t="s">
        <v>90</v>
      </c>
      <c r="T34" s="192"/>
      <c r="U34" s="192"/>
      <c r="V34" s="192"/>
      <c r="W34" s="125"/>
    </row>
    <row r="35" spans="1:23" s="148" customFormat="1" x14ac:dyDescent="0.3">
      <c r="A35" s="196" t="s">
        <v>139</v>
      </c>
      <c r="B35" s="196"/>
      <c r="C35" s="193" t="s">
        <v>140</v>
      </c>
      <c r="D35" s="194"/>
      <c r="E35" s="194"/>
      <c r="F35" s="195"/>
      <c r="G35" s="190" t="s">
        <v>141</v>
      </c>
      <c r="H35" s="190"/>
      <c r="I35" s="190"/>
      <c r="J35" s="190"/>
      <c r="K35" s="190" t="s">
        <v>142</v>
      </c>
      <c r="L35" s="190"/>
      <c r="M35" s="190"/>
      <c r="N35" s="190"/>
      <c r="O35" s="190" t="s">
        <v>143</v>
      </c>
      <c r="P35" s="190"/>
      <c r="Q35" s="190"/>
      <c r="R35" s="190"/>
      <c r="S35" s="190" t="s">
        <v>144</v>
      </c>
      <c r="T35" s="190"/>
      <c r="U35" s="190"/>
      <c r="V35" s="190"/>
      <c r="W35" s="147"/>
    </row>
    <row r="36" spans="1:23" x14ac:dyDescent="0.35">
      <c r="A36" s="26" t="s">
        <v>145</v>
      </c>
      <c r="B36" s="27" t="s">
        <v>12</v>
      </c>
      <c r="C36" s="4" t="s">
        <v>97</v>
      </c>
      <c r="D36" s="5" t="s">
        <v>98</v>
      </c>
      <c r="E36" s="5" t="s">
        <v>99</v>
      </c>
      <c r="F36" s="6" t="s">
        <v>100</v>
      </c>
      <c r="G36" s="4" t="s">
        <v>97</v>
      </c>
      <c r="H36" s="5" t="s">
        <v>98</v>
      </c>
      <c r="I36" s="5" t="s">
        <v>99</v>
      </c>
      <c r="J36" s="6" t="s">
        <v>100</v>
      </c>
      <c r="K36" s="4" t="s">
        <v>97</v>
      </c>
      <c r="L36" s="5" t="s">
        <v>98</v>
      </c>
      <c r="M36" s="5" t="s">
        <v>99</v>
      </c>
      <c r="N36" s="6" t="s">
        <v>100</v>
      </c>
      <c r="O36" s="4" t="s">
        <v>97</v>
      </c>
      <c r="P36" s="5" t="s">
        <v>98</v>
      </c>
      <c r="Q36" s="5" t="s">
        <v>99</v>
      </c>
      <c r="R36" s="6" t="s">
        <v>100</v>
      </c>
      <c r="S36" s="4" t="s">
        <v>97</v>
      </c>
      <c r="T36" s="5" t="s">
        <v>98</v>
      </c>
      <c r="U36" s="5" t="s">
        <v>99</v>
      </c>
      <c r="V36" s="6" t="s">
        <v>100</v>
      </c>
      <c r="W36" s="43" t="s">
        <v>101</v>
      </c>
    </row>
    <row r="37" spans="1:23" x14ac:dyDescent="0.35">
      <c r="A37" s="28" t="s">
        <v>146</v>
      </c>
      <c r="B37" s="126" t="s">
        <v>147</v>
      </c>
      <c r="C37" s="9" t="s">
        <v>123</v>
      </c>
      <c r="D37" s="10">
        <v>1</v>
      </c>
      <c r="E37" s="25"/>
      <c r="F37" s="11">
        <f>ROUND(D37*E37,2)</f>
        <v>0</v>
      </c>
      <c r="G37" s="9" t="s">
        <v>123</v>
      </c>
      <c r="H37" s="10">
        <v>1</v>
      </c>
      <c r="I37" s="25">
        <f>E37*1.05</f>
        <v>0</v>
      </c>
      <c r="J37" s="11">
        <f>ROUND(H37*I37,2)</f>
        <v>0</v>
      </c>
      <c r="K37" s="9" t="s">
        <v>123</v>
      </c>
      <c r="L37" s="10">
        <v>1</v>
      </c>
      <c r="M37" s="25">
        <f>I37*1.05</f>
        <v>0</v>
      </c>
      <c r="N37" s="11">
        <f>ROUND(L37*M37,2)</f>
        <v>0</v>
      </c>
      <c r="O37" s="9" t="s">
        <v>123</v>
      </c>
      <c r="P37" s="10">
        <v>1</v>
      </c>
      <c r="Q37" s="25">
        <f>M37*1.05</f>
        <v>0</v>
      </c>
      <c r="R37" s="11">
        <f>ROUND(P37*Q37,2)</f>
        <v>0</v>
      </c>
      <c r="S37" s="9" t="s">
        <v>123</v>
      </c>
      <c r="T37" s="10">
        <v>1</v>
      </c>
      <c r="U37" s="25">
        <f>Q37*1.05</f>
        <v>0</v>
      </c>
      <c r="V37" s="11">
        <f>ROUND(T37*U37,2)</f>
        <v>0</v>
      </c>
      <c r="W37" s="165">
        <f>SUM(V37,R37,N37,J37,F37)</f>
        <v>0</v>
      </c>
    </row>
    <row r="38" spans="1:23" x14ac:dyDescent="0.35">
      <c r="A38" s="28" t="s">
        <v>148</v>
      </c>
      <c r="B38" s="127" t="s">
        <v>149</v>
      </c>
      <c r="C38" s="9" t="s">
        <v>123</v>
      </c>
      <c r="D38" s="10">
        <v>1</v>
      </c>
      <c r="E38" s="25"/>
      <c r="F38" s="11">
        <f t="shared" ref="F38:F48" si="28">ROUND(D38*E38,2)</f>
        <v>0</v>
      </c>
      <c r="G38" s="9" t="s">
        <v>123</v>
      </c>
      <c r="H38" s="10">
        <v>1</v>
      </c>
      <c r="I38" s="25">
        <f t="shared" ref="I38:I48" si="29">E38*1.05</f>
        <v>0</v>
      </c>
      <c r="J38" s="11">
        <f t="shared" ref="J38" si="30">ROUND(H38*I38,2)</f>
        <v>0</v>
      </c>
      <c r="K38" s="9" t="s">
        <v>123</v>
      </c>
      <c r="L38" s="10">
        <v>1</v>
      </c>
      <c r="M38" s="25">
        <f t="shared" ref="M38:M48" si="31">I38*1.05</f>
        <v>0</v>
      </c>
      <c r="N38" s="11">
        <f t="shared" ref="N38" si="32">ROUND(L38*M38,2)</f>
        <v>0</v>
      </c>
      <c r="O38" s="9" t="s">
        <v>123</v>
      </c>
      <c r="P38" s="10">
        <v>1</v>
      </c>
      <c r="Q38" s="25">
        <f t="shared" ref="Q38:Q48" si="33">M38*1.05</f>
        <v>0</v>
      </c>
      <c r="R38" s="11">
        <f t="shared" ref="R38" si="34">ROUND(P38*Q38,2)</f>
        <v>0</v>
      </c>
      <c r="S38" s="9" t="s">
        <v>123</v>
      </c>
      <c r="T38" s="10">
        <v>1</v>
      </c>
      <c r="U38" s="25">
        <f t="shared" ref="U38:U48" si="35">Q38*1.05</f>
        <v>0</v>
      </c>
      <c r="V38" s="11">
        <f t="shared" ref="V38" si="36">ROUND(T38*U38,2)</f>
        <v>0</v>
      </c>
      <c r="W38" s="165">
        <f t="shared" ref="W38:W48" si="37">SUM(V38,R38,N38,J38,F38)</f>
        <v>0</v>
      </c>
    </row>
    <row r="39" spans="1:23" x14ac:dyDescent="0.35">
      <c r="A39" s="28" t="s">
        <v>150</v>
      </c>
      <c r="B39" s="127" t="s">
        <v>151</v>
      </c>
      <c r="C39" s="9" t="s">
        <v>123</v>
      </c>
      <c r="D39" s="10">
        <v>1</v>
      </c>
      <c r="E39" s="25"/>
      <c r="F39" s="11">
        <f>ROUND(D39*E39,2)</f>
        <v>0</v>
      </c>
      <c r="G39" s="9" t="s">
        <v>123</v>
      </c>
      <c r="H39" s="10">
        <v>1</v>
      </c>
      <c r="I39" s="25">
        <f t="shared" si="29"/>
        <v>0</v>
      </c>
      <c r="J39" s="11">
        <f>ROUND(H39*I39,2)</f>
        <v>0</v>
      </c>
      <c r="K39" s="9" t="s">
        <v>123</v>
      </c>
      <c r="L39" s="10">
        <v>1</v>
      </c>
      <c r="M39" s="25">
        <f t="shared" si="31"/>
        <v>0</v>
      </c>
      <c r="N39" s="11">
        <f>ROUND(L39*M39,2)</f>
        <v>0</v>
      </c>
      <c r="O39" s="9" t="s">
        <v>123</v>
      </c>
      <c r="P39" s="10">
        <v>1</v>
      </c>
      <c r="Q39" s="25">
        <f t="shared" si="33"/>
        <v>0</v>
      </c>
      <c r="R39" s="11">
        <f>ROUND(P39*Q39,2)</f>
        <v>0</v>
      </c>
      <c r="S39" s="9" t="s">
        <v>123</v>
      </c>
      <c r="T39" s="10">
        <v>1</v>
      </c>
      <c r="U39" s="25">
        <f t="shared" si="35"/>
        <v>0</v>
      </c>
      <c r="V39" s="11">
        <f>ROUND(T39*U39,2)</f>
        <v>0</v>
      </c>
      <c r="W39" s="165">
        <f t="shared" si="37"/>
        <v>0</v>
      </c>
    </row>
    <row r="40" spans="1:23" x14ac:dyDescent="0.35">
      <c r="A40" s="28" t="s">
        <v>152</v>
      </c>
      <c r="B40" s="127" t="s">
        <v>153</v>
      </c>
      <c r="C40" s="9" t="s">
        <v>123</v>
      </c>
      <c r="D40" s="10">
        <v>1</v>
      </c>
      <c r="E40" s="25"/>
      <c r="F40" s="11">
        <f t="shared" si="28"/>
        <v>0</v>
      </c>
      <c r="G40" s="9" t="s">
        <v>123</v>
      </c>
      <c r="H40" s="10">
        <v>1</v>
      </c>
      <c r="I40" s="25">
        <f t="shared" si="29"/>
        <v>0</v>
      </c>
      <c r="J40" s="11">
        <f t="shared" ref="J40:J48" si="38">ROUND(H40*I40,2)</f>
        <v>0</v>
      </c>
      <c r="K40" s="9" t="s">
        <v>123</v>
      </c>
      <c r="L40" s="10">
        <v>1</v>
      </c>
      <c r="M40" s="25">
        <f t="shared" si="31"/>
        <v>0</v>
      </c>
      <c r="N40" s="11">
        <f t="shared" ref="N40:N48" si="39">ROUND(L40*M40,2)</f>
        <v>0</v>
      </c>
      <c r="O40" s="9" t="s">
        <v>123</v>
      </c>
      <c r="P40" s="10">
        <v>1</v>
      </c>
      <c r="Q40" s="25">
        <f t="shared" si="33"/>
        <v>0</v>
      </c>
      <c r="R40" s="11">
        <f t="shared" ref="R40:R48" si="40">ROUND(P40*Q40,2)</f>
        <v>0</v>
      </c>
      <c r="S40" s="9" t="s">
        <v>123</v>
      </c>
      <c r="T40" s="10">
        <v>1</v>
      </c>
      <c r="U40" s="25">
        <f t="shared" si="35"/>
        <v>0</v>
      </c>
      <c r="V40" s="11">
        <f t="shared" ref="V40:V48" si="41">ROUND(T40*U40,2)</f>
        <v>0</v>
      </c>
      <c r="W40" s="165">
        <f t="shared" si="37"/>
        <v>0</v>
      </c>
    </row>
    <row r="41" spans="1:23" x14ac:dyDescent="0.35">
      <c r="A41" s="28" t="s">
        <v>154</v>
      </c>
      <c r="B41" s="127" t="s">
        <v>155</v>
      </c>
      <c r="C41" s="9" t="s">
        <v>123</v>
      </c>
      <c r="D41" s="10">
        <v>1</v>
      </c>
      <c r="E41" s="25"/>
      <c r="F41" s="11">
        <f t="shared" si="28"/>
        <v>0</v>
      </c>
      <c r="G41" s="9" t="s">
        <v>123</v>
      </c>
      <c r="H41" s="10">
        <v>1</v>
      </c>
      <c r="I41" s="25">
        <f t="shared" si="29"/>
        <v>0</v>
      </c>
      <c r="J41" s="11">
        <f t="shared" si="38"/>
        <v>0</v>
      </c>
      <c r="K41" s="9" t="s">
        <v>123</v>
      </c>
      <c r="L41" s="10">
        <v>1</v>
      </c>
      <c r="M41" s="25">
        <f t="shared" si="31"/>
        <v>0</v>
      </c>
      <c r="N41" s="11">
        <f t="shared" si="39"/>
        <v>0</v>
      </c>
      <c r="O41" s="9" t="s">
        <v>123</v>
      </c>
      <c r="P41" s="10">
        <v>1</v>
      </c>
      <c r="Q41" s="25">
        <f t="shared" si="33"/>
        <v>0</v>
      </c>
      <c r="R41" s="11">
        <f t="shared" si="40"/>
        <v>0</v>
      </c>
      <c r="S41" s="9" t="s">
        <v>123</v>
      </c>
      <c r="T41" s="10">
        <v>1</v>
      </c>
      <c r="U41" s="25">
        <f t="shared" si="35"/>
        <v>0</v>
      </c>
      <c r="V41" s="11">
        <f t="shared" si="41"/>
        <v>0</v>
      </c>
      <c r="W41" s="165">
        <f t="shared" si="37"/>
        <v>0</v>
      </c>
    </row>
    <row r="42" spans="1:23" x14ac:dyDescent="0.35">
      <c r="A42" s="28" t="s">
        <v>156</v>
      </c>
      <c r="B42" s="127" t="s">
        <v>157</v>
      </c>
      <c r="C42" s="9" t="s">
        <v>123</v>
      </c>
      <c r="D42" s="10">
        <v>1</v>
      </c>
      <c r="E42" s="25"/>
      <c r="F42" s="11">
        <f t="shared" si="28"/>
        <v>0</v>
      </c>
      <c r="G42" s="9" t="s">
        <v>123</v>
      </c>
      <c r="H42" s="10">
        <v>1</v>
      </c>
      <c r="I42" s="25">
        <f t="shared" si="29"/>
        <v>0</v>
      </c>
      <c r="J42" s="11">
        <f t="shared" si="38"/>
        <v>0</v>
      </c>
      <c r="K42" s="9" t="s">
        <v>123</v>
      </c>
      <c r="L42" s="10">
        <v>1</v>
      </c>
      <c r="M42" s="25">
        <f t="shared" si="31"/>
        <v>0</v>
      </c>
      <c r="N42" s="11">
        <f t="shared" si="39"/>
        <v>0</v>
      </c>
      <c r="O42" s="9" t="s">
        <v>123</v>
      </c>
      <c r="P42" s="10">
        <v>1</v>
      </c>
      <c r="Q42" s="25">
        <f t="shared" si="33"/>
        <v>0</v>
      </c>
      <c r="R42" s="11">
        <f t="shared" si="40"/>
        <v>0</v>
      </c>
      <c r="S42" s="9" t="s">
        <v>123</v>
      </c>
      <c r="T42" s="10">
        <v>1</v>
      </c>
      <c r="U42" s="25">
        <f t="shared" si="35"/>
        <v>0</v>
      </c>
      <c r="V42" s="11">
        <f t="shared" si="41"/>
        <v>0</v>
      </c>
      <c r="W42" s="165">
        <f t="shared" si="37"/>
        <v>0</v>
      </c>
    </row>
    <row r="43" spans="1:23" x14ac:dyDescent="0.35">
      <c r="A43" s="28" t="s">
        <v>158</v>
      </c>
      <c r="B43" s="127" t="s">
        <v>159</v>
      </c>
      <c r="C43" s="9" t="s">
        <v>123</v>
      </c>
      <c r="D43" s="10">
        <v>1</v>
      </c>
      <c r="E43" s="25"/>
      <c r="F43" s="11">
        <f t="shared" si="28"/>
        <v>0</v>
      </c>
      <c r="G43" s="9" t="s">
        <v>123</v>
      </c>
      <c r="H43" s="10">
        <v>1</v>
      </c>
      <c r="I43" s="25">
        <f t="shared" si="29"/>
        <v>0</v>
      </c>
      <c r="J43" s="11">
        <f t="shared" si="38"/>
        <v>0</v>
      </c>
      <c r="K43" s="9" t="s">
        <v>123</v>
      </c>
      <c r="L43" s="10">
        <v>1</v>
      </c>
      <c r="M43" s="25">
        <f t="shared" si="31"/>
        <v>0</v>
      </c>
      <c r="N43" s="11">
        <f t="shared" si="39"/>
        <v>0</v>
      </c>
      <c r="O43" s="9" t="s">
        <v>123</v>
      </c>
      <c r="P43" s="10">
        <v>1</v>
      </c>
      <c r="Q43" s="25">
        <f t="shared" si="33"/>
        <v>0</v>
      </c>
      <c r="R43" s="11">
        <f t="shared" si="40"/>
        <v>0</v>
      </c>
      <c r="S43" s="9" t="s">
        <v>123</v>
      </c>
      <c r="T43" s="10">
        <v>1</v>
      </c>
      <c r="U43" s="25">
        <f t="shared" si="35"/>
        <v>0</v>
      </c>
      <c r="V43" s="11">
        <f t="shared" si="41"/>
        <v>0</v>
      </c>
      <c r="W43" s="165">
        <f t="shared" si="37"/>
        <v>0</v>
      </c>
    </row>
    <row r="44" spans="1:23" x14ac:dyDescent="0.35">
      <c r="A44" s="28" t="s">
        <v>160</v>
      </c>
      <c r="B44" s="127" t="s">
        <v>161</v>
      </c>
      <c r="C44" s="9" t="s">
        <v>123</v>
      </c>
      <c r="D44" s="10">
        <v>1</v>
      </c>
      <c r="E44" s="25"/>
      <c r="F44" s="11">
        <f t="shared" si="28"/>
        <v>0</v>
      </c>
      <c r="G44" s="9" t="s">
        <v>123</v>
      </c>
      <c r="H44" s="10">
        <v>1</v>
      </c>
      <c r="I44" s="25">
        <f t="shared" si="29"/>
        <v>0</v>
      </c>
      <c r="J44" s="11">
        <f t="shared" si="38"/>
        <v>0</v>
      </c>
      <c r="K44" s="9" t="s">
        <v>123</v>
      </c>
      <c r="L44" s="10">
        <v>1</v>
      </c>
      <c r="M44" s="25">
        <f t="shared" si="31"/>
        <v>0</v>
      </c>
      <c r="N44" s="11">
        <f t="shared" si="39"/>
        <v>0</v>
      </c>
      <c r="O44" s="9" t="s">
        <v>123</v>
      </c>
      <c r="P44" s="10">
        <v>1</v>
      </c>
      <c r="Q44" s="25">
        <f t="shared" si="33"/>
        <v>0</v>
      </c>
      <c r="R44" s="11">
        <f t="shared" si="40"/>
        <v>0</v>
      </c>
      <c r="S44" s="9" t="s">
        <v>123</v>
      </c>
      <c r="T44" s="10">
        <v>1</v>
      </c>
      <c r="U44" s="25">
        <f t="shared" si="35"/>
        <v>0</v>
      </c>
      <c r="V44" s="11">
        <f t="shared" si="41"/>
        <v>0</v>
      </c>
      <c r="W44" s="165">
        <f t="shared" si="37"/>
        <v>0</v>
      </c>
    </row>
    <row r="45" spans="1:23" x14ac:dyDescent="0.35">
      <c r="A45" s="28" t="s">
        <v>162</v>
      </c>
      <c r="B45" s="127" t="s">
        <v>163</v>
      </c>
      <c r="C45" s="9" t="s">
        <v>123</v>
      </c>
      <c r="D45" s="10">
        <v>1</v>
      </c>
      <c r="E45" s="25"/>
      <c r="F45" s="11">
        <f t="shared" si="28"/>
        <v>0</v>
      </c>
      <c r="G45" s="9" t="s">
        <v>123</v>
      </c>
      <c r="H45" s="10">
        <v>1</v>
      </c>
      <c r="I45" s="25">
        <f t="shared" si="29"/>
        <v>0</v>
      </c>
      <c r="J45" s="11">
        <f t="shared" si="38"/>
        <v>0</v>
      </c>
      <c r="K45" s="9" t="s">
        <v>123</v>
      </c>
      <c r="L45" s="10">
        <v>1</v>
      </c>
      <c r="M45" s="25">
        <f t="shared" si="31"/>
        <v>0</v>
      </c>
      <c r="N45" s="11">
        <f t="shared" si="39"/>
        <v>0</v>
      </c>
      <c r="O45" s="9" t="s">
        <v>123</v>
      </c>
      <c r="P45" s="10">
        <v>1</v>
      </c>
      <c r="Q45" s="25">
        <f t="shared" si="33"/>
        <v>0</v>
      </c>
      <c r="R45" s="11">
        <f t="shared" si="40"/>
        <v>0</v>
      </c>
      <c r="S45" s="9" t="s">
        <v>123</v>
      </c>
      <c r="T45" s="10">
        <v>1</v>
      </c>
      <c r="U45" s="25">
        <f t="shared" si="35"/>
        <v>0</v>
      </c>
      <c r="V45" s="11">
        <f t="shared" si="41"/>
        <v>0</v>
      </c>
      <c r="W45" s="165">
        <f t="shared" si="37"/>
        <v>0</v>
      </c>
    </row>
    <row r="46" spans="1:23" x14ac:dyDescent="0.35">
      <c r="A46" s="28" t="s">
        <v>164</v>
      </c>
      <c r="B46" s="127" t="s">
        <v>165</v>
      </c>
      <c r="C46" s="9" t="s">
        <v>123</v>
      </c>
      <c r="D46" s="10">
        <v>1</v>
      </c>
      <c r="E46" s="25"/>
      <c r="F46" s="11">
        <f t="shared" si="28"/>
        <v>0</v>
      </c>
      <c r="G46" s="9" t="s">
        <v>123</v>
      </c>
      <c r="H46" s="10">
        <v>1</v>
      </c>
      <c r="I46" s="25">
        <f t="shared" si="29"/>
        <v>0</v>
      </c>
      <c r="J46" s="11">
        <f t="shared" si="38"/>
        <v>0</v>
      </c>
      <c r="K46" s="9" t="s">
        <v>123</v>
      </c>
      <c r="L46" s="10">
        <v>1</v>
      </c>
      <c r="M46" s="25">
        <f t="shared" si="31"/>
        <v>0</v>
      </c>
      <c r="N46" s="11">
        <f t="shared" si="39"/>
        <v>0</v>
      </c>
      <c r="O46" s="9" t="s">
        <v>123</v>
      </c>
      <c r="P46" s="10">
        <v>1</v>
      </c>
      <c r="Q46" s="25">
        <f t="shared" si="33"/>
        <v>0</v>
      </c>
      <c r="R46" s="11">
        <f t="shared" si="40"/>
        <v>0</v>
      </c>
      <c r="S46" s="9" t="s">
        <v>123</v>
      </c>
      <c r="T46" s="10">
        <v>1</v>
      </c>
      <c r="U46" s="25">
        <f t="shared" si="35"/>
        <v>0</v>
      </c>
      <c r="V46" s="11">
        <f t="shared" si="41"/>
        <v>0</v>
      </c>
      <c r="W46" s="165">
        <f t="shared" si="37"/>
        <v>0</v>
      </c>
    </row>
    <row r="47" spans="1:23" x14ac:dyDescent="0.35">
      <c r="A47" s="28" t="s">
        <v>166</v>
      </c>
      <c r="B47" s="127" t="s">
        <v>167</v>
      </c>
      <c r="C47" s="9" t="s">
        <v>123</v>
      </c>
      <c r="D47" s="10">
        <v>1</v>
      </c>
      <c r="E47" s="25"/>
      <c r="F47" s="11">
        <f>ROUND(D47*E47,2)</f>
        <v>0</v>
      </c>
      <c r="G47" s="9" t="s">
        <v>123</v>
      </c>
      <c r="H47" s="10">
        <v>1</v>
      </c>
      <c r="I47" s="25">
        <f>E47*1.05</f>
        <v>0</v>
      </c>
      <c r="J47" s="11">
        <f>ROUND(H47*I47,2)</f>
        <v>0</v>
      </c>
      <c r="K47" s="9" t="s">
        <v>123</v>
      </c>
      <c r="L47" s="10">
        <v>1</v>
      </c>
      <c r="M47" s="25">
        <f>I47*1.05</f>
        <v>0</v>
      </c>
      <c r="N47" s="11">
        <f>ROUND(L47*M47,2)</f>
        <v>0</v>
      </c>
      <c r="O47" s="9" t="s">
        <v>123</v>
      </c>
      <c r="P47" s="10">
        <v>1</v>
      </c>
      <c r="Q47" s="25">
        <f>M47*1.05</f>
        <v>0</v>
      </c>
      <c r="R47" s="11">
        <f>ROUND(P47*Q47,2)</f>
        <v>0</v>
      </c>
      <c r="S47" s="9" t="s">
        <v>123</v>
      </c>
      <c r="T47" s="10">
        <v>1</v>
      </c>
      <c r="U47" s="25">
        <f>Q47*1.05</f>
        <v>0</v>
      </c>
      <c r="V47" s="11">
        <f>ROUND(T47*U47,2)</f>
        <v>0</v>
      </c>
      <c r="W47" s="165">
        <f t="shared" si="37"/>
        <v>0</v>
      </c>
    </row>
    <row r="48" spans="1:23" x14ac:dyDescent="0.35">
      <c r="A48" s="28" t="s">
        <v>168</v>
      </c>
      <c r="B48" s="127" t="s">
        <v>169</v>
      </c>
      <c r="C48" s="9" t="s">
        <v>123</v>
      </c>
      <c r="D48" s="10">
        <v>1</v>
      </c>
      <c r="E48" s="25"/>
      <c r="F48" s="11">
        <f t="shared" si="28"/>
        <v>0</v>
      </c>
      <c r="G48" s="9" t="s">
        <v>123</v>
      </c>
      <c r="H48" s="10">
        <v>1</v>
      </c>
      <c r="I48" s="25">
        <f t="shared" si="29"/>
        <v>0</v>
      </c>
      <c r="J48" s="11">
        <f t="shared" si="38"/>
        <v>0</v>
      </c>
      <c r="K48" s="9" t="s">
        <v>123</v>
      </c>
      <c r="L48" s="10">
        <v>1</v>
      </c>
      <c r="M48" s="25">
        <f t="shared" si="31"/>
        <v>0</v>
      </c>
      <c r="N48" s="11">
        <f t="shared" si="39"/>
        <v>0</v>
      </c>
      <c r="O48" s="9" t="s">
        <v>123</v>
      </c>
      <c r="P48" s="10">
        <v>1</v>
      </c>
      <c r="Q48" s="25">
        <f t="shared" si="33"/>
        <v>0</v>
      </c>
      <c r="R48" s="11">
        <f t="shared" si="40"/>
        <v>0</v>
      </c>
      <c r="S48" s="9" t="s">
        <v>123</v>
      </c>
      <c r="T48" s="10">
        <v>1</v>
      </c>
      <c r="U48" s="25">
        <f t="shared" si="35"/>
        <v>0</v>
      </c>
      <c r="V48" s="11">
        <f t="shared" si="41"/>
        <v>0</v>
      </c>
      <c r="W48" s="165">
        <f t="shared" si="37"/>
        <v>0</v>
      </c>
    </row>
    <row r="49" spans="1:23" x14ac:dyDescent="0.35">
      <c r="A49" s="16"/>
      <c r="B49" s="17"/>
      <c r="C49" s="18"/>
      <c r="D49" s="19"/>
      <c r="E49" s="20"/>
      <c r="F49" s="21"/>
      <c r="G49" s="18"/>
      <c r="H49" s="19"/>
      <c r="I49" s="20"/>
      <c r="J49" s="21"/>
      <c r="K49" s="18"/>
      <c r="L49" s="19"/>
      <c r="M49" s="20"/>
      <c r="N49" s="21"/>
      <c r="O49" s="18"/>
      <c r="P49" s="19"/>
      <c r="Q49" s="20"/>
      <c r="R49" s="21"/>
      <c r="S49" s="18"/>
      <c r="T49" s="19"/>
      <c r="U49" s="20"/>
      <c r="V49" s="21"/>
      <c r="W49" s="49"/>
    </row>
    <row r="50" spans="1:23" x14ac:dyDescent="0.35">
      <c r="A50" s="16"/>
      <c r="B50" s="17"/>
      <c r="C50" s="16"/>
      <c r="D50" s="19"/>
      <c r="E50" s="24" t="s">
        <v>170</v>
      </c>
      <c r="F50" s="21">
        <f>SUM(F37:F48)</f>
        <v>0</v>
      </c>
      <c r="G50" s="16"/>
      <c r="H50" s="19"/>
      <c r="I50" s="24" t="s">
        <v>170</v>
      </c>
      <c r="J50" s="21">
        <f>SUM(J37:J48)</f>
        <v>0</v>
      </c>
      <c r="K50" s="16"/>
      <c r="L50" s="19"/>
      <c r="M50" s="24" t="s">
        <v>170</v>
      </c>
      <c r="N50" s="21">
        <f>SUM(N37:N48)</f>
        <v>0</v>
      </c>
      <c r="O50" s="16"/>
      <c r="P50" s="19"/>
      <c r="Q50" s="24" t="s">
        <v>170</v>
      </c>
      <c r="R50" s="21">
        <f>SUM(R37:R48)</f>
        <v>0</v>
      </c>
      <c r="S50" s="16"/>
      <c r="T50" s="19"/>
      <c r="U50" s="24" t="s">
        <v>170</v>
      </c>
      <c r="V50" s="21">
        <f>SUM(V37:V48)</f>
        <v>0</v>
      </c>
      <c r="W50" s="165">
        <f>SUM(V50,R50,N50,J50,F50)</f>
        <v>0</v>
      </c>
    </row>
    <row r="51" spans="1:23" x14ac:dyDescent="0.35">
      <c r="A51" s="35"/>
      <c r="B51" s="36"/>
      <c r="C51" s="37"/>
      <c r="D51" s="38"/>
      <c r="E51" s="38"/>
      <c r="F51" s="36"/>
      <c r="G51" s="37"/>
      <c r="H51" s="38"/>
      <c r="I51" s="38"/>
      <c r="J51" s="36"/>
      <c r="K51" s="37"/>
      <c r="L51" s="38"/>
      <c r="M51" s="38"/>
      <c r="N51" s="36"/>
      <c r="O51" s="37"/>
      <c r="P51" s="38"/>
      <c r="Q51" s="38"/>
      <c r="R51" s="36"/>
      <c r="S51" s="37"/>
      <c r="T51" s="38"/>
      <c r="U51" s="38"/>
      <c r="V51" s="36"/>
      <c r="W51" s="46"/>
    </row>
    <row r="52" spans="1:23" x14ac:dyDescent="0.35">
      <c r="C52" s="192" t="s">
        <v>86</v>
      </c>
      <c r="D52" s="192"/>
      <c r="E52" s="192"/>
      <c r="F52" s="192"/>
      <c r="G52" s="192" t="s">
        <v>87</v>
      </c>
      <c r="H52" s="192"/>
      <c r="I52" s="192"/>
      <c r="J52" s="192"/>
      <c r="K52" s="192" t="s">
        <v>88</v>
      </c>
      <c r="L52" s="192"/>
      <c r="M52" s="192"/>
      <c r="N52" s="192"/>
      <c r="O52" s="192" t="s">
        <v>89</v>
      </c>
      <c r="P52" s="192"/>
      <c r="Q52" s="192"/>
      <c r="R52" s="192"/>
      <c r="S52" s="192" t="s">
        <v>90</v>
      </c>
      <c r="T52" s="192"/>
      <c r="U52" s="192"/>
      <c r="V52" s="192"/>
      <c r="W52" s="45"/>
    </row>
    <row r="53" spans="1:23" s="148" customFormat="1" x14ac:dyDescent="0.3">
      <c r="A53" s="196" t="s">
        <v>171</v>
      </c>
      <c r="B53" s="196"/>
      <c r="C53" s="193" t="s">
        <v>172</v>
      </c>
      <c r="D53" s="194"/>
      <c r="E53" s="194"/>
      <c r="F53" s="195"/>
      <c r="G53" s="190" t="s">
        <v>173</v>
      </c>
      <c r="H53" s="190"/>
      <c r="I53" s="190"/>
      <c r="J53" s="190"/>
      <c r="K53" s="190" t="s">
        <v>174</v>
      </c>
      <c r="L53" s="190"/>
      <c r="M53" s="190"/>
      <c r="N53" s="190"/>
      <c r="O53" s="190" t="s">
        <v>84</v>
      </c>
      <c r="P53" s="190"/>
      <c r="Q53" s="190"/>
      <c r="R53" s="190"/>
      <c r="S53" s="190" t="s">
        <v>46</v>
      </c>
      <c r="T53" s="190"/>
      <c r="U53" s="190"/>
      <c r="V53" s="190"/>
      <c r="W53" s="147"/>
    </row>
    <row r="54" spans="1:23" x14ac:dyDescent="0.35">
      <c r="A54" s="26" t="s">
        <v>145</v>
      </c>
      <c r="B54" s="27" t="s">
        <v>12</v>
      </c>
      <c r="C54" s="4" t="s">
        <v>97</v>
      </c>
      <c r="D54" s="5" t="s">
        <v>98</v>
      </c>
      <c r="E54" s="5" t="s">
        <v>99</v>
      </c>
      <c r="F54" s="6" t="s">
        <v>100</v>
      </c>
      <c r="G54" s="4" t="s">
        <v>97</v>
      </c>
      <c r="H54" s="5" t="s">
        <v>98</v>
      </c>
      <c r="I54" s="5" t="s">
        <v>99</v>
      </c>
      <c r="J54" s="6" t="s">
        <v>100</v>
      </c>
      <c r="K54" s="4" t="s">
        <v>97</v>
      </c>
      <c r="L54" s="5" t="s">
        <v>98</v>
      </c>
      <c r="M54" s="5" t="s">
        <v>99</v>
      </c>
      <c r="N54" s="6" t="s">
        <v>100</v>
      </c>
      <c r="O54" s="4" t="s">
        <v>97</v>
      </c>
      <c r="P54" s="5" t="s">
        <v>98</v>
      </c>
      <c r="Q54" s="5" t="s">
        <v>99</v>
      </c>
      <c r="R54" s="6" t="s">
        <v>100</v>
      </c>
      <c r="S54" s="4" t="s">
        <v>97</v>
      </c>
      <c r="T54" s="5" t="s">
        <v>98</v>
      </c>
      <c r="U54" s="5" t="s">
        <v>99</v>
      </c>
      <c r="V54" s="6" t="s">
        <v>100</v>
      </c>
      <c r="W54" s="43" t="s">
        <v>101</v>
      </c>
    </row>
    <row r="55" spans="1:23" x14ac:dyDescent="0.35">
      <c r="A55" s="28" t="s">
        <v>175</v>
      </c>
      <c r="B55" s="29" t="s">
        <v>176</v>
      </c>
      <c r="C55" s="9" t="s">
        <v>104</v>
      </c>
      <c r="D55" s="10">
        <v>1</v>
      </c>
      <c r="E55" s="25"/>
      <c r="F55" s="11">
        <f t="shared" ref="F55:F64" si="42">ROUND(D55*E55,2)</f>
        <v>0</v>
      </c>
      <c r="G55" s="9" t="s">
        <v>104</v>
      </c>
      <c r="H55" s="10">
        <v>1</v>
      </c>
      <c r="I55" s="25">
        <f>E55*1.05</f>
        <v>0</v>
      </c>
      <c r="J55" s="11">
        <f t="shared" ref="J55:J64" si="43">ROUND(H55*I55,2)</f>
        <v>0</v>
      </c>
      <c r="K55" s="9" t="s">
        <v>104</v>
      </c>
      <c r="L55" s="10">
        <v>1</v>
      </c>
      <c r="M55" s="25">
        <f>I55*1.05</f>
        <v>0</v>
      </c>
      <c r="N55" s="11">
        <f t="shared" ref="N55:N64" si="44">ROUND(L55*M55,2)</f>
        <v>0</v>
      </c>
      <c r="O55" s="9" t="s">
        <v>104</v>
      </c>
      <c r="P55" s="10">
        <v>1</v>
      </c>
      <c r="Q55" s="25">
        <f>M55*1.05</f>
        <v>0</v>
      </c>
      <c r="R55" s="11">
        <f t="shared" ref="R55:R64" si="45">ROUND(P55*Q55,2)</f>
        <v>0</v>
      </c>
      <c r="S55" s="9" t="s">
        <v>104</v>
      </c>
      <c r="T55" s="10">
        <v>1</v>
      </c>
      <c r="U55" s="25">
        <f>Q55*1.05</f>
        <v>0</v>
      </c>
      <c r="V55" s="11">
        <f t="shared" ref="V55:V64" si="46">ROUND(T55*U55,2)</f>
        <v>0</v>
      </c>
      <c r="W55" s="165">
        <f>SUM(V55,R55,N55,J55,F55)</f>
        <v>0</v>
      </c>
    </row>
    <row r="56" spans="1:23" x14ac:dyDescent="0.35">
      <c r="A56" s="28" t="s">
        <v>177</v>
      </c>
      <c r="B56" s="29" t="s">
        <v>178</v>
      </c>
      <c r="C56" s="9" t="s">
        <v>104</v>
      </c>
      <c r="D56" s="10">
        <v>1</v>
      </c>
      <c r="E56" s="25"/>
      <c r="F56" s="11">
        <f t="shared" si="42"/>
        <v>0</v>
      </c>
      <c r="G56" s="9" t="s">
        <v>104</v>
      </c>
      <c r="H56" s="10">
        <v>1</v>
      </c>
      <c r="I56" s="25">
        <f t="shared" ref="I56:I64" si="47">E56*1.05</f>
        <v>0</v>
      </c>
      <c r="J56" s="11">
        <f t="shared" si="43"/>
        <v>0</v>
      </c>
      <c r="K56" s="9" t="s">
        <v>104</v>
      </c>
      <c r="L56" s="10">
        <v>1</v>
      </c>
      <c r="M56" s="25">
        <f t="shared" ref="M56:M64" si="48">I56*1.05</f>
        <v>0</v>
      </c>
      <c r="N56" s="11">
        <f t="shared" si="44"/>
        <v>0</v>
      </c>
      <c r="O56" s="9" t="s">
        <v>104</v>
      </c>
      <c r="P56" s="10">
        <v>1</v>
      </c>
      <c r="Q56" s="25">
        <f t="shared" ref="Q56:Q64" si="49">M56*1.05</f>
        <v>0</v>
      </c>
      <c r="R56" s="11">
        <f t="shared" si="45"/>
        <v>0</v>
      </c>
      <c r="S56" s="9" t="s">
        <v>104</v>
      </c>
      <c r="T56" s="10">
        <v>1</v>
      </c>
      <c r="U56" s="25">
        <f t="shared" ref="U56:U64" si="50">Q56*1.05</f>
        <v>0</v>
      </c>
      <c r="V56" s="11">
        <f t="shared" si="46"/>
        <v>0</v>
      </c>
      <c r="W56" s="165">
        <f t="shared" ref="W56:W64" si="51">SUM(V56,R56,N56,J56,F56)</f>
        <v>0</v>
      </c>
    </row>
    <row r="57" spans="1:23" x14ac:dyDescent="0.35">
      <c r="A57" s="28" t="s">
        <v>179</v>
      </c>
      <c r="B57" s="29" t="s">
        <v>180</v>
      </c>
      <c r="C57" s="9" t="s">
        <v>104</v>
      </c>
      <c r="D57" s="10">
        <v>1</v>
      </c>
      <c r="E57" s="25"/>
      <c r="F57" s="11">
        <f t="shared" si="42"/>
        <v>0</v>
      </c>
      <c r="G57" s="9" t="s">
        <v>104</v>
      </c>
      <c r="H57" s="10">
        <v>1</v>
      </c>
      <c r="I57" s="25">
        <f t="shared" si="47"/>
        <v>0</v>
      </c>
      <c r="J57" s="11">
        <f t="shared" si="43"/>
        <v>0</v>
      </c>
      <c r="K57" s="9" t="s">
        <v>104</v>
      </c>
      <c r="L57" s="10">
        <v>1</v>
      </c>
      <c r="M57" s="25">
        <f t="shared" si="48"/>
        <v>0</v>
      </c>
      <c r="N57" s="11">
        <f t="shared" si="44"/>
        <v>0</v>
      </c>
      <c r="O57" s="9" t="s">
        <v>104</v>
      </c>
      <c r="P57" s="10">
        <v>1</v>
      </c>
      <c r="Q57" s="25">
        <f t="shared" si="49"/>
        <v>0</v>
      </c>
      <c r="R57" s="11">
        <f t="shared" si="45"/>
        <v>0</v>
      </c>
      <c r="S57" s="9" t="s">
        <v>104</v>
      </c>
      <c r="T57" s="10">
        <v>1</v>
      </c>
      <c r="U57" s="25">
        <f t="shared" si="50"/>
        <v>0</v>
      </c>
      <c r="V57" s="11">
        <f t="shared" si="46"/>
        <v>0</v>
      </c>
      <c r="W57" s="165">
        <f t="shared" si="51"/>
        <v>0</v>
      </c>
    </row>
    <row r="58" spans="1:23" x14ac:dyDescent="0.35">
      <c r="A58" s="28" t="s">
        <v>181</v>
      </c>
      <c r="B58" s="1" t="s">
        <v>182</v>
      </c>
      <c r="C58" s="9" t="s">
        <v>104</v>
      </c>
      <c r="D58" s="10">
        <v>1</v>
      </c>
      <c r="E58" s="25"/>
      <c r="F58" s="11">
        <f t="shared" si="42"/>
        <v>0</v>
      </c>
      <c r="G58" s="9" t="s">
        <v>104</v>
      </c>
      <c r="H58" s="10">
        <v>1</v>
      </c>
      <c r="I58" s="25">
        <f t="shared" si="47"/>
        <v>0</v>
      </c>
      <c r="J58" s="11">
        <f t="shared" si="43"/>
        <v>0</v>
      </c>
      <c r="K58" s="9" t="s">
        <v>104</v>
      </c>
      <c r="L58" s="10">
        <v>1</v>
      </c>
      <c r="M58" s="25">
        <f t="shared" si="48"/>
        <v>0</v>
      </c>
      <c r="N58" s="11">
        <f t="shared" si="44"/>
        <v>0</v>
      </c>
      <c r="O58" s="9" t="s">
        <v>104</v>
      </c>
      <c r="P58" s="10">
        <v>1</v>
      </c>
      <c r="Q58" s="25">
        <f t="shared" si="49"/>
        <v>0</v>
      </c>
      <c r="R58" s="11">
        <f t="shared" si="45"/>
        <v>0</v>
      </c>
      <c r="S58" s="9" t="s">
        <v>104</v>
      </c>
      <c r="T58" s="10">
        <v>1</v>
      </c>
      <c r="U58" s="25">
        <f t="shared" si="50"/>
        <v>0</v>
      </c>
      <c r="V58" s="11">
        <f t="shared" si="46"/>
        <v>0</v>
      </c>
      <c r="W58" s="165">
        <f t="shared" si="51"/>
        <v>0</v>
      </c>
    </row>
    <row r="59" spans="1:23" x14ac:dyDescent="0.35">
      <c r="A59" s="28" t="s">
        <v>183</v>
      </c>
      <c r="B59" s="29" t="s">
        <v>184</v>
      </c>
      <c r="C59" s="9" t="s">
        <v>104</v>
      </c>
      <c r="D59" s="10">
        <v>1</v>
      </c>
      <c r="E59" s="25"/>
      <c r="F59" s="11">
        <f t="shared" si="42"/>
        <v>0</v>
      </c>
      <c r="G59" s="9" t="s">
        <v>104</v>
      </c>
      <c r="H59" s="10">
        <v>1</v>
      </c>
      <c r="I59" s="25">
        <f t="shared" si="47"/>
        <v>0</v>
      </c>
      <c r="J59" s="11">
        <f t="shared" si="43"/>
        <v>0</v>
      </c>
      <c r="K59" s="9" t="s">
        <v>104</v>
      </c>
      <c r="L59" s="10">
        <v>1</v>
      </c>
      <c r="M59" s="25">
        <f t="shared" si="48"/>
        <v>0</v>
      </c>
      <c r="N59" s="11">
        <f t="shared" si="44"/>
        <v>0</v>
      </c>
      <c r="O59" s="9" t="s">
        <v>104</v>
      </c>
      <c r="P59" s="10">
        <v>1</v>
      </c>
      <c r="Q59" s="25">
        <f t="shared" si="49"/>
        <v>0</v>
      </c>
      <c r="R59" s="11">
        <f t="shared" si="45"/>
        <v>0</v>
      </c>
      <c r="S59" s="9" t="s">
        <v>104</v>
      </c>
      <c r="T59" s="10">
        <v>1</v>
      </c>
      <c r="U59" s="25">
        <f t="shared" si="50"/>
        <v>0</v>
      </c>
      <c r="V59" s="11">
        <f t="shared" si="46"/>
        <v>0</v>
      </c>
      <c r="W59" s="165">
        <f t="shared" si="51"/>
        <v>0</v>
      </c>
    </row>
    <row r="60" spans="1:23" x14ac:dyDescent="0.35">
      <c r="A60" s="28" t="s">
        <v>185</v>
      </c>
      <c r="B60" s="115" t="s">
        <v>186</v>
      </c>
      <c r="C60" s="9" t="s">
        <v>104</v>
      </c>
      <c r="D60" s="10">
        <v>1</v>
      </c>
      <c r="E60" s="25"/>
      <c r="F60" s="11">
        <f t="shared" si="42"/>
        <v>0</v>
      </c>
      <c r="G60" s="9" t="s">
        <v>104</v>
      </c>
      <c r="H60" s="10">
        <v>1</v>
      </c>
      <c r="I60" s="25">
        <f t="shared" si="47"/>
        <v>0</v>
      </c>
      <c r="J60" s="11">
        <f t="shared" si="43"/>
        <v>0</v>
      </c>
      <c r="K60" s="9" t="s">
        <v>104</v>
      </c>
      <c r="L60" s="10">
        <v>1</v>
      </c>
      <c r="M60" s="25">
        <f t="shared" si="48"/>
        <v>0</v>
      </c>
      <c r="N60" s="11">
        <f t="shared" si="44"/>
        <v>0</v>
      </c>
      <c r="O60" s="9" t="s">
        <v>104</v>
      </c>
      <c r="P60" s="10">
        <v>1</v>
      </c>
      <c r="Q60" s="25">
        <f t="shared" si="49"/>
        <v>0</v>
      </c>
      <c r="R60" s="11">
        <f t="shared" si="45"/>
        <v>0</v>
      </c>
      <c r="S60" s="9" t="s">
        <v>104</v>
      </c>
      <c r="T60" s="10">
        <v>1</v>
      </c>
      <c r="U60" s="25">
        <f t="shared" si="50"/>
        <v>0</v>
      </c>
      <c r="V60" s="11">
        <f t="shared" si="46"/>
        <v>0</v>
      </c>
      <c r="W60" s="165">
        <f t="shared" si="51"/>
        <v>0</v>
      </c>
    </row>
    <row r="61" spans="1:23" x14ac:dyDescent="0.35">
      <c r="A61" s="28" t="s">
        <v>187</v>
      </c>
      <c r="B61" s="29" t="s">
        <v>188</v>
      </c>
      <c r="C61" s="9" t="s">
        <v>104</v>
      </c>
      <c r="D61" s="10">
        <v>1</v>
      </c>
      <c r="E61" s="25"/>
      <c r="F61" s="11">
        <f t="shared" si="42"/>
        <v>0</v>
      </c>
      <c r="G61" s="9" t="s">
        <v>104</v>
      </c>
      <c r="H61" s="10">
        <v>1</v>
      </c>
      <c r="I61" s="25">
        <f t="shared" si="47"/>
        <v>0</v>
      </c>
      <c r="J61" s="11">
        <f t="shared" si="43"/>
        <v>0</v>
      </c>
      <c r="K61" s="9" t="s">
        <v>104</v>
      </c>
      <c r="L61" s="10">
        <v>1</v>
      </c>
      <c r="M61" s="25">
        <f t="shared" si="48"/>
        <v>0</v>
      </c>
      <c r="N61" s="11">
        <f t="shared" si="44"/>
        <v>0</v>
      </c>
      <c r="O61" s="9" t="s">
        <v>104</v>
      </c>
      <c r="P61" s="10">
        <v>1</v>
      </c>
      <c r="Q61" s="25">
        <f t="shared" si="49"/>
        <v>0</v>
      </c>
      <c r="R61" s="11">
        <f t="shared" si="45"/>
        <v>0</v>
      </c>
      <c r="S61" s="9" t="s">
        <v>104</v>
      </c>
      <c r="T61" s="10">
        <v>1</v>
      </c>
      <c r="U61" s="25">
        <f t="shared" si="50"/>
        <v>0</v>
      </c>
      <c r="V61" s="11">
        <f t="shared" si="46"/>
        <v>0</v>
      </c>
      <c r="W61" s="165">
        <f t="shared" si="51"/>
        <v>0</v>
      </c>
    </row>
    <row r="62" spans="1:23" x14ac:dyDescent="0.35">
      <c r="A62" s="28" t="s">
        <v>189</v>
      </c>
      <c r="B62" s="29" t="s">
        <v>190</v>
      </c>
      <c r="C62" s="9" t="s">
        <v>104</v>
      </c>
      <c r="D62" s="10">
        <v>1</v>
      </c>
      <c r="E62" s="25"/>
      <c r="F62" s="11">
        <f t="shared" si="42"/>
        <v>0</v>
      </c>
      <c r="G62" s="9" t="s">
        <v>104</v>
      </c>
      <c r="H62" s="10">
        <v>1</v>
      </c>
      <c r="I62" s="25">
        <f t="shared" si="47"/>
        <v>0</v>
      </c>
      <c r="J62" s="11">
        <f t="shared" si="43"/>
        <v>0</v>
      </c>
      <c r="K62" s="9" t="s">
        <v>104</v>
      </c>
      <c r="L62" s="10">
        <v>1</v>
      </c>
      <c r="M62" s="25">
        <f t="shared" si="48"/>
        <v>0</v>
      </c>
      <c r="N62" s="11">
        <f t="shared" si="44"/>
        <v>0</v>
      </c>
      <c r="O62" s="9" t="s">
        <v>104</v>
      </c>
      <c r="P62" s="10">
        <v>1</v>
      </c>
      <c r="Q62" s="25">
        <f t="shared" si="49"/>
        <v>0</v>
      </c>
      <c r="R62" s="11">
        <f t="shared" si="45"/>
        <v>0</v>
      </c>
      <c r="S62" s="9" t="s">
        <v>104</v>
      </c>
      <c r="T62" s="10">
        <v>1</v>
      </c>
      <c r="U62" s="25">
        <f t="shared" si="50"/>
        <v>0</v>
      </c>
      <c r="V62" s="11">
        <f t="shared" si="46"/>
        <v>0</v>
      </c>
      <c r="W62" s="165">
        <f t="shared" si="51"/>
        <v>0</v>
      </c>
    </row>
    <row r="63" spans="1:23" x14ac:dyDescent="0.35">
      <c r="A63" s="28" t="s">
        <v>191</v>
      </c>
      <c r="B63" s="29" t="s">
        <v>192</v>
      </c>
      <c r="C63" s="9" t="s">
        <v>104</v>
      </c>
      <c r="D63" s="10">
        <v>1</v>
      </c>
      <c r="E63" s="25"/>
      <c r="F63" s="11">
        <f t="shared" si="42"/>
        <v>0</v>
      </c>
      <c r="G63" s="9" t="s">
        <v>104</v>
      </c>
      <c r="H63" s="10">
        <v>1</v>
      </c>
      <c r="I63" s="25">
        <f t="shared" si="47"/>
        <v>0</v>
      </c>
      <c r="J63" s="11">
        <f t="shared" si="43"/>
        <v>0</v>
      </c>
      <c r="K63" s="9" t="s">
        <v>104</v>
      </c>
      <c r="L63" s="10">
        <v>1</v>
      </c>
      <c r="M63" s="25">
        <f t="shared" si="48"/>
        <v>0</v>
      </c>
      <c r="N63" s="11">
        <f t="shared" si="44"/>
        <v>0</v>
      </c>
      <c r="O63" s="9" t="s">
        <v>104</v>
      </c>
      <c r="P63" s="10">
        <v>1</v>
      </c>
      <c r="Q63" s="25">
        <f t="shared" si="49"/>
        <v>0</v>
      </c>
      <c r="R63" s="11">
        <f t="shared" si="45"/>
        <v>0</v>
      </c>
      <c r="S63" s="9" t="s">
        <v>104</v>
      </c>
      <c r="T63" s="10">
        <v>1</v>
      </c>
      <c r="U63" s="25">
        <f t="shared" si="50"/>
        <v>0</v>
      </c>
      <c r="V63" s="11">
        <f t="shared" si="46"/>
        <v>0</v>
      </c>
      <c r="W63" s="165">
        <f t="shared" si="51"/>
        <v>0</v>
      </c>
    </row>
    <row r="64" spans="1:23" x14ac:dyDescent="0.35">
      <c r="A64" s="28" t="s">
        <v>193</v>
      </c>
      <c r="B64" s="29" t="s">
        <v>194</v>
      </c>
      <c r="C64" s="9" t="s">
        <v>104</v>
      </c>
      <c r="D64" s="10">
        <v>1</v>
      </c>
      <c r="E64" s="25"/>
      <c r="F64" s="11">
        <f t="shared" si="42"/>
        <v>0</v>
      </c>
      <c r="G64" s="9" t="s">
        <v>104</v>
      </c>
      <c r="H64" s="10">
        <v>1</v>
      </c>
      <c r="I64" s="25">
        <f t="shared" si="47"/>
        <v>0</v>
      </c>
      <c r="J64" s="11">
        <f t="shared" si="43"/>
        <v>0</v>
      </c>
      <c r="K64" s="9" t="s">
        <v>104</v>
      </c>
      <c r="L64" s="10">
        <v>1</v>
      </c>
      <c r="M64" s="25">
        <f t="shared" si="48"/>
        <v>0</v>
      </c>
      <c r="N64" s="11">
        <f t="shared" si="44"/>
        <v>0</v>
      </c>
      <c r="O64" s="9" t="s">
        <v>104</v>
      </c>
      <c r="P64" s="10">
        <v>1</v>
      </c>
      <c r="Q64" s="25">
        <f t="shared" si="49"/>
        <v>0</v>
      </c>
      <c r="R64" s="11">
        <f t="shared" si="45"/>
        <v>0</v>
      </c>
      <c r="S64" s="9" t="s">
        <v>104</v>
      </c>
      <c r="T64" s="10">
        <v>1</v>
      </c>
      <c r="U64" s="25">
        <f t="shared" si="50"/>
        <v>0</v>
      </c>
      <c r="V64" s="11">
        <f t="shared" si="46"/>
        <v>0</v>
      </c>
      <c r="W64" s="165">
        <f t="shared" si="51"/>
        <v>0</v>
      </c>
    </row>
    <row r="65" spans="1:23" x14ac:dyDescent="0.35">
      <c r="A65" s="28"/>
      <c r="B65" s="29"/>
      <c r="C65" s="9"/>
      <c r="D65" s="10"/>
      <c r="E65" s="25"/>
      <c r="F65" s="11"/>
      <c r="G65" s="9"/>
      <c r="H65" s="10"/>
      <c r="I65" s="25"/>
      <c r="J65" s="11"/>
      <c r="K65" s="9"/>
      <c r="L65" s="10"/>
      <c r="M65" s="25"/>
      <c r="N65" s="11"/>
      <c r="O65" s="9"/>
      <c r="P65" s="10"/>
      <c r="Q65" s="25"/>
      <c r="R65" s="11"/>
      <c r="S65" s="9"/>
      <c r="T65" s="10"/>
      <c r="U65" s="25"/>
      <c r="V65" s="11"/>
      <c r="W65" s="44"/>
    </row>
    <row r="66" spans="1:23" x14ac:dyDescent="0.35">
      <c r="A66" s="16"/>
      <c r="B66" s="17"/>
      <c r="C66" s="18"/>
      <c r="D66" s="19"/>
      <c r="E66" s="20"/>
      <c r="F66" s="21"/>
      <c r="G66" s="18"/>
      <c r="H66" s="19"/>
      <c r="I66" s="20"/>
      <c r="J66" s="21"/>
      <c r="K66" s="18"/>
      <c r="L66" s="19"/>
      <c r="M66" s="20"/>
      <c r="N66" s="21"/>
      <c r="O66" s="18"/>
      <c r="P66" s="19"/>
      <c r="Q66" s="20"/>
      <c r="R66" s="21"/>
      <c r="S66" s="18"/>
      <c r="T66" s="19"/>
      <c r="U66" s="20"/>
      <c r="V66" s="21"/>
      <c r="W66" s="49"/>
    </row>
    <row r="67" spans="1:23" x14ac:dyDescent="0.35">
      <c r="A67" s="16"/>
      <c r="B67" s="17"/>
      <c r="C67" s="16"/>
      <c r="D67" s="19"/>
      <c r="E67" s="24" t="s">
        <v>195</v>
      </c>
      <c r="F67" s="21">
        <f>SUM(F55:F65)</f>
        <v>0</v>
      </c>
      <c r="G67" s="16"/>
      <c r="H67" s="19"/>
      <c r="I67" s="24" t="s">
        <v>195</v>
      </c>
      <c r="J67" s="21">
        <f>SUM(J55:J65)</f>
        <v>0</v>
      </c>
      <c r="K67" s="16"/>
      <c r="L67" s="19"/>
      <c r="M67" s="24" t="s">
        <v>195</v>
      </c>
      <c r="N67" s="21">
        <f>SUM(N55:N65)</f>
        <v>0</v>
      </c>
      <c r="O67" s="16"/>
      <c r="P67" s="19"/>
      <c r="Q67" s="24" t="s">
        <v>195</v>
      </c>
      <c r="R67" s="21">
        <f>SUM(R55:R65)</f>
        <v>0</v>
      </c>
      <c r="S67" s="16"/>
      <c r="T67" s="19"/>
      <c r="U67" s="24" t="s">
        <v>195</v>
      </c>
      <c r="V67" s="21">
        <f>SUM(V55:V65)</f>
        <v>0</v>
      </c>
      <c r="W67" s="165">
        <f>SUM(V67,R67,N67,J67,F67)</f>
        <v>0</v>
      </c>
    </row>
    <row r="68" spans="1:23" x14ac:dyDescent="0.35">
      <c r="A68" s="35"/>
      <c r="B68" s="36"/>
      <c r="C68" s="37"/>
      <c r="D68" s="38"/>
      <c r="E68" s="38"/>
      <c r="F68" s="36"/>
      <c r="G68" s="37"/>
      <c r="H68" s="38"/>
      <c r="I68" s="38"/>
      <c r="J68" s="36"/>
      <c r="K68" s="37"/>
      <c r="L68" s="38"/>
      <c r="M68" s="38"/>
      <c r="N68" s="36"/>
      <c r="O68" s="37"/>
      <c r="P68" s="38"/>
      <c r="Q68" s="38"/>
      <c r="R68" s="36"/>
      <c r="S68" s="37"/>
      <c r="T68" s="38"/>
      <c r="U68" s="38"/>
      <c r="V68" s="36"/>
      <c r="W68" s="46"/>
    </row>
    <row r="69" spans="1:23" x14ac:dyDescent="0.35">
      <c r="C69" s="192" t="s">
        <v>86</v>
      </c>
      <c r="D69" s="192"/>
      <c r="E69" s="192"/>
      <c r="F69" s="192"/>
      <c r="G69" s="192" t="s">
        <v>87</v>
      </c>
      <c r="H69" s="192"/>
      <c r="I69" s="192"/>
      <c r="J69" s="192"/>
      <c r="K69" s="192" t="s">
        <v>88</v>
      </c>
      <c r="L69" s="192"/>
      <c r="M69" s="192"/>
      <c r="N69" s="192"/>
      <c r="O69" s="192" t="s">
        <v>89</v>
      </c>
      <c r="P69" s="192"/>
      <c r="Q69" s="192"/>
      <c r="R69" s="192"/>
      <c r="S69" s="192" t="s">
        <v>90</v>
      </c>
      <c r="T69" s="192"/>
      <c r="U69" s="192"/>
      <c r="V69" s="192"/>
      <c r="W69" s="45"/>
    </row>
    <row r="70" spans="1:23" s="148" customFormat="1" x14ac:dyDescent="0.3">
      <c r="A70" s="196" t="s">
        <v>196</v>
      </c>
      <c r="B70" s="196"/>
      <c r="C70" s="193" t="s">
        <v>197</v>
      </c>
      <c r="D70" s="194"/>
      <c r="E70" s="194"/>
      <c r="F70" s="195"/>
      <c r="G70" s="190" t="s">
        <v>198</v>
      </c>
      <c r="H70" s="190"/>
      <c r="I70" s="190"/>
      <c r="J70" s="190"/>
      <c r="K70" s="190" t="s">
        <v>199</v>
      </c>
      <c r="L70" s="190"/>
      <c r="M70" s="190"/>
      <c r="N70" s="190"/>
      <c r="O70" s="190" t="s">
        <v>200</v>
      </c>
      <c r="P70" s="190"/>
      <c r="Q70" s="190"/>
      <c r="R70" s="190"/>
      <c r="S70" s="190" t="s">
        <v>53</v>
      </c>
      <c r="T70" s="190"/>
      <c r="U70" s="190"/>
      <c r="V70" s="190"/>
      <c r="W70" s="147"/>
    </row>
    <row r="71" spans="1:23" x14ac:dyDescent="0.35">
      <c r="A71" s="26" t="s">
        <v>145</v>
      </c>
      <c r="B71" s="27" t="s">
        <v>12</v>
      </c>
      <c r="C71" s="4" t="s">
        <v>97</v>
      </c>
      <c r="D71" s="5"/>
      <c r="E71" s="5" t="s">
        <v>99</v>
      </c>
      <c r="F71" s="6" t="s">
        <v>100</v>
      </c>
      <c r="G71" s="4" t="s">
        <v>97</v>
      </c>
      <c r="H71" s="5"/>
      <c r="I71" s="5" t="s">
        <v>99</v>
      </c>
      <c r="J71" s="6" t="s">
        <v>100</v>
      </c>
      <c r="K71" s="4" t="s">
        <v>97</v>
      </c>
      <c r="L71" s="5"/>
      <c r="M71" s="5" t="s">
        <v>99</v>
      </c>
      <c r="N71" s="6" t="s">
        <v>100</v>
      </c>
      <c r="O71" s="4" t="s">
        <v>97</v>
      </c>
      <c r="P71" s="5"/>
      <c r="Q71" s="5" t="s">
        <v>99</v>
      </c>
      <c r="R71" s="6" t="s">
        <v>100</v>
      </c>
      <c r="S71" s="4" t="s">
        <v>97</v>
      </c>
      <c r="T71" s="5"/>
      <c r="U71" s="5" t="s">
        <v>99</v>
      </c>
      <c r="V71" s="6" t="s">
        <v>100</v>
      </c>
      <c r="W71" s="43" t="s">
        <v>101</v>
      </c>
    </row>
    <row r="72" spans="1:23" x14ac:dyDescent="0.35">
      <c r="A72" s="28" t="s">
        <v>201</v>
      </c>
      <c r="B72" s="29" t="s">
        <v>202</v>
      </c>
      <c r="C72" s="9" t="s">
        <v>123</v>
      </c>
      <c r="D72" s="10">
        <v>1</v>
      </c>
      <c r="E72" s="25">
        <v>0</v>
      </c>
      <c r="F72" s="145">
        <f>ROUND(D72*E72,2)</f>
        <v>0</v>
      </c>
      <c r="G72" s="9" t="s">
        <v>123</v>
      </c>
      <c r="H72" s="10">
        <v>1</v>
      </c>
      <c r="I72" s="25">
        <f>E72*1.05</f>
        <v>0</v>
      </c>
      <c r="J72" s="145">
        <f>ROUND(H72*I72,2)</f>
        <v>0</v>
      </c>
      <c r="K72" s="9" t="s">
        <v>123</v>
      </c>
      <c r="L72" s="10">
        <v>1</v>
      </c>
      <c r="M72" s="25">
        <f>I72*1.05</f>
        <v>0</v>
      </c>
      <c r="N72" s="145">
        <f>ROUND(L72*M72,2)</f>
        <v>0</v>
      </c>
      <c r="O72" s="9" t="s">
        <v>123</v>
      </c>
      <c r="P72" s="10">
        <v>1</v>
      </c>
      <c r="Q72" s="25">
        <f>M72*1.05</f>
        <v>0</v>
      </c>
      <c r="R72" s="145">
        <f>ROUND(P72*Q72,2)</f>
        <v>0</v>
      </c>
      <c r="S72" s="9" t="s">
        <v>123</v>
      </c>
      <c r="T72" s="10">
        <v>1</v>
      </c>
      <c r="U72" s="25">
        <f>Q72*1.05</f>
        <v>0</v>
      </c>
      <c r="V72" s="145">
        <f>ROUND(T72*U72,2)</f>
        <v>0</v>
      </c>
      <c r="W72" s="165">
        <f>SUM(V72,R72,N72,J72,F72)</f>
        <v>0</v>
      </c>
    </row>
    <row r="73" spans="1:23" x14ac:dyDescent="0.35">
      <c r="A73" s="28" t="s">
        <v>203</v>
      </c>
      <c r="B73" s="29" t="s">
        <v>204</v>
      </c>
      <c r="C73" s="9" t="s">
        <v>123</v>
      </c>
      <c r="D73" s="10">
        <v>1</v>
      </c>
      <c r="E73" s="25">
        <v>0</v>
      </c>
      <c r="F73" s="145">
        <f t="shared" ref="F73:F80" si="52">ROUND(D73*E73,2)</f>
        <v>0</v>
      </c>
      <c r="G73" s="9" t="s">
        <v>123</v>
      </c>
      <c r="H73" s="10">
        <v>1</v>
      </c>
      <c r="I73" s="25">
        <f t="shared" ref="I73:I80" si="53">E73*1.05</f>
        <v>0</v>
      </c>
      <c r="J73" s="145">
        <f t="shared" ref="J73:J80" si="54">ROUND(H73*I73,2)</f>
        <v>0</v>
      </c>
      <c r="K73" s="9" t="s">
        <v>123</v>
      </c>
      <c r="L73" s="10">
        <v>1</v>
      </c>
      <c r="M73" s="25">
        <f t="shared" ref="M73:M80" si="55">I73*1.05</f>
        <v>0</v>
      </c>
      <c r="N73" s="145">
        <f t="shared" ref="N73:N80" si="56">ROUND(L73*M73,2)</f>
        <v>0</v>
      </c>
      <c r="O73" s="9" t="s">
        <v>123</v>
      </c>
      <c r="P73" s="10">
        <v>1</v>
      </c>
      <c r="Q73" s="25">
        <f t="shared" ref="Q73:Q80" si="57">M73*1.05</f>
        <v>0</v>
      </c>
      <c r="R73" s="145">
        <f t="shared" ref="R73:R80" si="58">ROUND(P73*Q73,2)</f>
        <v>0</v>
      </c>
      <c r="S73" s="9" t="s">
        <v>123</v>
      </c>
      <c r="T73" s="10">
        <v>1</v>
      </c>
      <c r="U73" s="25">
        <f t="shared" ref="U73:U80" si="59">Q73*1.05</f>
        <v>0</v>
      </c>
      <c r="V73" s="145">
        <f t="shared" ref="V73:V80" si="60">ROUND(T73*U73,2)</f>
        <v>0</v>
      </c>
      <c r="W73" s="165">
        <f t="shared" ref="W73:W80" si="61">SUM(V73,R73,N73,J73,F73)</f>
        <v>0</v>
      </c>
    </row>
    <row r="74" spans="1:23" x14ac:dyDescent="0.35">
      <c r="A74" s="28" t="s">
        <v>205</v>
      </c>
      <c r="B74" s="29" t="s">
        <v>206</v>
      </c>
      <c r="C74" s="9" t="s">
        <v>123</v>
      </c>
      <c r="D74" s="10">
        <v>1</v>
      </c>
      <c r="E74" s="25">
        <v>0</v>
      </c>
      <c r="F74" s="145">
        <f t="shared" si="52"/>
        <v>0</v>
      </c>
      <c r="G74" s="9" t="s">
        <v>123</v>
      </c>
      <c r="H74" s="10">
        <v>1</v>
      </c>
      <c r="I74" s="25">
        <f t="shared" si="53"/>
        <v>0</v>
      </c>
      <c r="J74" s="145">
        <f t="shared" si="54"/>
        <v>0</v>
      </c>
      <c r="K74" s="9" t="s">
        <v>123</v>
      </c>
      <c r="L74" s="10">
        <v>1</v>
      </c>
      <c r="M74" s="25">
        <f t="shared" si="55"/>
        <v>0</v>
      </c>
      <c r="N74" s="145">
        <f t="shared" si="56"/>
        <v>0</v>
      </c>
      <c r="O74" s="9" t="s">
        <v>123</v>
      </c>
      <c r="P74" s="10">
        <v>1</v>
      </c>
      <c r="Q74" s="25">
        <f t="shared" si="57"/>
        <v>0</v>
      </c>
      <c r="R74" s="145">
        <f t="shared" si="58"/>
        <v>0</v>
      </c>
      <c r="S74" s="9" t="s">
        <v>123</v>
      </c>
      <c r="T74" s="10">
        <v>1</v>
      </c>
      <c r="U74" s="25">
        <f t="shared" si="59"/>
        <v>0</v>
      </c>
      <c r="V74" s="145">
        <f t="shared" si="60"/>
        <v>0</v>
      </c>
      <c r="W74" s="165">
        <f t="shared" si="61"/>
        <v>0</v>
      </c>
    </row>
    <row r="75" spans="1:23" x14ac:dyDescent="0.35">
      <c r="A75" s="28" t="s">
        <v>207</v>
      </c>
      <c r="B75" s="29" t="s">
        <v>208</v>
      </c>
      <c r="C75" s="9" t="s">
        <v>123</v>
      </c>
      <c r="D75" s="10">
        <v>1</v>
      </c>
      <c r="E75" s="25">
        <v>0</v>
      </c>
      <c r="F75" s="145">
        <f t="shared" si="52"/>
        <v>0</v>
      </c>
      <c r="G75" s="9" t="s">
        <v>123</v>
      </c>
      <c r="H75" s="10">
        <v>1</v>
      </c>
      <c r="I75" s="25">
        <f t="shared" si="53"/>
        <v>0</v>
      </c>
      <c r="J75" s="145">
        <f t="shared" si="54"/>
        <v>0</v>
      </c>
      <c r="K75" s="9" t="s">
        <v>123</v>
      </c>
      <c r="L75" s="10">
        <v>1</v>
      </c>
      <c r="M75" s="25">
        <f t="shared" si="55"/>
        <v>0</v>
      </c>
      <c r="N75" s="145">
        <f t="shared" si="56"/>
        <v>0</v>
      </c>
      <c r="O75" s="9" t="s">
        <v>123</v>
      </c>
      <c r="P75" s="10">
        <v>1</v>
      </c>
      <c r="Q75" s="25">
        <f t="shared" si="57"/>
        <v>0</v>
      </c>
      <c r="R75" s="145">
        <f t="shared" si="58"/>
        <v>0</v>
      </c>
      <c r="S75" s="9" t="s">
        <v>123</v>
      </c>
      <c r="T75" s="10">
        <v>1</v>
      </c>
      <c r="U75" s="25">
        <f t="shared" si="59"/>
        <v>0</v>
      </c>
      <c r="V75" s="145">
        <f t="shared" si="60"/>
        <v>0</v>
      </c>
      <c r="W75" s="165">
        <f t="shared" si="61"/>
        <v>0</v>
      </c>
    </row>
    <row r="76" spans="1:23" x14ac:dyDescent="0.35">
      <c r="A76" s="28" t="s">
        <v>209</v>
      </c>
      <c r="B76" s="29" t="s">
        <v>210</v>
      </c>
      <c r="C76" s="9" t="s">
        <v>123</v>
      </c>
      <c r="D76" s="10">
        <v>1</v>
      </c>
      <c r="E76" s="25">
        <v>0</v>
      </c>
      <c r="F76" s="145">
        <f t="shared" si="52"/>
        <v>0</v>
      </c>
      <c r="G76" s="9" t="s">
        <v>123</v>
      </c>
      <c r="H76" s="10">
        <v>1</v>
      </c>
      <c r="I76" s="25">
        <f t="shared" si="53"/>
        <v>0</v>
      </c>
      <c r="J76" s="145">
        <f t="shared" si="54"/>
        <v>0</v>
      </c>
      <c r="K76" s="9" t="s">
        <v>123</v>
      </c>
      <c r="L76" s="10">
        <v>1</v>
      </c>
      <c r="M76" s="25">
        <f t="shared" si="55"/>
        <v>0</v>
      </c>
      <c r="N76" s="145">
        <f t="shared" si="56"/>
        <v>0</v>
      </c>
      <c r="O76" s="9" t="s">
        <v>123</v>
      </c>
      <c r="P76" s="10">
        <v>1</v>
      </c>
      <c r="Q76" s="25">
        <f t="shared" si="57"/>
        <v>0</v>
      </c>
      <c r="R76" s="145">
        <f t="shared" si="58"/>
        <v>0</v>
      </c>
      <c r="S76" s="9" t="s">
        <v>123</v>
      </c>
      <c r="T76" s="10">
        <v>1</v>
      </c>
      <c r="U76" s="25">
        <f t="shared" si="59"/>
        <v>0</v>
      </c>
      <c r="V76" s="145">
        <f t="shared" si="60"/>
        <v>0</v>
      </c>
      <c r="W76" s="165">
        <f t="shared" si="61"/>
        <v>0</v>
      </c>
    </row>
    <row r="77" spans="1:23" x14ac:dyDescent="0.35">
      <c r="A77" s="28" t="s">
        <v>211</v>
      </c>
      <c r="B77" s="29" t="s">
        <v>212</v>
      </c>
      <c r="C77" s="9" t="s">
        <v>129</v>
      </c>
      <c r="D77" s="10">
        <v>1</v>
      </c>
      <c r="E77" s="25">
        <v>0</v>
      </c>
      <c r="F77" s="145">
        <f t="shared" si="52"/>
        <v>0</v>
      </c>
      <c r="G77" s="9" t="s">
        <v>129</v>
      </c>
      <c r="H77" s="10">
        <v>1</v>
      </c>
      <c r="I77" s="25">
        <f t="shared" si="53"/>
        <v>0</v>
      </c>
      <c r="J77" s="145">
        <f t="shared" si="54"/>
        <v>0</v>
      </c>
      <c r="K77" s="9" t="s">
        <v>129</v>
      </c>
      <c r="L77" s="10">
        <v>1</v>
      </c>
      <c r="M77" s="25">
        <f t="shared" si="55"/>
        <v>0</v>
      </c>
      <c r="N77" s="145">
        <f t="shared" si="56"/>
        <v>0</v>
      </c>
      <c r="O77" s="9" t="s">
        <v>129</v>
      </c>
      <c r="P77" s="10">
        <v>1</v>
      </c>
      <c r="Q77" s="25">
        <f t="shared" si="57"/>
        <v>0</v>
      </c>
      <c r="R77" s="145">
        <f t="shared" si="58"/>
        <v>0</v>
      </c>
      <c r="S77" s="9" t="s">
        <v>129</v>
      </c>
      <c r="T77" s="10">
        <v>1</v>
      </c>
      <c r="U77" s="25">
        <f t="shared" si="59"/>
        <v>0</v>
      </c>
      <c r="V77" s="145">
        <f t="shared" si="60"/>
        <v>0</v>
      </c>
      <c r="W77" s="165">
        <f t="shared" si="61"/>
        <v>0</v>
      </c>
    </row>
    <row r="78" spans="1:23" x14ac:dyDescent="0.35">
      <c r="A78" s="28" t="s">
        <v>213</v>
      </c>
      <c r="B78" s="29" t="s">
        <v>214</v>
      </c>
      <c r="C78" s="9" t="s">
        <v>129</v>
      </c>
      <c r="D78" s="10">
        <v>1</v>
      </c>
      <c r="E78" s="25">
        <v>0</v>
      </c>
      <c r="F78" s="145">
        <f t="shared" si="52"/>
        <v>0</v>
      </c>
      <c r="G78" s="9" t="s">
        <v>129</v>
      </c>
      <c r="H78" s="10">
        <v>1</v>
      </c>
      <c r="I78" s="25">
        <f t="shared" si="53"/>
        <v>0</v>
      </c>
      <c r="J78" s="145">
        <f t="shared" si="54"/>
        <v>0</v>
      </c>
      <c r="K78" s="9" t="s">
        <v>129</v>
      </c>
      <c r="L78" s="10">
        <v>1</v>
      </c>
      <c r="M78" s="25">
        <f t="shared" si="55"/>
        <v>0</v>
      </c>
      <c r="N78" s="145">
        <f t="shared" si="56"/>
        <v>0</v>
      </c>
      <c r="O78" s="9" t="s">
        <v>129</v>
      </c>
      <c r="P78" s="10">
        <v>1</v>
      </c>
      <c r="Q78" s="25">
        <f t="shared" si="57"/>
        <v>0</v>
      </c>
      <c r="R78" s="145">
        <f t="shared" si="58"/>
        <v>0</v>
      </c>
      <c r="S78" s="9" t="s">
        <v>129</v>
      </c>
      <c r="T78" s="10">
        <v>1</v>
      </c>
      <c r="U78" s="25">
        <f t="shared" si="59"/>
        <v>0</v>
      </c>
      <c r="V78" s="145">
        <f t="shared" si="60"/>
        <v>0</v>
      </c>
      <c r="W78" s="165">
        <f t="shared" si="61"/>
        <v>0</v>
      </c>
    </row>
    <row r="79" spans="1:23" x14ac:dyDescent="0.35">
      <c r="A79" s="28" t="s">
        <v>215</v>
      </c>
      <c r="B79" s="29" t="s">
        <v>216</v>
      </c>
      <c r="C79" s="9" t="s">
        <v>129</v>
      </c>
      <c r="D79" s="10">
        <v>1</v>
      </c>
      <c r="E79" s="25">
        <v>0</v>
      </c>
      <c r="F79" s="145">
        <f t="shared" si="52"/>
        <v>0</v>
      </c>
      <c r="G79" s="9" t="s">
        <v>129</v>
      </c>
      <c r="H79" s="10">
        <v>1</v>
      </c>
      <c r="I79" s="25">
        <f t="shared" si="53"/>
        <v>0</v>
      </c>
      <c r="J79" s="145">
        <f t="shared" si="54"/>
        <v>0</v>
      </c>
      <c r="K79" s="9" t="s">
        <v>129</v>
      </c>
      <c r="L79" s="10">
        <v>1</v>
      </c>
      <c r="M79" s="25">
        <f t="shared" si="55"/>
        <v>0</v>
      </c>
      <c r="N79" s="145">
        <f t="shared" si="56"/>
        <v>0</v>
      </c>
      <c r="O79" s="9" t="s">
        <v>129</v>
      </c>
      <c r="P79" s="10">
        <v>1</v>
      </c>
      <c r="Q79" s="25">
        <f t="shared" si="57"/>
        <v>0</v>
      </c>
      <c r="R79" s="145">
        <f t="shared" si="58"/>
        <v>0</v>
      </c>
      <c r="S79" s="9" t="s">
        <v>129</v>
      </c>
      <c r="T79" s="10">
        <v>1</v>
      </c>
      <c r="U79" s="25">
        <f t="shared" si="59"/>
        <v>0</v>
      </c>
      <c r="V79" s="145">
        <f t="shared" si="60"/>
        <v>0</v>
      </c>
      <c r="W79" s="165">
        <f t="shared" si="61"/>
        <v>0</v>
      </c>
    </row>
    <row r="80" spans="1:23" x14ac:dyDescent="0.35">
      <c r="A80" s="28" t="s">
        <v>217</v>
      </c>
      <c r="B80" s="29" t="s">
        <v>218</v>
      </c>
      <c r="C80" s="9" t="s">
        <v>129</v>
      </c>
      <c r="D80" s="10">
        <v>1</v>
      </c>
      <c r="E80" s="25">
        <v>0</v>
      </c>
      <c r="F80" s="145">
        <f t="shared" si="52"/>
        <v>0</v>
      </c>
      <c r="G80" s="9" t="s">
        <v>129</v>
      </c>
      <c r="H80" s="10">
        <v>1</v>
      </c>
      <c r="I80" s="25">
        <f t="shared" si="53"/>
        <v>0</v>
      </c>
      <c r="J80" s="145">
        <f t="shared" si="54"/>
        <v>0</v>
      </c>
      <c r="K80" s="9" t="s">
        <v>129</v>
      </c>
      <c r="L80" s="10">
        <v>1</v>
      </c>
      <c r="M80" s="25">
        <f t="shared" si="55"/>
        <v>0</v>
      </c>
      <c r="N80" s="145">
        <f t="shared" si="56"/>
        <v>0</v>
      </c>
      <c r="O80" s="9" t="s">
        <v>129</v>
      </c>
      <c r="P80" s="10">
        <v>1</v>
      </c>
      <c r="Q80" s="25">
        <f t="shared" si="57"/>
        <v>0</v>
      </c>
      <c r="R80" s="145">
        <f t="shared" si="58"/>
        <v>0</v>
      </c>
      <c r="S80" s="9" t="s">
        <v>129</v>
      </c>
      <c r="T80" s="10">
        <v>1</v>
      </c>
      <c r="U80" s="25">
        <f t="shared" si="59"/>
        <v>0</v>
      </c>
      <c r="V80" s="145">
        <f t="shared" si="60"/>
        <v>0</v>
      </c>
      <c r="W80" s="165">
        <f t="shared" si="61"/>
        <v>0</v>
      </c>
    </row>
    <row r="81" spans="1:23" x14ac:dyDescent="0.35">
      <c r="A81" s="28"/>
      <c r="B81" s="29"/>
      <c r="C81" s="9"/>
      <c r="D81" s="10"/>
      <c r="E81" s="25"/>
      <c r="F81" s="11"/>
      <c r="G81" s="9"/>
      <c r="H81" s="10"/>
      <c r="I81" s="25"/>
      <c r="J81" s="11"/>
      <c r="K81" s="9"/>
      <c r="L81" s="10"/>
      <c r="M81" s="25"/>
      <c r="N81" s="11"/>
      <c r="O81" s="9"/>
      <c r="P81" s="10"/>
      <c r="Q81" s="25"/>
      <c r="R81" s="11"/>
      <c r="S81" s="9"/>
      <c r="T81" s="10"/>
      <c r="U81" s="25"/>
      <c r="V81" s="11"/>
      <c r="W81" s="44"/>
    </row>
    <row r="82" spans="1:23" x14ac:dyDescent="0.35">
      <c r="A82" s="16"/>
      <c r="B82" s="17"/>
      <c r="C82" s="18"/>
      <c r="D82" s="19"/>
      <c r="E82" s="20"/>
      <c r="F82" s="21"/>
      <c r="G82" s="18"/>
      <c r="H82" s="19"/>
      <c r="I82" s="20"/>
      <c r="J82" s="21"/>
      <c r="K82" s="18"/>
      <c r="L82" s="19"/>
      <c r="M82" s="20"/>
      <c r="N82" s="21"/>
      <c r="O82" s="18"/>
      <c r="P82" s="19"/>
      <c r="Q82" s="20"/>
      <c r="R82" s="21"/>
      <c r="S82" s="18"/>
      <c r="T82" s="19"/>
      <c r="U82" s="20"/>
      <c r="V82" s="21"/>
      <c r="W82" s="49"/>
    </row>
    <row r="83" spans="1:23" x14ac:dyDescent="0.35">
      <c r="A83" s="16"/>
      <c r="B83" s="17"/>
      <c r="C83" s="16"/>
      <c r="D83" s="19"/>
      <c r="E83" s="24" t="s">
        <v>219</v>
      </c>
      <c r="F83" s="21">
        <f>SUM(F72:F81)</f>
        <v>0</v>
      </c>
      <c r="G83" s="16"/>
      <c r="H83" s="19"/>
      <c r="I83" s="24" t="s">
        <v>219</v>
      </c>
      <c r="J83" s="21">
        <f>SUM(J72:J81)</f>
        <v>0</v>
      </c>
      <c r="K83" s="16"/>
      <c r="L83" s="19"/>
      <c r="M83" s="24" t="s">
        <v>219</v>
      </c>
      <c r="N83" s="21">
        <f>SUM(N72:N81)</f>
        <v>0</v>
      </c>
      <c r="O83" s="16"/>
      <c r="P83" s="19"/>
      <c r="Q83" s="24" t="s">
        <v>219</v>
      </c>
      <c r="R83" s="21">
        <f>SUM(R72:R81)</f>
        <v>0</v>
      </c>
      <c r="S83" s="16"/>
      <c r="T83" s="19"/>
      <c r="U83" s="24" t="s">
        <v>219</v>
      </c>
      <c r="V83" s="21">
        <f>SUM(V72:V81)</f>
        <v>0</v>
      </c>
      <c r="W83" s="165">
        <f>SUM(V83,R83,N83,J83,F83)</f>
        <v>0</v>
      </c>
    </row>
    <row r="84" spans="1:23" x14ac:dyDescent="0.35">
      <c r="A84" s="36"/>
      <c r="B84" s="36"/>
      <c r="C84" s="36"/>
      <c r="D84" s="36"/>
      <c r="E84" s="36"/>
      <c r="F84" s="36"/>
      <c r="G84" s="36"/>
      <c r="H84" s="36"/>
      <c r="I84" s="36"/>
      <c r="J84" s="36"/>
      <c r="K84" s="36"/>
      <c r="L84" s="36"/>
      <c r="M84" s="36"/>
      <c r="N84" s="36"/>
      <c r="O84" s="36"/>
      <c r="P84" s="36"/>
      <c r="Q84" s="36"/>
      <c r="R84" s="36"/>
      <c r="S84" s="36"/>
      <c r="T84" s="36"/>
      <c r="U84" s="36"/>
      <c r="V84" s="36"/>
      <c r="W84" s="36"/>
    </row>
    <row r="85" spans="1:23" x14ac:dyDescent="0.35">
      <c r="C85" s="192" t="s">
        <v>86</v>
      </c>
      <c r="D85" s="192"/>
      <c r="E85" s="192"/>
      <c r="F85" s="192"/>
      <c r="G85" s="192" t="s">
        <v>87</v>
      </c>
      <c r="H85" s="192"/>
      <c r="I85" s="192"/>
      <c r="J85" s="192"/>
      <c r="K85" s="192" t="s">
        <v>88</v>
      </c>
      <c r="L85" s="192"/>
      <c r="M85" s="192"/>
      <c r="N85" s="192"/>
      <c r="O85" s="192" t="s">
        <v>89</v>
      </c>
      <c r="P85" s="192"/>
      <c r="Q85" s="192"/>
      <c r="R85" s="192"/>
      <c r="S85" s="192" t="s">
        <v>90</v>
      </c>
      <c r="T85" s="192"/>
      <c r="U85" s="192"/>
      <c r="V85" s="192"/>
      <c r="W85" s="45"/>
    </row>
    <row r="86" spans="1:23" s="148" customFormat="1" x14ac:dyDescent="0.35">
      <c r="A86" s="188" t="s">
        <v>220</v>
      </c>
      <c r="B86" s="188"/>
      <c r="C86" s="193" t="s">
        <v>221</v>
      </c>
      <c r="D86" s="194"/>
      <c r="E86" s="194"/>
      <c r="F86" s="195"/>
      <c r="G86" s="190" t="s">
        <v>222</v>
      </c>
      <c r="H86" s="190"/>
      <c r="I86" s="190"/>
      <c r="J86" s="190"/>
      <c r="K86" s="190" t="s">
        <v>223</v>
      </c>
      <c r="L86" s="190"/>
      <c r="M86" s="190"/>
      <c r="N86" s="190"/>
      <c r="O86" s="190" t="s">
        <v>224</v>
      </c>
      <c r="P86" s="190"/>
      <c r="Q86" s="190"/>
      <c r="R86" s="190"/>
      <c r="S86" s="190" t="s">
        <v>225</v>
      </c>
      <c r="T86" s="190"/>
      <c r="U86" s="190"/>
      <c r="V86" s="190"/>
      <c r="W86" s="147"/>
    </row>
    <row r="87" spans="1:23" x14ac:dyDescent="0.35">
      <c r="A87" s="8" t="s">
        <v>96</v>
      </c>
      <c r="B87" s="12" t="s">
        <v>12</v>
      </c>
      <c r="C87" s="4" t="s">
        <v>97</v>
      </c>
      <c r="D87" s="55" t="s">
        <v>98</v>
      </c>
      <c r="E87" s="56" t="s">
        <v>99</v>
      </c>
      <c r="F87" s="6" t="s">
        <v>100</v>
      </c>
      <c r="G87" s="4" t="s">
        <v>97</v>
      </c>
      <c r="H87" s="55" t="s">
        <v>98</v>
      </c>
      <c r="I87" s="56" t="s">
        <v>99</v>
      </c>
      <c r="J87" s="6" t="s">
        <v>100</v>
      </c>
      <c r="K87" s="4" t="s">
        <v>97</v>
      </c>
      <c r="L87" s="55" t="s">
        <v>98</v>
      </c>
      <c r="M87" s="56" t="s">
        <v>99</v>
      </c>
      <c r="N87" s="6" t="s">
        <v>100</v>
      </c>
      <c r="O87" s="4" t="s">
        <v>97</v>
      </c>
      <c r="P87" s="55" t="s">
        <v>98</v>
      </c>
      <c r="Q87" s="56" t="s">
        <v>99</v>
      </c>
      <c r="R87" s="6" t="s">
        <v>100</v>
      </c>
      <c r="S87" s="4" t="s">
        <v>97</v>
      </c>
      <c r="T87" s="55" t="s">
        <v>98</v>
      </c>
      <c r="U87" s="56" t="s">
        <v>99</v>
      </c>
      <c r="V87" s="6" t="s">
        <v>100</v>
      </c>
      <c r="W87" s="44"/>
    </row>
    <row r="88" spans="1:23" x14ac:dyDescent="0.35">
      <c r="A88" s="2" t="s">
        <v>226</v>
      </c>
      <c r="B88" s="14" t="s">
        <v>227</v>
      </c>
      <c r="C88" s="9" t="s">
        <v>104</v>
      </c>
      <c r="D88" s="10">
        <v>1</v>
      </c>
      <c r="E88" s="144"/>
      <c r="F88" s="107">
        <f>D88*E88</f>
        <v>0</v>
      </c>
      <c r="G88" s="9" t="s">
        <v>129</v>
      </c>
      <c r="H88" s="10">
        <v>0</v>
      </c>
      <c r="I88" s="145">
        <f>E88*1.05</f>
        <v>0</v>
      </c>
      <c r="J88" s="107">
        <f>H88*I88</f>
        <v>0</v>
      </c>
      <c r="K88" s="9" t="s">
        <v>129</v>
      </c>
      <c r="L88" s="10">
        <v>0</v>
      </c>
      <c r="M88" s="145">
        <f>I88*1.05</f>
        <v>0</v>
      </c>
      <c r="N88" s="107">
        <f>L88*M88</f>
        <v>0</v>
      </c>
      <c r="O88" s="9" t="s">
        <v>129</v>
      </c>
      <c r="P88" s="10">
        <v>0</v>
      </c>
      <c r="Q88" s="145">
        <f>M88*1.05</f>
        <v>0</v>
      </c>
      <c r="R88" s="107">
        <f>P88*Q88</f>
        <v>0</v>
      </c>
      <c r="S88" s="9" t="s">
        <v>129</v>
      </c>
      <c r="T88" s="10">
        <v>0</v>
      </c>
      <c r="U88" s="145">
        <f>Q88*1.05</f>
        <v>0</v>
      </c>
      <c r="V88" s="107">
        <f>T88*U88</f>
        <v>0</v>
      </c>
      <c r="W88" s="165">
        <f>SUM(V88,R88,N88,J88,F88)</f>
        <v>0</v>
      </c>
    </row>
    <row r="89" spans="1:23" x14ac:dyDescent="0.35">
      <c r="A89" s="8"/>
      <c r="B89" s="14"/>
      <c r="C89" s="9"/>
      <c r="D89" s="10"/>
      <c r="E89" s="11"/>
      <c r="F89" s="107"/>
      <c r="G89" s="9"/>
      <c r="H89" s="10"/>
      <c r="I89" s="11"/>
      <c r="J89" s="107"/>
      <c r="K89" s="9"/>
      <c r="L89" s="10"/>
      <c r="M89" s="11"/>
      <c r="N89" s="107"/>
      <c r="O89" s="9"/>
      <c r="P89" s="10"/>
      <c r="Q89" s="11"/>
      <c r="R89" s="107"/>
      <c r="S89" s="9"/>
      <c r="T89" s="10"/>
      <c r="U89" s="11"/>
      <c r="V89" s="107"/>
      <c r="W89" s="44"/>
    </row>
    <row r="90" spans="1:23" x14ac:dyDescent="0.35">
      <c r="A90" s="62"/>
      <c r="B90" s="14"/>
      <c r="C90" s="9"/>
      <c r="D90" s="10"/>
      <c r="E90" s="24" t="s">
        <v>228</v>
      </c>
      <c r="F90" s="21">
        <f>SUM(F88)</f>
        <v>0</v>
      </c>
      <c r="G90" s="9"/>
      <c r="H90" s="10"/>
      <c r="I90" s="24" t="s">
        <v>228</v>
      </c>
      <c r="J90" s="21">
        <f>SUM(J88)</f>
        <v>0</v>
      </c>
      <c r="K90" s="9"/>
      <c r="L90" s="10"/>
      <c r="M90" s="24" t="s">
        <v>228</v>
      </c>
      <c r="N90" s="21">
        <f>SUM(N88)</f>
        <v>0</v>
      </c>
      <c r="O90" s="9"/>
      <c r="P90" s="10"/>
      <c r="Q90" s="24" t="s">
        <v>228</v>
      </c>
      <c r="R90" s="21">
        <f>SUM(R88)</f>
        <v>0</v>
      </c>
      <c r="S90" s="9"/>
      <c r="T90" s="10"/>
      <c r="U90" s="24" t="s">
        <v>228</v>
      </c>
      <c r="V90" s="21">
        <f>SUM(V88)</f>
        <v>0</v>
      </c>
      <c r="W90" s="165">
        <f>SUM(V90,R90,N90,J90,F90)</f>
        <v>0</v>
      </c>
    </row>
    <row r="91" spans="1:23" x14ac:dyDescent="0.35">
      <c r="A91" s="35"/>
      <c r="B91" s="36"/>
      <c r="C91" s="37"/>
      <c r="D91" s="38"/>
      <c r="E91" s="38"/>
      <c r="F91" s="36"/>
      <c r="G91" s="37"/>
      <c r="H91" s="38"/>
      <c r="I91" s="38"/>
      <c r="J91" s="36"/>
      <c r="K91" s="37"/>
      <c r="L91" s="38"/>
      <c r="M91" s="38"/>
      <c r="N91" s="36"/>
      <c r="O91" s="37"/>
      <c r="P91" s="38"/>
      <c r="Q91" s="38"/>
      <c r="R91" s="36"/>
      <c r="S91" s="37"/>
      <c r="T91" s="38"/>
      <c r="U91" s="38"/>
      <c r="V91" s="36"/>
      <c r="W91" s="46"/>
    </row>
    <row r="92" spans="1:23" x14ac:dyDescent="0.35">
      <c r="C92" s="192" t="s">
        <v>86</v>
      </c>
      <c r="D92" s="192"/>
      <c r="E92" s="192"/>
      <c r="F92" s="192"/>
      <c r="G92" s="192" t="s">
        <v>87</v>
      </c>
      <c r="H92" s="192"/>
      <c r="I92" s="192"/>
      <c r="J92" s="192"/>
      <c r="K92" s="192" t="s">
        <v>88</v>
      </c>
      <c r="L92" s="192"/>
      <c r="M92" s="192"/>
      <c r="N92" s="192"/>
      <c r="O92" s="192" t="s">
        <v>89</v>
      </c>
      <c r="P92" s="192"/>
      <c r="Q92" s="192"/>
      <c r="R92" s="192"/>
      <c r="S92" s="192" t="s">
        <v>90</v>
      </c>
      <c r="T92" s="192"/>
      <c r="U92" s="192"/>
      <c r="V92" s="192"/>
      <c r="W92" s="45"/>
    </row>
    <row r="93" spans="1:23" s="148" customFormat="1" x14ac:dyDescent="0.35">
      <c r="A93" s="188" t="s">
        <v>229</v>
      </c>
      <c r="B93" s="188"/>
      <c r="C93" s="193" t="s">
        <v>230</v>
      </c>
      <c r="D93" s="194"/>
      <c r="E93" s="194"/>
      <c r="F93" s="195"/>
      <c r="G93" s="190" t="s">
        <v>231</v>
      </c>
      <c r="H93" s="190"/>
      <c r="I93" s="190"/>
      <c r="J93" s="190"/>
      <c r="K93" s="190" t="s">
        <v>232</v>
      </c>
      <c r="L93" s="190"/>
      <c r="M93" s="190"/>
      <c r="N93" s="190"/>
      <c r="O93" s="190" t="s">
        <v>233</v>
      </c>
      <c r="P93" s="190"/>
      <c r="Q93" s="190"/>
      <c r="R93" s="190"/>
      <c r="S93" s="190" t="s">
        <v>234</v>
      </c>
      <c r="T93" s="190"/>
      <c r="U93" s="190"/>
      <c r="V93" s="190"/>
      <c r="W93" s="147"/>
    </row>
    <row r="94" spans="1:23" x14ac:dyDescent="0.35">
      <c r="A94" s="8" t="s">
        <v>96</v>
      </c>
      <c r="B94" s="12" t="s">
        <v>12</v>
      </c>
      <c r="C94" s="4" t="s">
        <v>97</v>
      </c>
      <c r="D94" s="55" t="s">
        <v>98</v>
      </c>
      <c r="E94" s="56" t="s">
        <v>99</v>
      </c>
      <c r="F94" s="6" t="s">
        <v>100</v>
      </c>
      <c r="G94" s="4" t="s">
        <v>97</v>
      </c>
      <c r="H94" s="55" t="s">
        <v>98</v>
      </c>
      <c r="I94" s="56" t="s">
        <v>99</v>
      </c>
      <c r="J94" s="6" t="s">
        <v>100</v>
      </c>
      <c r="K94" s="4" t="s">
        <v>97</v>
      </c>
      <c r="L94" s="55" t="s">
        <v>98</v>
      </c>
      <c r="M94" s="56" t="s">
        <v>99</v>
      </c>
      <c r="N94" s="6" t="s">
        <v>100</v>
      </c>
      <c r="O94" s="4" t="s">
        <v>97</v>
      </c>
      <c r="P94" s="55" t="s">
        <v>98</v>
      </c>
      <c r="Q94" s="56" t="s">
        <v>99</v>
      </c>
      <c r="R94" s="6" t="s">
        <v>100</v>
      </c>
      <c r="S94" s="4" t="s">
        <v>97</v>
      </c>
      <c r="T94" s="55" t="s">
        <v>98</v>
      </c>
      <c r="U94" s="56" t="s">
        <v>99</v>
      </c>
      <c r="V94" s="6" t="s">
        <v>100</v>
      </c>
      <c r="W94" s="44"/>
    </row>
    <row r="95" spans="1:23" x14ac:dyDescent="0.35">
      <c r="A95" s="2" t="s">
        <v>235</v>
      </c>
      <c r="B95" s="3" t="s">
        <v>236</v>
      </c>
      <c r="C95" s="9" t="s">
        <v>104</v>
      </c>
      <c r="D95" s="10">
        <v>0</v>
      </c>
      <c r="E95" s="176"/>
      <c r="F95" s="161">
        <f>D95*E95</f>
        <v>0</v>
      </c>
      <c r="G95" s="9" t="s">
        <v>104</v>
      </c>
      <c r="H95" s="10">
        <v>1</v>
      </c>
      <c r="I95" s="121">
        <f>E95*1.05</f>
        <v>0</v>
      </c>
      <c r="J95" s="107">
        <f>H95*I95</f>
        <v>0</v>
      </c>
      <c r="K95" s="9" t="s">
        <v>104</v>
      </c>
      <c r="L95" s="10">
        <v>1</v>
      </c>
      <c r="M95" s="121">
        <f>I95*1.05</f>
        <v>0</v>
      </c>
      <c r="N95" s="107">
        <f>L95*M95</f>
        <v>0</v>
      </c>
      <c r="O95" s="9" t="s">
        <v>104</v>
      </c>
      <c r="P95" s="10">
        <v>1</v>
      </c>
      <c r="Q95" s="121">
        <f>M95*1.05</f>
        <v>0</v>
      </c>
      <c r="R95" s="107">
        <f>P95*Q95</f>
        <v>0</v>
      </c>
      <c r="S95" s="9" t="s">
        <v>104</v>
      </c>
      <c r="T95" s="10">
        <v>1</v>
      </c>
      <c r="U95" s="121">
        <f>Q95*1.05</f>
        <v>0</v>
      </c>
      <c r="V95" s="107">
        <f>T95*U95</f>
        <v>0</v>
      </c>
      <c r="W95" s="165">
        <f>SUM(V95,R95,N95,J95,F95)</f>
        <v>0</v>
      </c>
    </row>
    <row r="96" spans="1:23" x14ac:dyDescent="0.35">
      <c r="A96" s="2" t="s">
        <v>237</v>
      </c>
      <c r="B96" s="3" t="s">
        <v>238</v>
      </c>
      <c r="C96" s="9" t="s">
        <v>104</v>
      </c>
      <c r="D96" s="10">
        <v>0</v>
      </c>
      <c r="E96" s="176"/>
      <c r="F96" s="161">
        <f>D96*E96</f>
        <v>0</v>
      </c>
      <c r="G96" s="9" t="s">
        <v>104</v>
      </c>
      <c r="H96" s="10">
        <v>1</v>
      </c>
      <c r="I96" s="121">
        <f>E96*1.05</f>
        <v>0</v>
      </c>
      <c r="J96" s="107">
        <f>H96*I96</f>
        <v>0</v>
      </c>
      <c r="K96" s="9" t="s">
        <v>104</v>
      </c>
      <c r="L96" s="10">
        <v>1</v>
      </c>
      <c r="M96" s="121">
        <f>I96*1.05</f>
        <v>0</v>
      </c>
      <c r="N96" s="107">
        <f>L96*M96</f>
        <v>0</v>
      </c>
      <c r="O96" s="9" t="s">
        <v>104</v>
      </c>
      <c r="P96" s="10">
        <v>1</v>
      </c>
      <c r="Q96" s="121">
        <f>M96*1.05</f>
        <v>0</v>
      </c>
      <c r="R96" s="107">
        <f>P96*Q96</f>
        <v>0</v>
      </c>
      <c r="S96" s="9" t="s">
        <v>104</v>
      </c>
      <c r="T96" s="10">
        <v>1</v>
      </c>
      <c r="U96" s="121">
        <f>Q96*1.05</f>
        <v>0</v>
      </c>
      <c r="V96" s="107">
        <f>T96*U96</f>
        <v>0</v>
      </c>
      <c r="W96" s="165">
        <f t="shared" ref="W96:W97" si="62">SUM(V96,R96,N96,J96,F96)</f>
        <v>0</v>
      </c>
    </row>
    <row r="97" spans="1:23" x14ac:dyDescent="0.35">
      <c r="A97" s="108"/>
      <c r="B97" s="109"/>
      <c r="C97" s="110"/>
      <c r="D97" s="111"/>
      <c r="E97" s="139" t="s">
        <v>239</v>
      </c>
      <c r="F97" s="113">
        <f>SUM(F95,F96)</f>
        <v>0</v>
      </c>
      <c r="G97" s="110"/>
      <c r="H97" s="111"/>
      <c r="I97" s="139" t="s">
        <v>239</v>
      </c>
      <c r="J97" s="113">
        <f>SUM(J95,J96)</f>
        <v>0</v>
      </c>
      <c r="K97" s="110"/>
      <c r="L97" s="111"/>
      <c r="M97" s="139" t="s">
        <v>239</v>
      </c>
      <c r="N97" s="113">
        <f>SUM(N95,N96)</f>
        <v>0</v>
      </c>
      <c r="O97" s="110"/>
      <c r="P97" s="111"/>
      <c r="Q97" s="139" t="s">
        <v>239</v>
      </c>
      <c r="R97" s="113">
        <f>SUM(R95,R96)</f>
        <v>0</v>
      </c>
      <c r="S97" s="110"/>
      <c r="T97" s="111"/>
      <c r="U97" s="139" t="s">
        <v>239</v>
      </c>
      <c r="V97" s="113">
        <f>SUM(V95,V96)</f>
        <v>0</v>
      </c>
      <c r="W97" s="165">
        <f t="shared" si="62"/>
        <v>0</v>
      </c>
    </row>
    <row r="98" spans="1:23" x14ac:dyDescent="0.35">
      <c r="A98" s="35"/>
      <c r="B98" s="36"/>
      <c r="C98" s="37"/>
      <c r="D98" s="38"/>
      <c r="E98" s="38"/>
      <c r="F98" s="36"/>
      <c r="G98" s="37"/>
      <c r="H98" s="38"/>
      <c r="I98" s="38"/>
      <c r="J98" s="36"/>
      <c r="K98" s="37"/>
      <c r="L98" s="38"/>
      <c r="M98" s="38"/>
      <c r="N98" s="36"/>
      <c r="O98" s="37"/>
      <c r="P98" s="38"/>
      <c r="Q98" s="38"/>
      <c r="R98" s="36"/>
      <c r="S98" s="37"/>
      <c r="T98" s="38"/>
      <c r="U98" s="38"/>
      <c r="V98" s="36"/>
      <c r="W98" s="46"/>
    </row>
    <row r="99" spans="1:23" x14ac:dyDescent="0.35">
      <c r="C99" s="192" t="s">
        <v>86</v>
      </c>
      <c r="D99" s="192"/>
      <c r="E99" s="192"/>
      <c r="F99" s="192"/>
      <c r="G99" s="192" t="s">
        <v>87</v>
      </c>
      <c r="H99" s="192"/>
      <c r="I99" s="192"/>
      <c r="J99" s="192"/>
      <c r="K99" s="192" t="s">
        <v>88</v>
      </c>
      <c r="L99" s="192"/>
      <c r="M99" s="192"/>
      <c r="N99" s="192"/>
      <c r="O99" s="192" t="s">
        <v>89</v>
      </c>
      <c r="P99" s="192"/>
      <c r="Q99" s="192"/>
      <c r="R99" s="192"/>
      <c r="S99" s="192" t="s">
        <v>90</v>
      </c>
      <c r="T99" s="192"/>
      <c r="U99" s="192"/>
      <c r="V99" s="192"/>
      <c r="W99" s="45"/>
    </row>
    <row r="100" spans="1:23" s="148" customFormat="1" x14ac:dyDescent="0.35">
      <c r="A100" s="188" t="s">
        <v>240</v>
      </c>
      <c r="B100" s="188"/>
      <c r="C100" s="193" t="s">
        <v>241</v>
      </c>
      <c r="D100" s="194"/>
      <c r="E100" s="194"/>
      <c r="F100" s="195"/>
      <c r="G100" s="190" t="s">
        <v>242</v>
      </c>
      <c r="H100" s="190"/>
      <c r="I100" s="190"/>
      <c r="J100" s="190"/>
      <c r="K100" s="190" t="s">
        <v>243</v>
      </c>
      <c r="L100" s="190"/>
      <c r="M100" s="190"/>
      <c r="N100" s="190"/>
      <c r="O100" s="190" t="s">
        <v>244</v>
      </c>
      <c r="P100" s="190"/>
      <c r="Q100" s="190"/>
      <c r="R100" s="190"/>
      <c r="S100" s="190" t="s">
        <v>245</v>
      </c>
      <c r="T100" s="190"/>
      <c r="U100" s="190"/>
      <c r="V100" s="190"/>
      <c r="W100" s="147"/>
    </row>
    <row r="101" spans="1:23" x14ac:dyDescent="0.35">
      <c r="A101" s="8" t="s">
        <v>96</v>
      </c>
      <c r="B101" s="12" t="s">
        <v>12</v>
      </c>
      <c r="C101" s="4" t="s">
        <v>97</v>
      </c>
      <c r="D101" s="55" t="s">
        <v>98</v>
      </c>
      <c r="E101" s="56" t="s">
        <v>99</v>
      </c>
      <c r="F101" s="6" t="s">
        <v>100</v>
      </c>
      <c r="G101" s="4" t="s">
        <v>97</v>
      </c>
      <c r="H101" s="55" t="s">
        <v>98</v>
      </c>
      <c r="I101" s="56" t="s">
        <v>99</v>
      </c>
      <c r="J101" s="6" t="s">
        <v>100</v>
      </c>
      <c r="K101" s="4" t="s">
        <v>97</v>
      </c>
      <c r="L101" s="55" t="s">
        <v>98</v>
      </c>
      <c r="M101" s="56" t="s">
        <v>99</v>
      </c>
      <c r="N101" s="6" t="s">
        <v>100</v>
      </c>
      <c r="O101" s="4" t="s">
        <v>97</v>
      </c>
      <c r="P101" s="55" t="s">
        <v>98</v>
      </c>
      <c r="Q101" s="56" t="s">
        <v>99</v>
      </c>
      <c r="R101" s="6" t="s">
        <v>100</v>
      </c>
      <c r="S101" s="4" t="s">
        <v>97</v>
      </c>
      <c r="T101" s="55" t="s">
        <v>98</v>
      </c>
      <c r="U101" s="56" t="s">
        <v>99</v>
      </c>
      <c r="V101" s="6" t="s">
        <v>100</v>
      </c>
      <c r="W101" s="44"/>
    </row>
    <row r="102" spans="1:23" x14ac:dyDescent="0.35">
      <c r="A102" s="2" t="s">
        <v>246</v>
      </c>
      <c r="B102" s="3" t="s">
        <v>236</v>
      </c>
      <c r="C102" s="9" t="s">
        <v>104</v>
      </c>
      <c r="D102" s="10">
        <v>0</v>
      </c>
      <c r="E102" s="176"/>
      <c r="F102" s="161">
        <f>D102*E102</f>
        <v>0</v>
      </c>
      <c r="G102" s="9" t="s">
        <v>104</v>
      </c>
      <c r="H102" s="10">
        <v>1</v>
      </c>
      <c r="I102" s="121">
        <f>E102*1.05</f>
        <v>0</v>
      </c>
      <c r="J102" s="107">
        <f>H102*I102</f>
        <v>0</v>
      </c>
      <c r="K102" s="9" t="s">
        <v>104</v>
      </c>
      <c r="L102" s="10">
        <v>1</v>
      </c>
      <c r="M102" s="121">
        <f>I102*1.05</f>
        <v>0</v>
      </c>
      <c r="N102" s="107">
        <f>L102*M102</f>
        <v>0</v>
      </c>
      <c r="O102" s="9" t="s">
        <v>104</v>
      </c>
      <c r="P102" s="10">
        <v>1</v>
      </c>
      <c r="Q102" s="121">
        <f>M102*1.05</f>
        <v>0</v>
      </c>
      <c r="R102" s="107">
        <f>P102*Q102</f>
        <v>0</v>
      </c>
      <c r="S102" s="9" t="s">
        <v>104</v>
      </c>
      <c r="T102" s="10">
        <v>1</v>
      </c>
      <c r="U102" s="121">
        <f>Q102*1.05</f>
        <v>0</v>
      </c>
      <c r="V102" s="107">
        <f>T102*U102</f>
        <v>0</v>
      </c>
      <c r="W102" s="165">
        <f>SUM(V102,R102,N102,J102,F102)</f>
        <v>0</v>
      </c>
    </row>
    <row r="103" spans="1:23" x14ac:dyDescent="0.35">
      <c r="A103" s="2" t="s">
        <v>247</v>
      </c>
      <c r="B103" s="3" t="s">
        <v>238</v>
      </c>
      <c r="C103" s="9" t="s">
        <v>104</v>
      </c>
      <c r="D103" s="10">
        <v>0</v>
      </c>
      <c r="E103" s="176"/>
      <c r="F103" s="161">
        <f>D103*E103</f>
        <v>0</v>
      </c>
      <c r="G103" s="9" t="s">
        <v>104</v>
      </c>
      <c r="H103" s="10">
        <v>1</v>
      </c>
      <c r="I103" s="121">
        <v>0</v>
      </c>
      <c r="J103" s="107">
        <f>H103*I103</f>
        <v>0</v>
      </c>
      <c r="K103" s="9" t="s">
        <v>104</v>
      </c>
      <c r="L103" s="10">
        <v>1</v>
      </c>
      <c r="M103" s="121">
        <f>I103*1.05</f>
        <v>0</v>
      </c>
      <c r="N103" s="107">
        <f>L103*M103</f>
        <v>0</v>
      </c>
      <c r="O103" s="9" t="s">
        <v>104</v>
      </c>
      <c r="P103" s="10">
        <v>1</v>
      </c>
      <c r="Q103" s="121">
        <f>M103*1.05</f>
        <v>0</v>
      </c>
      <c r="R103" s="107">
        <f>P103*Q103</f>
        <v>0</v>
      </c>
      <c r="S103" s="9" t="s">
        <v>104</v>
      </c>
      <c r="T103" s="10">
        <v>1</v>
      </c>
      <c r="U103" s="121">
        <f>Q103*1.05</f>
        <v>0</v>
      </c>
      <c r="V103" s="107">
        <f>T103*U103</f>
        <v>0</v>
      </c>
      <c r="W103" s="165">
        <f t="shared" ref="W103:W104" si="63">SUM(V103,R103,N103,J103,F103)</f>
        <v>0</v>
      </c>
    </row>
    <row r="104" spans="1:23" x14ac:dyDescent="0.35">
      <c r="A104" s="108"/>
      <c r="B104" s="109"/>
      <c r="C104" s="110"/>
      <c r="D104" s="111"/>
      <c r="E104" s="139" t="s">
        <v>248</v>
      </c>
      <c r="F104" s="113">
        <f>SUM(F102,F103)</f>
        <v>0</v>
      </c>
      <c r="G104" s="110"/>
      <c r="H104" s="111"/>
      <c r="I104" s="139" t="s">
        <v>248</v>
      </c>
      <c r="J104" s="113">
        <f>SUM(J102,J103)</f>
        <v>0</v>
      </c>
      <c r="K104" s="110"/>
      <c r="L104" s="111"/>
      <c r="M104" s="139" t="s">
        <v>248</v>
      </c>
      <c r="N104" s="113">
        <f>SUM(N102,N103)</f>
        <v>0</v>
      </c>
      <c r="O104" s="110"/>
      <c r="P104" s="111"/>
      <c r="Q104" s="139" t="s">
        <v>248</v>
      </c>
      <c r="R104" s="113">
        <f>SUM(R102,R103)</f>
        <v>0</v>
      </c>
      <c r="S104" s="110"/>
      <c r="T104" s="111"/>
      <c r="U104" s="139" t="s">
        <v>248</v>
      </c>
      <c r="V104" s="113">
        <f>SUM(V102,V103)</f>
        <v>0</v>
      </c>
      <c r="W104" s="165">
        <f t="shared" si="63"/>
        <v>0</v>
      </c>
    </row>
    <row r="105" spans="1:23" x14ac:dyDescent="0.35">
      <c r="A105" s="134"/>
      <c r="B105" s="135"/>
      <c r="C105" s="136"/>
      <c r="D105" s="137"/>
      <c r="E105" s="137"/>
      <c r="F105" s="135"/>
      <c r="G105" s="136"/>
      <c r="H105" s="137"/>
      <c r="I105" s="137"/>
      <c r="J105" s="135"/>
      <c r="K105" s="136"/>
      <c r="L105" s="137"/>
      <c r="M105" s="137"/>
      <c r="N105" s="135"/>
      <c r="O105" s="136"/>
      <c r="P105" s="137"/>
      <c r="Q105" s="137"/>
      <c r="R105" s="135"/>
      <c r="S105" s="136"/>
      <c r="T105" s="137"/>
      <c r="U105" s="137"/>
      <c r="V105" s="135"/>
      <c r="W105" s="46"/>
    </row>
    <row r="106" spans="1:23" x14ac:dyDescent="0.35">
      <c r="C106" s="192" t="s">
        <v>86</v>
      </c>
      <c r="D106" s="192"/>
      <c r="E106" s="192"/>
      <c r="F106" s="192"/>
      <c r="G106" s="192" t="s">
        <v>87</v>
      </c>
      <c r="H106" s="192"/>
      <c r="I106" s="192"/>
      <c r="J106" s="192"/>
      <c r="K106" s="192" t="s">
        <v>88</v>
      </c>
      <c r="L106" s="192"/>
      <c r="M106" s="192"/>
      <c r="N106" s="192"/>
      <c r="O106" s="192" t="s">
        <v>89</v>
      </c>
      <c r="P106" s="192"/>
      <c r="Q106" s="192"/>
      <c r="R106" s="192"/>
      <c r="S106" s="192" t="s">
        <v>90</v>
      </c>
      <c r="T106" s="192"/>
      <c r="U106" s="192"/>
      <c r="V106" s="192"/>
      <c r="W106" s="45"/>
    </row>
    <row r="107" spans="1:23" s="148" customFormat="1" x14ac:dyDescent="0.35">
      <c r="A107" s="188" t="s">
        <v>249</v>
      </c>
      <c r="B107" s="188"/>
      <c r="C107" s="190" t="s">
        <v>250</v>
      </c>
      <c r="D107" s="190"/>
      <c r="E107" s="190"/>
      <c r="F107" s="190"/>
      <c r="G107" s="190" t="s">
        <v>251</v>
      </c>
      <c r="H107" s="190"/>
      <c r="I107" s="190"/>
      <c r="J107" s="190"/>
      <c r="K107" s="190" t="s">
        <v>252</v>
      </c>
      <c r="L107" s="190"/>
      <c r="M107" s="190"/>
      <c r="N107" s="190"/>
      <c r="O107" s="190" t="s">
        <v>253</v>
      </c>
      <c r="P107" s="190"/>
      <c r="Q107" s="190"/>
      <c r="R107" s="190"/>
      <c r="S107" s="190" t="s">
        <v>254</v>
      </c>
      <c r="T107" s="190"/>
      <c r="U107" s="190"/>
      <c r="V107" s="190"/>
      <c r="W107" s="147"/>
    </row>
    <row r="108" spans="1:23" x14ac:dyDescent="0.35">
      <c r="A108" s="8" t="s">
        <v>96</v>
      </c>
      <c r="B108" s="12" t="s">
        <v>12</v>
      </c>
      <c r="C108" s="4" t="s">
        <v>97</v>
      </c>
      <c r="D108" s="55" t="s">
        <v>98</v>
      </c>
      <c r="E108" s="5" t="s">
        <v>99</v>
      </c>
      <c r="F108" s="6" t="s">
        <v>100</v>
      </c>
      <c r="G108" s="4" t="s">
        <v>97</v>
      </c>
      <c r="H108" s="55" t="s">
        <v>98</v>
      </c>
      <c r="I108" s="5" t="s">
        <v>99</v>
      </c>
      <c r="J108" s="6" t="s">
        <v>100</v>
      </c>
      <c r="K108" s="4" t="s">
        <v>97</v>
      </c>
      <c r="L108" s="55" t="s">
        <v>98</v>
      </c>
      <c r="M108" s="5" t="s">
        <v>99</v>
      </c>
      <c r="N108" s="6" t="s">
        <v>100</v>
      </c>
      <c r="O108" s="4" t="s">
        <v>97</v>
      </c>
      <c r="P108" s="55" t="s">
        <v>98</v>
      </c>
      <c r="Q108" s="5" t="s">
        <v>99</v>
      </c>
      <c r="R108" s="6" t="s">
        <v>100</v>
      </c>
      <c r="S108" s="4" t="s">
        <v>97</v>
      </c>
      <c r="T108" s="55" t="s">
        <v>98</v>
      </c>
      <c r="U108" s="5" t="s">
        <v>99</v>
      </c>
      <c r="V108" s="6" t="s">
        <v>100</v>
      </c>
      <c r="W108" s="43" t="s">
        <v>101</v>
      </c>
    </row>
    <row r="109" spans="1:23" x14ac:dyDescent="0.35">
      <c r="A109" s="13" t="s">
        <v>255</v>
      </c>
      <c r="B109" s="3" t="s">
        <v>256</v>
      </c>
      <c r="C109" s="123" t="s">
        <v>129</v>
      </c>
      <c r="D109" s="10">
        <v>1</v>
      </c>
      <c r="E109" s="150"/>
      <c r="F109" s="107">
        <f t="shared" ref="F109" si="64">D109*E109</f>
        <v>0</v>
      </c>
      <c r="G109" s="162" t="s">
        <v>129</v>
      </c>
      <c r="H109" s="159">
        <v>0</v>
      </c>
      <c r="I109" s="160">
        <f>E109*1.05</f>
        <v>0</v>
      </c>
      <c r="J109" s="161">
        <f>H109*I109</f>
        <v>0</v>
      </c>
      <c r="K109" s="162" t="s">
        <v>129</v>
      </c>
      <c r="L109" s="159">
        <v>0</v>
      </c>
      <c r="M109" s="160">
        <f>I109*1.05</f>
        <v>0</v>
      </c>
      <c r="N109" s="161">
        <f>L109*M109</f>
        <v>0</v>
      </c>
      <c r="O109" s="162" t="s">
        <v>129</v>
      </c>
      <c r="P109" s="159">
        <v>0</v>
      </c>
      <c r="Q109" s="160">
        <f>M109*1.05</f>
        <v>0</v>
      </c>
      <c r="R109" s="161">
        <f>P109*Q109</f>
        <v>0</v>
      </c>
      <c r="S109" s="162" t="s">
        <v>129</v>
      </c>
      <c r="T109" s="159">
        <v>0</v>
      </c>
      <c r="U109" s="160">
        <f>Q109*1.05</f>
        <v>0</v>
      </c>
      <c r="V109" s="161">
        <f>T109*U109</f>
        <v>0</v>
      </c>
      <c r="W109" s="165">
        <f>SUM(V109,R109,N109,J109,F109)</f>
        <v>0</v>
      </c>
    </row>
    <row r="110" spans="1:23" x14ac:dyDescent="0.35">
      <c r="A110" s="13" t="s">
        <v>257</v>
      </c>
      <c r="B110" s="14" t="s">
        <v>258</v>
      </c>
      <c r="C110" s="9" t="s">
        <v>129</v>
      </c>
      <c r="D110" s="10">
        <v>1</v>
      </c>
      <c r="E110" s="25"/>
      <c r="F110" s="107">
        <f>D110*E110</f>
        <v>0</v>
      </c>
      <c r="G110" s="9" t="s">
        <v>129</v>
      </c>
      <c r="H110" s="10">
        <v>1</v>
      </c>
      <c r="I110" s="25">
        <f>E110*1.05</f>
        <v>0</v>
      </c>
      <c r="J110" s="107">
        <f>H110*I110</f>
        <v>0</v>
      </c>
      <c r="K110" s="9" t="s">
        <v>129</v>
      </c>
      <c r="L110" s="10">
        <v>1</v>
      </c>
      <c r="M110" s="25">
        <f>I110*1.05</f>
        <v>0</v>
      </c>
      <c r="N110" s="107">
        <f>L110*M110</f>
        <v>0</v>
      </c>
      <c r="O110" s="9" t="s">
        <v>129</v>
      </c>
      <c r="P110" s="10">
        <v>1</v>
      </c>
      <c r="Q110" s="25">
        <f>M110*1.05</f>
        <v>0</v>
      </c>
      <c r="R110" s="107">
        <f>P110*Q110</f>
        <v>0</v>
      </c>
      <c r="S110" s="9" t="s">
        <v>129</v>
      </c>
      <c r="T110" s="10">
        <v>1</v>
      </c>
      <c r="U110" s="25">
        <f>Q110*1.05</f>
        <v>0</v>
      </c>
      <c r="V110" s="107">
        <f>T110*U110</f>
        <v>0</v>
      </c>
      <c r="W110" s="165">
        <f t="shared" ref="W110:W118" si="65">SUM(V110,R110,N110,J110,F110)</f>
        <v>0</v>
      </c>
    </row>
    <row r="111" spans="1:23" x14ac:dyDescent="0.35">
      <c r="A111" s="13" t="s">
        <v>259</v>
      </c>
      <c r="B111" s="14" t="s">
        <v>260</v>
      </c>
      <c r="C111" s="9" t="s">
        <v>129</v>
      </c>
      <c r="D111" s="10">
        <v>1</v>
      </c>
      <c r="E111" s="25"/>
      <c r="F111" s="107">
        <f t="shared" ref="F111:F118" si="66">D111*E111</f>
        <v>0</v>
      </c>
      <c r="G111" s="9" t="s">
        <v>129</v>
      </c>
      <c r="H111" s="10">
        <v>1</v>
      </c>
      <c r="I111" s="25">
        <f t="shared" ref="I111:I118" si="67">E111*1.05</f>
        <v>0</v>
      </c>
      <c r="J111" s="107">
        <f t="shared" ref="J111:J118" si="68">H111*I111</f>
        <v>0</v>
      </c>
      <c r="K111" s="9" t="s">
        <v>129</v>
      </c>
      <c r="L111" s="10">
        <v>1</v>
      </c>
      <c r="M111" s="25">
        <f t="shared" ref="M111:M118" si="69">I111*1.05</f>
        <v>0</v>
      </c>
      <c r="N111" s="107">
        <f t="shared" ref="N111:N118" si="70">L111*M111</f>
        <v>0</v>
      </c>
      <c r="O111" s="9" t="s">
        <v>129</v>
      </c>
      <c r="P111" s="10">
        <v>1</v>
      </c>
      <c r="Q111" s="25">
        <f t="shared" ref="Q111:Q118" si="71">M111*1.05</f>
        <v>0</v>
      </c>
      <c r="R111" s="107">
        <f t="shared" ref="R111:R118" si="72">P111*Q111</f>
        <v>0</v>
      </c>
      <c r="S111" s="9" t="s">
        <v>129</v>
      </c>
      <c r="T111" s="10">
        <v>1</v>
      </c>
      <c r="U111" s="25">
        <f t="shared" ref="U111:U118" si="73">Q111*1.05</f>
        <v>0</v>
      </c>
      <c r="V111" s="107">
        <f t="shared" ref="V111:V118" si="74">T111*U111</f>
        <v>0</v>
      </c>
      <c r="W111" s="165">
        <f t="shared" si="65"/>
        <v>0</v>
      </c>
    </row>
    <row r="112" spans="1:23" x14ac:dyDescent="0.35">
      <c r="A112" s="13" t="s">
        <v>261</v>
      </c>
      <c r="B112" s="14" t="s">
        <v>262</v>
      </c>
      <c r="C112" s="9" t="s">
        <v>129</v>
      </c>
      <c r="D112" s="10">
        <v>1</v>
      </c>
      <c r="E112" s="25"/>
      <c r="F112" s="107">
        <f t="shared" si="66"/>
        <v>0</v>
      </c>
      <c r="G112" s="9" t="s">
        <v>129</v>
      </c>
      <c r="H112" s="10">
        <v>1</v>
      </c>
      <c r="I112" s="25">
        <f t="shared" si="67"/>
        <v>0</v>
      </c>
      <c r="J112" s="107">
        <f t="shared" si="68"/>
        <v>0</v>
      </c>
      <c r="K112" s="9" t="s">
        <v>129</v>
      </c>
      <c r="L112" s="10">
        <v>1</v>
      </c>
      <c r="M112" s="25">
        <f t="shared" si="69"/>
        <v>0</v>
      </c>
      <c r="N112" s="107">
        <f t="shared" si="70"/>
        <v>0</v>
      </c>
      <c r="O112" s="9" t="s">
        <v>129</v>
      </c>
      <c r="P112" s="10">
        <v>1</v>
      </c>
      <c r="Q112" s="25">
        <f t="shared" si="71"/>
        <v>0</v>
      </c>
      <c r="R112" s="107">
        <f t="shared" si="72"/>
        <v>0</v>
      </c>
      <c r="S112" s="9" t="s">
        <v>129</v>
      </c>
      <c r="T112" s="10">
        <v>1</v>
      </c>
      <c r="U112" s="25">
        <f t="shared" si="73"/>
        <v>0</v>
      </c>
      <c r="V112" s="107">
        <f t="shared" si="74"/>
        <v>0</v>
      </c>
      <c r="W112" s="165">
        <f t="shared" si="65"/>
        <v>0</v>
      </c>
    </row>
    <row r="113" spans="1:23" x14ac:dyDescent="0.35">
      <c r="A113" s="13" t="s">
        <v>263</v>
      </c>
      <c r="B113" s="14" t="s">
        <v>264</v>
      </c>
      <c r="C113" s="9" t="s">
        <v>129</v>
      </c>
      <c r="D113" s="10">
        <v>1</v>
      </c>
      <c r="E113" s="25"/>
      <c r="F113" s="107">
        <f t="shared" si="66"/>
        <v>0</v>
      </c>
      <c r="G113" s="9" t="s">
        <v>129</v>
      </c>
      <c r="H113" s="10">
        <v>1</v>
      </c>
      <c r="I113" s="25">
        <f t="shared" si="67"/>
        <v>0</v>
      </c>
      <c r="J113" s="107">
        <f t="shared" si="68"/>
        <v>0</v>
      </c>
      <c r="K113" s="9" t="s">
        <v>129</v>
      </c>
      <c r="L113" s="10">
        <v>1</v>
      </c>
      <c r="M113" s="25">
        <f t="shared" si="69"/>
        <v>0</v>
      </c>
      <c r="N113" s="107">
        <f t="shared" si="70"/>
        <v>0</v>
      </c>
      <c r="O113" s="9" t="s">
        <v>129</v>
      </c>
      <c r="P113" s="10">
        <v>1</v>
      </c>
      <c r="Q113" s="25">
        <f t="shared" si="71"/>
        <v>0</v>
      </c>
      <c r="R113" s="107">
        <f t="shared" si="72"/>
        <v>0</v>
      </c>
      <c r="S113" s="9" t="s">
        <v>129</v>
      </c>
      <c r="T113" s="10">
        <v>1</v>
      </c>
      <c r="U113" s="25">
        <f t="shared" si="73"/>
        <v>0</v>
      </c>
      <c r="V113" s="107">
        <f t="shared" si="74"/>
        <v>0</v>
      </c>
      <c r="W113" s="165">
        <f t="shared" si="65"/>
        <v>0</v>
      </c>
    </row>
    <row r="114" spans="1:23" x14ac:dyDescent="0.35">
      <c r="A114" s="13" t="s">
        <v>265</v>
      </c>
      <c r="B114" s="3" t="s">
        <v>266</v>
      </c>
      <c r="C114" s="9" t="s">
        <v>129</v>
      </c>
      <c r="D114" s="10">
        <v>1</v>
      </c>
      <c r="E114" s="25"/>
      <c r="F114" s="107">
        <f>D114*E114</f>
        <v>0</v>
      </c>
      <c r="G114" s="9" t="s">
        <v>129</v>
      </c>
      <c r="H114" s="10">
        <v>1</v>
      </c>
      <c r="I114" s="25">
        <f>E114*1.05</f>
        <v>0</v>
      </c>
      <c r="J114" s="107">
        <f>H114*I114</f>
        <v>0</v>
      </c>
      <c r="K114" s="9" t="s">
        <v>129</v>
      </c>
      <c r="L114" s="10">
        <v>1</v>
      </c>
      <c r="M114" s="25">
        <f>I114*1.05</f>
        <v>0</v>
      </c>
      <c r="N114" s="107">
        <f>L114*M114</f>
        <v>0</v>
      </c>
      <c r="O114" s="9" t="s">
        <v>129</v>
      </c>
      <c r="P114" s="10">
        <v>1</v>
      </c>
      <c r="Q114" s="25">
        <f>M114*1.05</f>
        <v>0</v>
      </c>
      <c r="R114" s="107">
        <f>P114*Q114</f>
        <v>0</v>
      </c>
      <c r="S114" s="9" t="s">
        <v>129</v>
      </c>
      <c r="T114" s="10">
        <v>1</v>
      </c>
      <c r="U114" s="25">
        <f>Q114*1.05</f>
        <v>0</v>
      </c>
      <c r="V114" s="107">
        <f>T114*U114</f>
        <v>0</v>
      </c>
      <c r="W114" s="165">
        <f t="shared" si="65"/>
        <v>0</v>
      </c>
    </row>
    <row r="115" spans="1:23" x14ac:dyDescent="0.35">
      <c r="A115" s="13" t="s">
        <v>111</v>
      </c>
      <c r="B115" s="14" t="s">
        <v>267</v>
      </c>
      <c r="C115" s="9" t="s">
        <v>129</v>
      </c>
      <c r="D115" s="10">
        <v>1</v>
      </c>
      <c r="E115" s="25"/>
      <c r="F115" s="107">
        <f t="shared" si="66"/>
        <v>0</v>
      </c>
      <c r="G115" s="9" t="s">
        <v>129</v>
      </c>
      <c r="H115" s="10">
        <v>1</v>
      </c>
      <c r="I115" s="25">
        <f t="shared" si="67"/>
        <v>0</v>
      </c>
      <c r="J115" s="107">
        <f t="shared" si="68"/>
        <v>0</v>
      </c>
      <c r="K115" s="9" t="s">
        <v>129</v>
      </c>
      <c r="L115" s="10">
        <v>1</v>
      </c>
      <c r="M115" s="25">
        <f t="shared" si="69"/>
        <v>0</v>
      </c>
      <c r="N115" s="107">
        <f t="shared" si="70"/>
        <v>0</v>
      </c>
      <c r="O115" s="9" t="s">
        <v>129</v>
      </c>
      <c r="P115" s="10">
        <v>1</v>
      </c>
      <c r="Q115" s="25">
        <f t="shared" si="71"/>
        <v>0</v>
      </c>
      <c r="R115" s="107">
        <f t="shared" si="72"/>
        <v>0</v>
      </c>
      <c r="S115" s="9" t="s">
        <v>129</v>
      </c>
      <c r="T115" s="10">
        <v>1</v>
      </c>
      <c r="U115" s="25">
        <f t="shared" si="73"/>
        <v>0</v>
      </c>
      <c r="V115" s="107">
        <f t="shared" si="74"/>
        <v>0</v>
      </c>
      <c r="W115" s="165">
        <f t="shared" si="65"/>
        <v>0</v>
      </c>
    </row>
    <row r="116" spans="1:23" x14ac:dyDescent="0.35">
      <c r="A116" s="13" t="s">
        <v>268</v>
      </c>
      <c r="B116" s="14" t="s">
        <v>269</v>
      </c>
      <c r="C116" s="9" t="s">
        <v>129</v>
      </c>
      <c r="D116" s="10">
        <v>1</v>
      </c>
      <c r="E116" s="25"/>
      <c r="F116" s="107">
        <f t="shared" si="66"/>
        <v>0</v>
      </c>
      <c r="G116" s="9" t="s">
        <v>129</v>
      </c>
      <c r="H116" s="10">
        <v>1</v>
      </c>
      <c r="I116" s="25">
        <f t="shared" si="67"/>
        <v>0</v>
      </c>
      <c r="J116" s="107">
        <f t="shared" si="68"/>
        <v>0</v>
      </c>
      <c r="K116" s="9" t="s">
        <v>129</v>
      </c>
      <c r="L116" s="10">
        <v>1</v>
      </c>
      <c r="M116" s="25">
        <f t="shared" si="69"/>
        <v>0</v>
      </c>
      <c r="N116" s="107">
        <f t="shared" si="70"/>
        <v>0</v>
      </c>
      <c r="O116" s="9" t="s">
        <v>129</v>
      </c>
      <c r="P116" s="10">
        <v>1</v>
      </c>
      <c r="Q116" s="25">
        <f t="shared" si="71"/>
        <v>0</v>
      </c>
      <c r="R116" s="107">
        <f t="shared" si="72"/>
        <v>0</v>
      </c>
      <c r="S116" s="9" t="s">
        <v>129</v>
      </c>
      <c r="T116" s="10">
        <v>1</v>
      </c>
      <c r="U116" s="25">
        <f t="shared" si="73"/>
        <v>0</v>
      </c>
      <c r="V116" s="107">
        <f t="shared" si="74"/>
        <v>0</v>
      </c>
      <c r="W116" s="165">
        <f t="shared" si="65"/>
        <v>0</v>
      </c>
    </row>
    <row r="117" spans="1:23" x14ac:dyDescent="0.35">
      <c r="A117" s="13" t="s">
        <v>270</v>
      </c>
      <c r="B117" s="14" t="s">
        <v>271</v>
      </c>
      <c r="C117" s="9" t="s">
        <v>129</v>
      </c>
      <c r="D117" s="10">
        <v>1</v>
      </c>
      <c r="E117" s="25"/>
      <c r="F117" s="107">
        <f t="shared" si="66"/>
        <v>0</v>
      </c>
      <c r="G117" s="9" t="s">
        <v>129</v>
      </c>
      <c r="H117" s="10">
        <v>1</v>
      </c>
      <c r="I117" s="25">
        <f t="shared" si="67"/>
        <v>0</v>
      </c>
      <c r="J117" s="107">
        <f t="shared" si="68"/>
        <v>0</v>
      </c>
      <c r="K117" s="9" t="s">
        <v>129</v>
      </c>
      <c r="L117" s="10">
        <v>1</v>
      </c>
      <c r="M117" s="25">
        <f t="shared" si="69"/>
        <v>0</v>
      </c>
      <c r="N117" s="107">
        <f t="shared" si="70"/>
        <v>0</v>
      </c>
      <c r="O117" s="9" t="s">
        <v>129</v>
      </c>
      <c r="P117" s="10">
        <v>1</v>
      </c>
      <c r="Q117" s="25">
        <f t="shared" si="71"/>
        <v>0</v>
      </c>
      <c r="R117" s="107">
        <f t="shared" si="72"/>
        <v>0</v>
      </c>
      <c r="S117" s="9" t="s">
        <v>129</v>
      </c>
      <c r="T117" s="10">
        <v>1</v>
      </c>
      <c r="U117" s="25">
        <f t="shared" si="73"/>
        <v>0</v>
      </c>
      <c r="V117" s="107">
        <f t="shared" si="74"/>
        <v>0</v>
      </c>
      <c r="W117" s="165">
        <f t="shared" si="65"/>
        <v>0</v>
      </c>
    </row>
    <row r="118" spans="1:23" x14ac:dyDescent="0.35">
      <c r="A118" s="13" t="s">
        <v>272</v>
      </c>
      <c r="B118" s="14" t="s">
        <v>273</v>
      </c>
      <c r="C118" s="9" t="s">
        <v>129</v>
      </c>
      <c r="D118" s="10">
        <v>1</v>
      </c>
      <c r="E118" s="25"/>
      <c r="F118" s="107">
        <f t="shared" si="66"/>
        <v>0</v>
      </c>
      <c r="G118" s="9" t="s">
        <v>129</v>
      </c>
      <c r="H118" s="10">
        <v>1</v>
      </c>
      <c r="I118" s="25">
        <f t="shared" si="67"/>
        <v>0</v>
      </c>
      <c r="J118" s="107">
        <f t="shared" si="68"/>
        <v>0</v>
      </c>
      <c r="K118" s="9" t="s">
        <v>129</v>
      </c>
      <c r="L118" s="10">
        <v>1</v>
      </c>
      <c r="M118" s="25">
        <f t="shared" si="69"/>
        <v>0</v>
      </c>
      <c r="N118" s="107">
        <f t="shared" si="70"/>
        <v>0</v>
      </c>
      <c r="O118" s="9" t="s">
        <v>129</v>
      </c>
      <c r="P118" s="10">
        <v>1</v>
      </c>
      <c r="Q118" s="25">
        <f t="shared" si="71"/>
        <v>0</v>
      </c>
      <c r="R118" s="107">
        <f t="shared" si="72"/>
        <v>0</v>
      </c>
      <c r="S118" s="9" t="s">
        <v>129</v>
      </c>
      <c r="T118" s="10">
        <v>1</v>
      </c>
      <c r="U118" s="25">
        <f t="shared" si="73"/>
        <v>0</v>
      </c>
      <c r="V118" s="107">
        <f t="shared" si="74"/>
        <v>0</v>
      </c>
      <c r="W118" s="165">
        <f t="shared" si="65"/>
        <v>0</v>
      </c>
    </row>
    <row r="119" spans="1:23" x14ac:dyDescent="0.35">
      <c r="A119" s="13"/>
      <c r="B119" s="127"/>
      <c r="C119" s="9"/>
      <c r="D119" s="10"/>
      <c r="E119" s="25"/>
      <c r="F119" s="11"/>
      <c r="G119" s="9"/>
      <c r="H119" s="10"/>
      <c r="I119" s="25"/>
      <c r="J119" s="11"/>
      <c r="K119" s="9"/>
      <c r="L119" s="10"/>
      <c r="M119" s="25"/>
      <c r="N119" s="11"/>
      <c r="O119" s="9"/>
      <c r="P119" s="10"/>
      <c r="Q119" s="25"/>
      <c r="R119" s="11"/>
      <c r="S119" s="9"/>
      <c r="T119" s="10"/>
      <c r="U119" s="25"/>
      <c r="V119" s="11"/>
      <c r="W119" s="44"/>
    </row>
    <row r="120" spans="1:23" x14ac:dyDescent="0.35">
      <c r="A120" s="22"/>
      <c r="B120" s="23"/>
      <c r="C120" s="16"/>
      <c r="D120" s="19"/>
      <c r="E120" s="24" t="s">
        <v>274</v>
      </c>
      <c r="F120" s="21">
        <f>SUM(F109:F119)</f>
        <v>0</v>
      </c>
      <c r="G120" s="16"/>
      <c r="H120" s="19"/>
      <c r="I120" s="24" t="s">
        <v>274</v>
      </c>
      <c r="J120" s="21">
        <f>SUM(J109:J119)</f>
        <v>0</v>
      </c>
      <c r="K120" s="16"/>
      <c r="L120" s="19"/>
      <c r="M120" s="24" t="s">
        <v>274</v>
      </c>
      <c r="N120" s="21">
        <f>SUM(N110:N119)</f>
        <v>0</v>
      </c>
      <c r="O120" s="16"/>
      <c r="P120" s="19"/>
      <c r="Q120" s="24" t="s">
        <v>274</v>
      </c>
      <c r="R120" s="21">
        <f>SUM(R110:R119)</f>
        <v>0</v>
      </c>
      <c r="S120" s="16"/>
      <c r="T120" s="19"/>
      <c r="U120" s="24" t="s">
        <v>274</v>
      </c>
      <c r="V120" s="21">
        <f>SUM(V110:V119)</f>
        <v>0</v>
      </c>
      <c r="W120" s="165">
        <f>SUM(V120,R120,N120,J120,F120)</f>
        <v>0</v>
      </c>
    </row>
    <row r="121" spans="1:23" x14ac:dyDescent="0.35">
      <c r="A121" s="134"/>
      <c r="B121" s="135"/>
      <c r="C121" s="136"/>
      <c r="D121" s="137"/>
      <c r="E121" s="137"/>
      <c r="F121" s="135"/>
      <c r="G121" s="136"/>
      <c r="H121" s="137"/>
      <c r="I121" s="137"/>
      <c r="J121" s="135"/>
      <c r="K121" s="136"/>
      <c r="L121" s="137"/>
      <c r="M121" s="137"/>
      <c r="N121" s="135"/>
      <c r="O121" s="136"/>
      <c r="P121" s="137"/>
      <c r="Q121" s="137"/>
      <c r="R121" s="135"/>
      <c r="S121" s="136"/>
      <c r="T121" s="137"/>
      <c r="U121" s="137"/>
      <c r="V121" s="135"/>
      <c r="W121" s="46"/>
    </row>
    <row r="122" spans="1:23" x14ac:dyDescent="0.35">
      <c r="C122" s="192" t="s">
        <v>86</v>
      </c>
      <c r="D122" s="192"/>
      <c r="E122" s="192"/>
      <c r="F122" s="192"/>
      <c r="G122" s="192" t="s">
        <v>87</v>
      </c>
      <c r="H122" s="192"/>
      <c r="I122" s="192"/>
      <c r="J122" s="192"/>
      <c r="K122" s="192" t="s">
        <v>88</v>
      </c>
      <c r="L122" s="192"/>
      <c r="M122" s="192"/>
      <c r="N122" s="192"/>
      <c r="O122" s="192" t="s">
        <v>89</v>
      </c>
      <c r="P122" s="192"/>
      <c r="Q122" s="192"/>
      <c r="R122" s="192"/>
      <c r="S122" s="192" t="s">
        <v>90</v>
      </c>
      <c r="T122" s="192"/>
      <c r="U122" s="192"/>
      <c r="V122" s="192"/>
      <c r="W122" s="45"/>
    </row>
    <row r="123" spans="1:23" s="148" customFormat="1" x14ac:dyDescent="0.35">
      <c r="A123" s="188" t="s">
        <v>275</v>
      </c>
      <c r="B123" s="188"/>
      <c r="C123" s="190" t="s">
        <v>276</v>
      </c>
      <c r="D123" s="190"/>
      <c r="E123" s="190"/>
      <c r="F123" s="190"/>
      <c r="G123" s="190" t="s">
        <v>277</v>
      </c>
      <c r="H123" s="190"/>
      <c r="I123" s="190"/>
      <c r="J123" s="190"/>
      <c r="K123" s="190" t="s">
        <v>278</v>
      </c>
      <c r="L123" s="190"/>
      <c r="M123" s="190"/>
      <c r="N123" s="190"/>
      <c r="O123" s="190" t="s">
        <v>279</v>
      </c>
      <c r="P123" s="190"/>
      <c r="Q123" s="190"/>
      <c r="R123" s="190"/>
      <c r="S123" s="190" t="s">
        <v>280</v>
      </c>
      <c r="T123" s="190"/>
      <c r="U123" s="190"/>
      <c r="V123" s="190"/>
      <c r="W123" s="147"/>
    </row>
    <row r="124" spans="1:23" x14ac:dyDescent="0.35">
      <c r="A124" s="8" t="s">
        <v>96</v>
      </c>
      <c r="B124" s="12" t="s">
        <v>12</v>
      </c>
      <c r="C124" s="4" t="s">
        <v>97</v>
      </c>
      <c r="D124" s="55" t="s">
        <v>98</v>
      </c>
      <c r="E124" s="5" t="s">
        <v>99</v>
      </c>
      <c r="F124" s="6" t="s">
        <v>100</v>
      </c>
      <c r="G124" s="4" t="s">
        <v>97</v>
      </c>
      <c r="H124" s="55" t="s">
        <v>98</v>
      </c>
      <c r="I124" s="5" t="s">
        <v>99</v>
      </c>
      <c r="J124" s="6" t="s">
        <v>100</v>
      </c>
      <c r="K124" s="4" t="s">
        <v>97</v>
      </c>
      <c r="L124" s="55" t="s">
        <v>98</v>
      </c>
      <c r="M124" s="5" t="s">
        <v>99</v>
      </c>
      <c r="N124" s="6" t="s">
        <v>100</v>
      </c>
      <c r="O124" s="4" t="s">
        <v>97</v>
      </c>
      <c r="P124" s="55" t="s">
        <v>98</v>
      </c>
      <c r="Q124" s="5" t="s">
        <v>99</v>
      </c>
      <c r="R124" s="6" t="s">
        <v>100</v>
      </c>
      <c r="S124" s="4" t="s">
        <v>97</v>
      </c>
      <c r="T124" s="55" t="s">
        <v>98</v>
      </c>
      <c r="U124" s="5" t="s">
        <v>99</v>
      </c>
      <c r="V124" s="6" t="s">
        <v>100</v>
      </c>
      <c r="W124" s="43" t="s">
        <v>101</v>
      </c>
    </row>
    <row r="125" spans="1:23" x14ac:dyDescent="0.35">
      <c r="A125" s="2" t="s">
        <v>281</v>
      </c>
      <c r="B125" s="3" t="s">
        <v>282</v>
      </c>
      <c r="C125" s="123" t="s">
        <v>129</v>
      </c>
      <c r="D125" s="10">
        <v>1</v>
      </c>
      <c r="E125" s="150">
        <v>0</v>
      </c>
      <c r="F125" s="107">
        <f>D125*E125</f>
        <v>0</v>
      </c>
      <c r="G125" s="9" t="s">
        <v>129</v>
      </c>
      <c r="H125" s="10">
        <v>1</v>
      </c>
      <c r="I125" s="25">
        <f>E125*1.05</f>
        <v>0</v>
      </c>
      <c r="J125" s="107">
        <f>H125*I125</f>
        <v>0</v>
      </c>
      <c r="K125" s="9" t="s">
        <v>129</v>
      </c>
      <c r="L125" s="10">
        <v>1</v>
      </c>
      <c r="M125" s="25">
        <f>I125*1.05</f>
        <v>0</v>
      </c>
      <c r="N125" s="107">
        <f>L125*M125</f>
        <v>0</v>
      </c>
      <c r="O125" s="9" t="s">
        <v>129</v>
      </c>
      <c r="P125" s="10">
        <v>1</v>
      </c>
      <c r="Q125" s="25">
        <f>M125*1.05</f>
        <v>0</v>
      </c>
      <c r="R125" s="107">
        <f>P125*Q125</f>
        <v>0</v>
      </c>
      <c r="S125" s="9" t="s">
        <v>129</v>
      </c>
      <c r="T125" s="10">
        <v>1</v>
      </c>
      <c r="U125" s="25">
        <f>Q125*1.05</f>
        <v>0</v>
      </c>
      <c r="V125" s="107">
        <f>T125*U125</f>
        <v>0</v>
      </c>
      <c r="W125" s="165">
        <f>SUM(V125,R125,N125,J125,F125)</f>
        <v>0</v>
      </c>
    </row>
    <row r="126" spans="1:23" x14ac:dyDescent="0.35">
      <c r="A126" s="2"/>
      <c r="B126" s="3" t="s">
        <v>283</v>
      </c>
      <c r="C126" s="152"/>
      <c r="D126" s="152"/>
      <c r="E126" s="152"/>
      <c r="F126" s="152"/>
      <c r="G126" s="152"/>
      <c r="H126" s="152"/>
      <c r="I126" s="152"/>
      <c r="J126" s="152"/>
      <c r="K126" s="152"/>
      <c r="L126" s="152"/>
      <c r="M126" s="152"/>
      <c r="N126" s="152"/>
      <c r="O126" s="152"/>
      <c r="P126" s="152"/>
      <c r="Q126" s="152"/>
      <c r="R126" s="152"/>
      <c r="S126" s="152"/>
      <c r="T126" s="152"/>
      <c r="U126" s="152"/>
      <c r="V126" s="152"/>
      <c r="W126" s="152"/>
    </row>
    <row r="127" spans="1:23" x14ac:dyDescent="0.35">
      <c r="A127" s="2"/>
      <c r="B127" s="14" t="s">
        <v>284</v>
      </c>
      <c r="C127" s="152"/>
      <c r="D127" s="152"/>
      <c r="E127" s="152"/>
      <c r="F127" s="152"/>
      <c r="G127" s="152"/>
      <c r="H127" s="152"/>
      <c r="I127" s="152"/>
      <c r="J127" s="152"/>
      <c r="K127" s="152"/>
      <c r="L127" s="152"/>
      <c r="M127" s="152"/>
      <c r="N127" s="152"/>
      <c r="O127" s="152"/>
      <c r="P127" s="152"/>
      <c r="Q127" s="152"/>
      <c r="R127" s="152"/>
      <c r="S127" s="152"/>
      <c r="T127" s="152"/>
      <c r="U127" s="152"/>
      <c r="V127" s="152"/>
      <c r="W127" s="152"/>
    </row>
    <row r="128" spans="1:23" x14ac:dyDescent="0.35">
      <c r="A128" s="2"/>
      <c r="B128" s="167" t="s">
        <v>285</v>
      </c>
      <c r="C128" s="152"/>
      <c r="D128" s="152"/>
      <c r="E128" s="152"/>
      <c r="F128" s="152"/>
      <c r="G128" s="152"/>
      <c r="H128" s="152"/>
      <c r="I128" s="152"/>
      <c r="J128" s="152"/>
      <c r="K128" s="152"/>
      <c r="L128" s="152"/>
      <c r="M128" s="152"/>
      <c r="N128" s="152"/>
      <c r="O128" s="152"/>
      <c r="P128" s="152"/>
      <c r="Q128" s="152"/>
      <c r="R128" s="152"/>
      <c r="S128" s="152"/>
      <c r="T128" s="152"/>
      <c r="U128" s="152"/>
      <c r="V128" s="152"/>
      <c r="W128" s="152"/>
    </row>
    <row r="129" spans="1:23" x14ac:dyDescent="0.35">
      <c r="A129" s="2"/>
      <c r="B129" s="14" t="s">
        <v>286</v>
      </c>
      <c r="C129" s="152"/>
      <c r="D129" s="152"/>
      <c r="E129" s="152"/>
      <c r="F129" s="152"/>
      <c r="G129" s="152"/>
      <c r="H129" s="152"/>
      <c r="I129" s="152"/>
      <c r="J129" s="152"/>
      <c r="K129" s="152"/>
      <c r="L129" s="152"/>
      <c r="M129" s="152"/>
      <c r="N129" s="152"/>
      <c r="O129" s="152"/>
      <c r="P129" s="152"/>
      <c r="Q129" s="152"/>
      <c r="R129" s="152"/>
      <c r="S129" s="152"/>
      <c r="T129" s="152"/>
      <c r="U129" s="152"/>
      <c r="V129" s="152"/>
      <c r="W129" s="152"/>
    </row>
    <row r="130" spans="1:23" x14ac:dyDescent="0.35">
      <c r="A130" s="2"/>
      <c r="B130" s="14" t="s">
        <v>287</v>
      </c>
      <c r="C130" s="152"/>
      <c r="D130" s="152"/>
      <c r="E130" s="152"/>
      <c r="F130" s="152"/>
      <c r="G130" s="152"/>
      <c r="H130" s="152"/>
      <c r="I130" s="152"/>
      <c r="J130" s="152"/>
      <c r="K130" s="152"/>
      <c r="L130" s="152"/>
      <c r="M130" s="152"/>
      <c r="N130" s="152"/>
      <c r="O130" s="152"/>
      <c r="P130" s="152"/>
      <c r="Q130" s="152"/>
      <c r="R130" s="152"/>
      <c r="S130" s="152"/>
      <c r="T130" s="152"/>
      <c r="U130" s="152"/>
      <c r="V130" s="152"/>
      <c r="W130" s="152"/>
    </row>
    <row r="131" spans="1:23" x14ac:dyDescent="0.35">
      <c r="A131" s="2"/>
      <c r="B131" s="14" t="s">
        <v>288</v>
      </c>
      <c r="C131" s="152"/>
      <c r="D131" s="152"/>
      <c r="E131" s="152"/>
      <c r="F131" s="152"/>
      <c r="G131" s="152"/>
      <c r="H131" s="152"/>
      <c r="I131" s="152"/>
      <c r="J131" s="152"/>
      <c r="K131" s="152"/>
      <c r="L131" s="152"/>
      <c r="M131" s="152"/>
      <c r="N131" s="152"/>
      <c r="O131" s="152"/>
      <c r="P131" s="152"/>
      <c r="Q131" s="152"/>
      <c r="R131" s="152"/>
      <c r="S131" s="152"/>
      <c r="T131" s="152"/>
      <c r="U131" s="152"/>
      <c r="V131" s="152"/>
      <c r="W131" s="152"/>
    </row>
    <row r="132" spans="1:23" x14ac:dyDescent="0.35">
      <c r="A132" s="2"/>
      <c r="B132" s="14" t="s">
        <v>289</v>
      </c>
      <c r="C132" s="152"/>
      <c r="D132" s="152"/>
      <c r="E132" s="152"/>
      <c r="F132" s="152"/>
      <c r="G132" s="152"/>
      <c r="H132" s="152"/>
      <c r="I132" s="152"/>
      <c r="J132" s="152"/>
      <c r="K132" s="152"/>
      <c r="L132" s="152"/>
      <c r="M132" s="152"/>
      <c r="N132" s="152"/>
      <c r="O132" s="152"/>
      <c r="P132" s="152"/>
      <c r="Q132" s="152"/>
      <c r="R132" s="152"/>
      <c r="S132" s="152"/>
      <c r="T132" s="152"/>
      <c r="U132" s="152"/>
      <c r="V132" s="152"/>
      <c r="W132" s="152"/>
    </row>
    <row r="133" spans="1:23" x14ac:dyDescent="0.35">
      <c r="A133" s="2"/>
      <c r="B133" s="14" t="s">
        <v>290</v>
      </c>
      <c r="C133" s="152"/>
      <c r="D133" s="152"/>
      <c r="E133" s="152"/>
      <c r="F133" s="152"/>
      <c r="G133" s="152"/>
      <c r="H133" s="152"/>
      <c r="I133" s="152"/>
      <c r="J133" s="152"/>
      <c r="K133" s="152"/>
      <c r="L133" s="152"/>
      <c r="M133" s="152"/>
      <c r="N133" s="152"/>
      <c r="O133" s="152"/>
      <c r="P133" s="152"/>
      <c r="Q133" s="152"/>
      <c r="R133" s="152"/>
      <c r="S133" s="152"/>
      <c r="T133" s="152"/>
      <c r="U133" s="152"/>
      <c r="V133" s="152"/>
      <c r="W133" s="152"/>
    </row>
    <row r="134" spans="1:23" x14ac:dyDescent="0.35">
      <c r="A134" s="2"/>
      <c r="B134" s="14" t="s">
        <v>291</v>
      </c>
      <c r="C134" s="152"/>
      <c r="D134" s="152"/>
      <c r="E134" s="152"/>
      <c r="F134" s="152"/>
      <c r="G134" s="152"/>
      <c r="H134" s="152"/>
      <c r="I134" s="152"/>
      <c r="J134" s="152"/>
      <c r="K134" s="152"/>
      <c r="L134" s="152"/>
      <c r="M134" s="152"/>
      <c r="N134" s="152"/>
      <c r="O134" s="152"/>
      <c r="P134" s="152"/>
      <c r="Q134" s="152"/>
      <c r="R134" s="152"/>
      <c r="S134" s="152"/>
      <c r="T134" s="152"/>
      <c r="U134" s="152"/>
      <c r="V134" s="152"/>
      <c r="W134" s="152"/>
    </row>
    <row r="135" spans="1:23" x14ac:dyDescent="0.35">
      <c r="A135" s="2"/>
      <c r="B135" s="151" t="s">
        <v>292</v>
      </c>
      <c r="C135" s="152"/>
      <c r="D135" s="152"/>
      <c r="E135" s="152"/>
      <c r="F135" s="152"/>
      <c r="G135" s="152"/>
      <c r="H135" s="152"/>
      <c r="I135" s="152"/>
      <c r="J135" s="152"/>
      <c r="K135" s="152"/>
      <c r="L135" s="152"/>
      <c r="M135" s="152"/>
      <c r="N135" s="152"/>
      <c r="O135" s="152"/>
      <c r="P135" s="152"/>
      <c r="Q135" s="152"/>
      <c r="R135" s="152"/>
      <c r="S135" s="152"/>
      <c r="T135" s="152"/>
      <c r="U135" s="152"/>
      <c r="V135" s="152"/>
      <c r="W135" s="152"/>
    </row>
    <row r="136" spans="1:23" x14ac:dyDescent="0.35">
      <c r="A136" s="2"/>
      <c r="B136" s="127" t="s">
        <v>293</v>
      </c>
      <c r="C136" s="152"/>
      <c r="D136" s="152"/>
      <c r="E136" s="152"/>
      <c r="F136" s="152"/>
      <c r="G136" s="152"/>
      <c r="H136" s="152"/>
      <c r="I136" s="152"/>
      <c r="J136" s="152"/>
      <c r="K136" s="152"/>
      <c r="L136" s="152"/>
      <c r="M136" s="152"/>
      <c r="N136" s="152"/>
      <c r="O136" s="152"/>
      <c r="P136" s="152"/>
      <c r="Q136" s="152"/>
      <c r="R136" s="152"/>
      <c r="S136" s="152"/>
      <c r="T136" s="152"/>
      <c r="U136" s="152"/>
      <c r="V136" s="152"/>
      <c r="W136" s="152"/>
    </row>
    <row r="137" spans="1:23" x14ac:dyDescent="0.35">
      <c r="A137" s="22"/>
      <c r="B137" s="23"/>
      <c r="C137" s="16"/>
      <c r="D137" s="19"/>
      <c r="E137" s="24" t="s">
        <v>274</v>
      </c>
      <c r="F137" s="21">
        <f>SUM(F125:F136)</f>
        <v>0</v>
      </c>
      <c r="G137" s="16"/>
      <c r="H137" s="19"/>
      <c r="I137" s="24" t="s">
        <v>274</v>
      </c>
      <c r="J137" s="21">
        <f>SUM(J125:J136)</f>
        <v>0</v>
      </c>
      <c r="K137" s="16"/>
      <c r="L137" s="19"/>
      <c r="M137" s="24" t="s">
        <v>274</v>
      </c>
      <c r="N137" s="21">
        <f>SUM(N125:N136)</f>
        <v>0</v>
      </c>
      <c r="O137" s="16"/>
      <c r="P137" s="19"/>
      <c r="Q137" s="24" t="s">
        <v>274</v>
      </c>
      <c r="R137" s="21">
        <f>SUM(R125:R136)</f>
        <v>0</v>
      </c>
      <c r="S137" s="16"/>
      <c r="T137" s="19"/>
      <c r="U137" s="24" t="s">
        <v>274</v>
      </c>
      <c r="V137" s="21">
        <f>SUM(V125:V136)</f>
        <v>0</v>
      </c>
      <c r="W137" s="165">
        <f>SUM(V137,R137,N137,J137,F137)</f>
        <v>0</v>
      </c>
    </row>
    <row r="138" spans="1:23" x14ac:dyDescent="0.35">
      <c r="A138" s="35"/>
      <c r="B138" s="36"/>
      <c r="C138" s="37"/>
      <c r="D138" s="38"/>
      <c r="E138" s="38"/>
      <c r="F138" s="36"/>
      <c r="G138" s="37"/>
      <c r="H138" s="38"/>
      <c r="I138" s="38"/>
      <c r="J138" s="36"/>
      <c r="K138" s="37"/>
      <c r="L138" s="38"/>
      <c r="M138" s="38"/>
      <c r="N138" s="36"/>
      <c r="O138" s="37"/>
      <c r="P138" s="38"/>
      <c r="Q138" s="38"/>
      <c r="R138" s="36"/>
      <c r="S138" s="37"/>
      <c r="T138" s="38"/>
      <c r="U138" s="38"/>
      <c r="V138" s="36"/>
      <c r="W138" s="46"/>
    </row>
    <row r="139" spans="1:23" x14ac:dyDescent="0.35">
      <c r="C139" s="192" t="s">
        <v>86</v>
      </c>
      <c r="D139" s="192"/>
      <c r="E139" s="192"/>
      <c r="F139" s="192"/>
      <c r="G139" s="192" t="s">
        <v>87</v>
      </c>
      <c r="H139" s="192"/>
      <c r="I139" s="192"/>
      <c r="J139" s="192"/>
      <c r="K139" s="192" t="s">
        <v>88</v>
      </c>
      <c r="L139" s="192"/>
      <c r="M139" s="192"/>
      <c r="N139" s="192"/>
      <c r="O139" s="192" t="s">
        <v>89</v>
      </c>
      <c r="P139" s="192"/>
      <c r="Q139" s="192"/>
      <c r="R139" s="192"/>
      <c r="S139" s="192" t="s">
        <v>90</v>
      </c>
      <c r="T139" s="192"/>
      <c r="U139" s="192"/>
      <c r="V139" s="192"/>
      <c r="W139" s="45"/>
    </row>
    <row r="140" spans="1:23" s="148" customFormat="1" x14ac:dyDescent="0.35">
      <c r="A140" s="188" t="s">
        <v>294</v>
      </c>
      <c r="B140" s="188"/>
      <c r="C140" s="190" t="s">
        <v>295</v>
      </c>
      <c r="D140" s="190"/>
      <c r="E140" s="190"/>
      <c r="F140" s="190"/>
      <c r="G140" s="190" t="s">
        <v>296</v>
      </c>
      <c r="H140" s="190"/>
      <c r="I140" s="190"/>
      <c r="J140" s="190"/>
      <c r="K140" s="190" t="s">
        <v>297</v>
      </c>
      <c r="L140" s="190"/>
      <c r="M140" s="190"/>
      <c r="N140" s="190"/>
      <c r="O140" s="190" t="s">
        <v>298</v>
      </c>
      <c r="P140" s="190"/>
      <c r="Q140" s="190"/>
      <c r="R140" s="190"/>
      <c r="S140" s="190" t="s">
        <v>299</v>
      </c>
      <c r="T140" s="190"/>
      <c r="U140" s="190"/>
      <c r="V140" s="190"/>
      <c r="W140" s="147"/>
    </row>
    <row r="141" spans="1:23" x14ac:dyDescent="0.35">
      <c r="A141" s="8" t="s">
        <v>96</v>
      </c>
      <c r="B141" s="12" t="s">
        <v>12</v>
      </c>
      <c r="C141" s="4" t="s">
        <v>97</v>
      </c>
      <c r="D141" s="55" t="s">
        <v>98</v>
      </c>
      <c r="E141" s="56" t="s">
        <v>99</v>
      </c>
      <c r="F141" s="6" t="s">
        <v>100</v>
      </c>
      <c r="G141" s="4" t="s">
        <v>97</v>
      </c>
      <c r="H141" s="55" t="s">
        <v>98</v>
      </c>
      <c r="I141" s="56" t="s">
        <v>99</v>
      </c>
      <c r="J141" s="6" t="s">
        <v>100</v>
      </c>
      <c r="K141" s="4" t="s">
        <v>97</v>
      </c>
      <c r="L141" s="55" t="s">
        <v>98</v>
      </c>
      <c r="M141" s="56" t="s">
        <v>99</v>
      </c>
      <c r="N141" s="6" t="s">
        <v>100</v>
      </c>
      <c r="O141" s="4" t="s">
        <v>97</v>
      </c>
      <c r="P141" s="55" t="s">
        <v>98</v>
      </c>
      <c r="Q141" s="56" t="s">
        <v>99</v>
      </c>
      <c r="R141" s="6" t="s">
        <v>100</v>
      </c>
      <c r="S141" s="4" t="s">
        <v>97</v>
      </c>
      <c r="T141" s="55" t="s">
        <v>98</v>
      </c>
      <c r="U141" s="56" t="s">
        <v>99</v>
      </c>
      <c r="V141" s="6" t="s">
        <v>100</v>
      </c>
      <c r="W141" s="44"/>
    </row>
    <row r="142" spans="1:23" x14ac:dyDescent="0.35">
      <c r="A142" s="13" t="s">
        <v>300</v>
      </c>
      <c r="B142" s="3" t="s">
        <v>301</v>
      </c>
      <c r="C142" s="4"/>
      <c r="D142" s="55"/>
      <c r="E142" s="141"/>
      <c r="F142" s="6"/>
      <c r="G142" s="4"/>
      <c r="H142" s="55"/>
      <c r="I142" s="141"/>
      <c r="J142" s="6"/>
      <c r="K142" s="4"/>
      <c r="L142" s="55"/>
      <c r="M142" s="141"/>
      <c r="N142" s="6"/>
      <c r="O142" s="4"/>
      <c r="P142" s="55"/>
      <c r="Q142" s="141"/>
      <c r="R142" s="6"/>
      <c r="S142" s="4"/>
      <c r="T142" s="55"/>
      <c r="U142" s="56"/>
      <c r="V142" s="6"/>
      <c r="W142" s="142"/>
    </row>
    <row r="143" spans="1:23" x14ac:dyDescent="0.35">
      <c r="A143" s="13" t="s">
        <v>302</v>
      </c>
      <c r="B143" s="3" t="s">
        <v>123</v>
      </c>
      <c r="C143" s="4"/>
      <c r="D143" s="55"/>
      <c r="E143" s="141"/>
      <c r="F143" s="6"/>
      <c r="G143" s="4"/>
      <c r="H143" s="55"/>
      <c r="I143" s="141"/>
      <c r="J143" s="6"/>
      <c r="K143" s="4"/>
      <c r="L143" s="55"/>
      <c r="M143" s="141"/>
      <c r="N143" s="6"/>
      <c r="O143" s="4"/>
      <c r="P143" s="55"/>
      <c r="Q143" s="141"/>
      <c r="R143" s="6"/>
      <c r="S143" s="4"/>
      <c r="T143" s="55"/>
      <c r="U143" s="56"/>
      <c r="V143" s="6"/>
      <c r="W143" s="142"/>
    </row>
    <row r="144" spans="1:23" x14ac:dyDescent="0.35">
      <c r="A144" s="13" t="s">
        <v>303</v>
      </c>
      <c r="B144" s="3" t="s">
        <v>304</v>
      </c>
      <c r="C144" s="4"/>
      <c r="D144" s="55"/>
      <c r="E144" s="141"/>
      <c r="F144" s="6"/>
      <c r="G144" s="4"/>
      <c r="H144" s="55"/>
      <c r="I144" s="141"/>
      <c r="J144" s="6"/>
      <c r="K144" s="4"/>
      <c r="L144" s="55"/>
      <c r="M144" s="141"/>
      <c r="N144" s="6"/>
      <c r="O144" s="4"/>
      <c r="P144" s="55"/>
      <c r="Q144" s="141"/>
      <c r="R144" s="6"/>
      <c r="S144" s="4"/>
      <c r="T144" s="55"/>
      <c r="U144" s="56"/>
      <c r="V144" s="6"/>
      <c r="W144" s="142"/>
    </row>
    <row r="145" spans="1:23" x14ac:dyDescent="0.35">
      <c r="A145" s="8"/>
      <c r="B145" s="3"/>
      <c r="C145" s="9"/>
      <c r="D145" s="10"/>
      <c r="E145" s="121"/>
      <c r="F145" s="122"/>
      <c r="G145" s="123"/>
      <c r="H145" s="10"/>
      <c r="I145" s="121"/>
      <c r="J145" s="122"/>
      <c r="K145" s="123"/>
      <c r="L145" s="10"/>
      <c r="M145" s="121"/>
      <c r="N145" s="122"/>
      <c r="O145" s="123"/>
      <c r="P145" s="10"/>
      <c r="Q145" s="121"/>
      <c r="R145" s="6"/>
      <c r="S145" s="4"/>
      <c r="T145" s="55"/>
      <c r="U145" s="56"/>
      <c r="V145" s="6"/>
      <c r="W145" s="140"/>
    </row>
    <row r="146" spans="1:23" x14ac:dyDescent="0.35">
      <c r="A146" s="108"/>
      <c r="B146" s="12"/>
      <c r="C146" s="110"/>
      <c r="D146" s="111"/>
      <c r="E146" s="112"/>
      <c r="F146" s="113"/>
      <c r="G146" s="110"/>
      <c r="H146" s="111"/>
      <c r="I146" s="112"/>
      <c r="J146" s="113"/>
      <c r="K146" s="110"/>
      <c r="L146" s="111"/>
      <c r="M146" s="112"/>
      <c r="N146" s="113"/>
      <c r="O146" s="110"/>
      <c r="P146" s="111"/>
      <c r="Q146" s="112"/>
      <c r="R146" s="113"/>
      <c r="S146" s="110"/>
      <c r="T146" s="111"/>
      <c r="U146" s="112"/>
      <c r="V146" s="113"/>
      <c r="W146" s="140"/>
    </row>
    <row r="147" spans="1:23" x14ac:dyDescent="0.35">
      <c r="A147" s="35"/>
      <c r="B147" s="36"/>
      <c r="C147" s="37"/>
      <c r="D147" s="38"/>
      <c r="E147" s="38"/>
      <c r="F147" s="36"/>
      <c r="G147" s="37"/>
      <c r="H147" s="38"/>
      <c r="I147" s="38"/>
      <c r="J147" s="36"/>
      <c r="K147" s="37"/>
      <c r="L147" s="38"/>
      <c r="M147" s="38"/>
      <c r="N147" s="36"/>
      <c r="O147" s="37"/>
      <c r="P147" s="38"/>
      <c r="Q147" s="38"/>
      <c r="R147" s="36"/>
      <c r="S147" s="37"/>
      <c r="T147" s="38"/>
      <c r="U147" s="38"/>
      <c r="V147" s="36"/>
      <c r="W147" s="46"/>
    </row>
    <row r="148" spans="1:23" ht="20.25" hidden="1" customHeight="1" x14ac:dyDescent="0.35">
      <c r="C148" s="192" t="s">
        <v>86</v>
      </c>
      <c r="D148" s="192"/>
      <c r="E148" s="192"/>
      <c r="F148" s="192"/>
      <c r="G148" s="192" t="s">
        <v>87</v>
      </c>
      <c r="H148" s="192"/>
      <c r="I148" s="192"/>
      <c r="J148" s="192"/>
      <c r="K148" s="192" t="s">
        <v>88</v>
      </c>
      <c r="L148" s="192"/>
      <c r="M148" s="192"/>
      <c r="N148" s="192"/>
      <c r="O148" s="192" t="s">
        <v>89</v>
      </c>
      <c r="P148" s="192"/>
      <c r="Q148" s="192"/>
      <c r="R148" s="192"/>
      <c r="S148" s="192" t="s">
        <v>90</v>
      </c>
      <c r="T148" s="192"/>
      <c r="U148" s="192"/>
      <c r="V148" s="192"/>
      <c r="W148" s="45"/>
    </row>
    <row r="149" spans="1:23" s="148" customFormat="1" hidden="1" x14ac:dyDescent="0.35">
      <c r="A149" s="188" t="s">
        <v>305</v>
      </c>
      <c r="B149" s="188"/>
      <c r="C149" s="190" t="s">
        <v>306</v>
      </c>
      <c r="D149" s="190"/>
      <c r="E149" s="190"/>
      <c r="F149" s="190"/>
      <c r="G149" s="190" t="s">
        <v>307</v>
      </c>
      <c r="H149" s="190"/>
      <c r="I149" s="190"/>
      <c r="J149" s="190"/>
      <c r="K149" s="190" t="s">
        <v>308</v>
      </c>
      <c r="L149" s="190"/>
      <c r="M149" s="190"/>
      <c r="N149" s="190"/>
      <c r="O149" s="190" t="s">
        <v>309</v>
      </c>
      <c r="P149" s="190"/>
      <c r="Q149" s="190"/>
      <c r="R149" s="190"/>
      <c r="S149" s="190" t="s">
        <v>310</v>
      </c>
      <c r="T149" s="190"/>
      <c r="U149" s="190"/>
      <c r="V149" s="190"/>
      <c r="W149" s="147"/>
    </row>
    <row r="150" spans="1:23" hidden="1" x14ac:dyDescent="0.35">
      <c r="A150" s="8" t="s">
        <v>96</v>
      </c>
      <c r="B150" s="12" t="s">
        <v>311</v>
      </c>
      <c r="C150" s="4" t="s">
        <v>97</v>
      </c>
      <c r="D150" s="55" t="s">
        <v>98</v>
      </c>
      <c r="E150" s="56" t="s">
        <v>99</v>
      </c>
      <c r="F150" s="6" t="s">
        <v>100</v>
      </c>
      <c r="G150" s="4" t="s">
        <v>97</v>
      </c>
      <c r="H150" s="55" t="s">
        <v>98</v>
      </c>
      <c r="I150" s="56" t="s">
        <v>99</v>
      </c>
      <c r="J150" s="6" t="s">
        <v>100</v>
      </c>
      <c r="K150" s="4" t="s">
        <v>97</v>
      </c>
      <c r="L150" s="55" t="s">
        <v>98</v>
      </c>
      <c r="M150" s="56" t="s">
        <v>99</v>
      </c>
      <c r="N150" s="6" t="s">
        <v>100</v>
      </c>
      <c r="O150" s="4" t="s">
        <v>97</v>
      </c>
      <c r="P150" s="55" t="s">
        <v>98</v>
      </c>
      <c r="Q150" s="56" t="s">
        <v>99</v>
      </c>
      <c r="R150" s="6" t="s">
        <v>100</v>
      </c>
      <c r="S150" s="4" t="s">
        <v>97</v>
      </c>
      <c r="T150" s="55" t="s">
        <v>98</v>
      </c>
      <c r="U150" s="56" t="s">
        <v>99</v>
      </c>
      <c r="V150" s="6" t="s">
        <v>100</v>
      </c>
      <c r="W150" s="44"/>
    </row>
    <row r="151" spans="1:23" hidden="1" x14ac:dyDescent="0.35">
      <c r="A151" s="8"/>
      <c r="B151" s="3" t="s">
        <v>312</v>
      </c>
      <c r="C151" s="9" t="s">
        <v>129</v>
      </c>
      <c r="D151" s="10">
        <v>1</v>
      </c>
      <c r="E151" s="121">
        <f>0.02*E13</f>
        <v>0</v>
      </c>
      <c r="F151" s="170">
        <f>D151*E151</f>
        <v>0</v>
      </c>
      <c r="G151" s="9" t="s">
        <v>129</v>
      </c>
      <c r="H151" s="10">
        <v>1</v>
      </c>
      <c r="I151" s="121">
        <f>0.02*I13</f>
        <v>0</v>
      </c>
      <c r="J151" s="168">
        <f>H151*I151</f>
        <v>0</v>
      </c>
      <c r="K151" s="9" t="s">
        <v>129</v>
      </c>
      <c r="L151" s="10">
        <v>1</v>
      </c>
      <c r="M151" s="121">
        <f>0.02*M13</f>
        <v>0</v>
      </c>
      <c r="N151" s="168">
        <f>L151*M151</f>
        <v>0</v>
      </c>
      <c r="O151" s="9" t="s">
        <v>129</v>
      </c>
      <c r="P151" s="10">
        <v>1</v>
      </c>
      <c r="Q151" s="121">
        <f>0.02*Q13</f>
        <v>0</v>
      </c>
      <c r="R151" s="168">
        <f>P151*Q151</f>
        <v>0</v>
      </c>
      <c r="S151" s="9" t="s">
        <v>129</v>
      </c>
      <c r="T151" s="10">
        <v>1</v>
      </c>
      <c r="U151" s="121">
        <f>0.02*U13</f>
        <v>0</v>
      </c>
      <c r="V151" s="168">
        <f>T151*U151</f>
        <v>0</v>
      </c>
      <c r="W151" s="165">
        <f>SUM(V151,R151,N151,J151,F151)</f>
        <v>0</v>
      </c>
    </row>
    <row r="152" spans="1:23" hidden="1" x14ac:dyDescent="0.35">
      <c r="A152" s="146"/>
      <c r="B152" s="3" t="s">
        <v>313</v>
      </c>
      <c r="C152" s="9" t="s">
        <v>129</v>
      </c>
      <c r="D152" s="10">
        <v>1</v>
      </c>
      <c r="E152" s="121">
        <f>0.02*E109</f>
        <v>0</v>
      </c>
      <c r="F152" s="170">
        <f>D152*E152</f>
        <v>0</v>
      </c>
      <c r="G152" s="9" t="s">
        <v>129</v>
      </c>
      <c r="H152" s="10">
        <v>1</v>
      </c>
      <c r="I152" s="121">
        <f>0.02*I109</f>
        <v>0</v>
      </c>
      <c r="J152" s="168">
        <f>H152*I152</f>
        <v>0</v>
      </c>
      <c r="K152" s="9" t="s">
        <v>129</v>
      </c>
      <c r="L152" s="10">
        <v>1</v>
      </c>
      <c r="M152" s="121">
        <f>0.02*M109</f>
        <v>0</v>
      </c>
      <c r="N152" s="168">
        <f>L152*M152</f>
        <v>0</v>
      </c>
      <c r="O152" s="9" t="s">
        <v>129</v>
      </c>
      <c r="P152" s="10">
        <v>1</v>
      </c>
      <c r="Q152" s="121">
        <f>0.02*Q109</f>
        <v>0</v>
      </c>
      <c r="R152" s="168">
        <f>P152*Q152</f>
        <v>0</v>
      </c>
      <c r="S152" s="9" t="s">
        <v>129</v>
      </c>
      <c r="T152" s="10">
        <v>1</v>
      </c>
      <c r="U152" s="121">
        <f>0.02*U109</f>
        <v>0</v>
      </c>
      <c r="V152" s="168">
        <f>T152*U152</f>
        <v>0</v>
      </c>
      <c r="W152" s="165">
        <f>SUM(V152,R152,N152,J152,F152)</f>
        <v>0</v>
      </c>
    </row>
    <row r="153" spans="1:23" hidden="1" x14ac:dyDescent="0.35">
      <c r="A153" s="146"/>
      <c r="B153" s="169"/>
      <c r="C153" s="110"/>
      <c r="D153" s="111"/>
      <c r="E153" s="24" t="s">
        <v>274</v>
      </c>
      <c r="F153" s="171">
        <f>SUM(F151:F152)</f>
        <v>0</v>
      </c>
      <c r="G153" s="110"/>
      <c r="H153" s="111"/>
      <c r="I153" s="24" t="s">
        <v>274</v>
      </c>
      <c r="J153" s="171">
        <f>SUM(J151:J152)</f>
        <v>0</v>
      </c>
      <c r="K153" s="110"/>
      <c r="L153" s="111"/>
      <c r="M153" s="24" t="s">
        <v>274</v>
      </c>
      <c r="N153" s="171">
        <f>SUM(N151:N152)</f>
        <v>0</v>
      </c>
      <c r="O153" s="110"/>
      <c r="P153" s="111"/>
      <c r="Q153" s="24" t="s">
        <v>274</v>
      </c>
      <c r="R153" s="171">
        <f>SUM(R151:R152)</f>
        <v>0</v>
      </c>
      <c r="S153" s="110"/>
      <c r="T153" s="111"/>
      <c r="U153" s="24" t="s">
        <v>274</v>
      </c>
      <c r="V153" s="171">
        <f>SUM(V151:V152)</f>
        <v>0</v>
      </c>
      <c r="W153" s="173">
        <f>SUM(V153,R153,N153,J153,F153)</f>
        <v>0</v>
      </c>
    </row>
    <row r="154" spans="1:23" hidden="1" x14ac:dyDescent="0.35">
      <c r="A154" s="35"/>
      <c r="B154" s="36"/>
      <c r="C154" s="37"/>
      <c r="D154" s="38"/>
      <c r="E154" s="38"/>
      <c r="F154" s="36"/>
      <c r="G154" s="37"/>
      <c r="H154" s="38"/>
      <c r="I154" s="38"/>
      <c r="J154" s="36"/>
      <c r="K154" s="37"/>
      <c r="L154" s="38"/>
      <c r="M154" s="38"/>
      <c r="N154" s="36"/>
      <c r="O154" s="37"/>
      <c r="P154" s="38"/>
      <c r="Q154" s="38"/>
      <c r="R154" s="36"/>
      <c r="S154" s="37"/>
      <c r="T154" s="38"/>
      <c r="U154" s="38"/>
      <c r="V154" s="36"/>
      <c r="W154" s="46"/>
    </row>
    <row r="155" spans="1:23" ht="17.5" x14ac:dyDescent="0.35">
      <c r="A155" s="39" t="s">
        <v>314</v>
      </c>
      <c r="B155" s="40"/>
      <c r="C155" s="41"/>
      <c r="D155" s="40"/>
      <c r="E155" s="40"/>
      <c r="F155" s="172">
        <f>SUM(F153,F137,F104,F97,F90,F83,F67,F50,F120,F32,F20)</f>
        <v>0</v>
      </c>
      <c r="G155" s="41"/>
      <c r="H155" s="40"/>
      <c r="I155" s="40"/>
      <c r="J155" s="172">
        <f>SUM(J153,J137,J104,J97,J90,J83,J67,J50,J120,J32,J20)</f>
        <v>0</v>
      </c>
      <c r="K155" s="41"/>
      <c r="L155" s="40"/>
      <c r="M155" s="40"/>
      <c r="N155" s="172">
        <f>SUM(N153,N137,N104,N97,N90,N83,N67,N50,N120,N32,N20)</f>
        <v>0</v>
      </c>
      <c r="O155" s="41"/>
      <c r="P155" s="40"/>
      <c r="Q155" s="40"/>
      <c r="R155" s="172">
        <f>SUM(R153,R137,R104,R97,R90,R83,R67,R50,R120,R32,R20)</f>
        <v>0</v>
      </c>
      <c r="S155" s="41"/>
      <c r="T155" s="40"/>
      <c r="U155" s="40"/>
      <c r="V155" s="172">
        <f>SUM(V153,V137,V104,V97,V90,V83,V67,V50,V120,V32,V20)</f>
        <v>0</v>
      </c>
      <c r="W155" s="42">
        <f>SUM(V155,R155,N155,J155,F155)</f>
        <v>0</v>
      </c>
    </row>
    <row r="156" spans="1:23" x14ac:dyDescent="0.35">
      <c r="W156" s="50" t="s">
        <v>79</v>
      </c>
    </row>
    <row r="157" spans="1:23" x14ac:dyDescent="0.35">
      <c r="W157" s="51" t="e">
        <f>IF(W155=SUM(#REF!,#REF!,W120,W90,#REF!,W50,W67,W83),"Ok","Error")</f>
        <v>#REF!</v>
      </c>
    </row>
    <row r="162" spans="1:1" ht="17.5" x14ac:dyDescent="0.35">
      <c r="A162" s="143" t="s">
        <v>315</v>
      </c>
    </row>
    <row r="163" spans="1:1" ht="17.5" x14ac:dyDescent="0.35">
      <c r="A163" s="143" t="s">
        <v>316</v>
      </c>
    </row>
    <row r="164" spans="1:1" ht="17.5" x14ac:dyDescent="0.35">
      <c r="A164" s="143" t="s">
        <v>317</v>
      </c>
    </row>
    <row r="166" spans="1:1" ht="20" x14ac:dyDescent="0.35">
      <c r="A166" s="149"/>
    </row>
    <row r="167" spans="1:1" ht="20" x14ac:dyDescent="0.35">
      <c r="A167" s="149"/>
    </row>
    <row r="168" spans="1:1" ht="20" x14ac:dyDescent="0.35">
      <c r="A168" s="149"/>
    </row>
  </sheetData>
  <mergeCells count="133">
    <mergeCell ref="S149:V149"/>
    <mergeCell ref="C148:F148"/>
    <mergeCell ref="G148:J148"/>
    <mergeCell ref="K148:N148"/>
    <mergeCell ref="O148:R148"/>
    <mergeCell ref="S148:V148"/>
    <mergeCell ref="A149:B149"/>
    <mergeCell ref="C149:F149"/>
    <mergeCell ref="G149:J149"/>
    <mergeCell ref="K149:N149"/>
    <mergeCell ref="O149:R149"/>
    <mergeCell ref="A140:B140"/>
    <mergeCell ref="C140:F140"/>
    <mergeCell ref="G140:J140"/>
    <mergeCell ref="K140:N140"/>
    <mergeCell ref="O140:R140"/>
    <mergeCell ref="S140:V140"/>
    <mergeCell ref="S123:V123"/>
    <mergeCell ref="C139:F139"/>
    <mergeCell ref="G139:J139"/>
    <mergeCell ref="K139:N139"/>
    <mergeCell ref="O139:R139"/>
    <mergeCell ref="S139:V139"/>
    <mergeCell ref="C122:F122"/>
    <mergeCell ref="G122:J122"/>
    <mergeCell ref="K122:N122"/>
    <mergeCell ref="O122:R122"/>
    <mergeCell ref="S122:V122"/>
    <mergeCell ref="A123:B123"/>
    <mergeCell ref="C123:F123"/>
    <mergeCell ref="G123:J123"/>
    <mergeCell ref="K123:N123"/>
    <mergeCell ref="O123:R123"/>
    <mergeCell ref="A107:B107"/>
    <mergeCell ref="C107:F107"/>
    <mergeCell ref="G107:J107"/>
    <mergeCell ref="K107:N107"/>
    <mergeCell ref="O107:R107"/>
    <mergeCell ref="S107:V107"/>
    <mergeCell ref="S100:V100"/>
    <mergeCell ref="C106:F106"/>
    <mergeCell ref="G106:J106"/>
    <mergeCell ref="K106:N106"/>
    <mergeCell ref="O106:R106"/>
    <mergeCell ref="S106:V106"/>
    <mergeCell ref="C99:F99"/>
    <mergeCell ref="G99:J99"/>
    <mergeCell ref="K99:N99"/>
    <mergeCell ref="O99:R99"/>
    <mergeCell ref="S99:V99"/>
    <mergeCell ref="A100:B100"/>
    <mergeCell ref="C100:F100"/>
    <mergeCell ref="G100:J100"/>
    <mergeCell ref="K100:N100"/>
    <mergeCell ref="O100:R100"/>
    <mergeCell ref="A93:B93"/>
    <mergeCell ref="C93:F93"/>
    <mergeCell ref="G93:J93"/>
    <mergeCell ref="K93:N93"/>
    <mergeCell ref="O93:R93"/>
    <mergeCell ref="S93:V93"/>
    <mergeCell ref="S86:V86"/>
    <mergeCell ref="C92:F92"/>
    <mergeCell ref="G92:J92"/>
    <mergeCell ref="K92:N92"/>
    <mergeCell ref="O92:R92"/>
    <mergeCell ref="S92:V92"/>
    <mergeCell ref="C85:F85"/>
    <mergeCell ref="G85:J85"/>
    <mergeCell ref="K85:N85"/>
    <mergeCell ref="O85:R85"/>
    <mergeCell ref="S85:V85"/>
    <mergeCell ref="A86:B86"/>
    <mergeCell ref="C86:F86"/>
    <mergeCell ref="G86:J86"/>
    <mergeCell ref="K86:N86"/>
    <mergeCell ref="O86:R86"/>
    <mergeCell ref="A70:B70"/>
    <mergeCell ref="C70:F70"/>
    <mergeCell ref="G70:J70"/>
    <mergeCell ref="K70:N70"/>
    <mergeCell ref="O70:R70"/>
    <mergeCell ref="S70:V70"/>
    <mergeCell ref="S53:V53"/>
    <mergeCell ref="C69:F69"/>
    <mergeCell ref="G69:J69"/>
    <mergeCell ref="K69:N69"/>
    <mergeCell ref="O69:R69"/>
    <mergeCell ref="S69:V69"/>
    <mergeCell ref="C52:F52"/>
    <mergeCell ref="G52:J52"/>
    <mergeCell ref="K52:N52"/>
    <mergeCell ref="O52:R52"/>
    <mergeCell ref="S52:V52"/>
    <mergeCell ref="A53:B53"/>
    <mergeCell ref="C53:F53"/>
    <mergeCell ref="G53:J53"/>
    <mergeCell ref="K53:N53"/>
    <mergeCell ref="O53:R53"/>
    <mergeCell ref="A35:B35"/>
    <mergeCell ref="C35:F35"/>
    <mergeCell ref="G35:J35"/>
    <mergeCell ref="K35:N35"/>
    <mergeCell ref="O35:R35"/>
    <mergeCell ref="S35:V35"/>
    <mergeCell ref="S23:V23"/>
    <mergeCell ref="C34:F34"/>
    <mergeCell ref="G34:J34"/>
    <mergeCell ref="K34:N34"/>
    <mergeCell ref="O34:R34"/>
    <mergeCell ref="S34:V34"/>
    <mergeCell ref="C22:F22"/>
    <mergeCell ref="G22:J22"/>
    <mergeCell ref="K22:N22"/>
    <mergeCell ref="O22:R22"/>
    <mergeCell ref="S22:V22"/>
    <mergeCell ref="A23:B23"/>
    <mergeCell ref="C23:F23"/>
    <mergeCell ref="G23:J23"/>
    <mergeCell ref="K23:N23"/>
    <mergeCell ref="O23:R23"/>
    <mergeCell ref="A11:B11"/>
    <mergeCell ref="C11:F11"/>
    <mergeCell ref="G11:J11"/>
    <mergeCell ref="K11:N11"/>
    <mergeCell ref="O11:R11"/>
    <mergeCell ref="S11:V11"/>
    <mergeCell ref="A10:B10"/>
    <mergeCell ref="C10:F10"/>
    <mergeCell ref="G10:J10"/>
    <mergeCell ref="K10:N10"/>
    <mergeCell ref="O10:R10"/>
    <mergeCell ref="S10:V10"/>
  </mergeCells>
  <phoneticPr fontId="17" type="noConversion"/>
  <printOptions horizontalCentered="1"/>
  <pageMargins left="0.2" right="0.2" top="0.25" bottom="0.25" header="0.05" footer="0.05"/>
  <pageSetup paperSize="9" scale="22" fitToHeight="0" orientation="landscape"/>
  <headerFooter>
    <oddFooter>&amp;C&amp;1#&amp;"Times New Roman"&amp;10&amp;K000000SENSITIVE BUT UNCLASSIFIED</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BA27-F60D-41AF-A614-4D18F169EBAF}">
  <sheetPr>
    <pageSetUpPr fitToPage="1"/>
  </sheetPr>
  <dimension ref="A1:W171"/>
  <sheetViews>
    <sheetView showGridLines="0" zoomScale="90" zoomScaleNormal="90" workbookViewId="0">
      <selection activeCell="A163" sqref="A163"/>
    </sheetView>
  </sheetViews>
  <sheetFormatPr defaultColWidth="9.1796875" defaultRowHeight="15.5" x14ac:dyDescent="0.35"/>
  <cols>
    <col min="1" max="1" width="31.1796875" style="1" bestFit="1" customWidth="1"/>
    <col min="2" max="2" width="83.1796875" style="1" bestFit="1" customWidth="1"/>
    <col min="3" max="3" width="17.81640625" style="1" bestFit="1" customWidth="1"/>
    <col min="4" max="4" width="5.1796875" style="1" bestFit="1" customWidth="1"/>
    <col min="5" max="5" width="43.1796875" style="1" bestFit="1" customWidth="1"/>
    <col min="6" max="6" width="21.54296875" style="1" bestFit="1" customWidth="1"/>
    <col min="7" max="7" width="17.81640625" style="1" bestFit="1" customWidth="1"/>
    <col min="8" max="8" width="5.1796875" style="1" bestFit="1" customWidth="1"/>
    <col min="9" max="9" width="33.54296875" style="1" bestFit="1" customWidth="1"/>
    <col min="10" max="10" width="21.54296875" style="1" bestFit="1" customWidth="1"/>
    <col min="11" max="11" width="17.81640625" style="1" bestFit="1" customWidth="1"/>
    <col min="12" max="12" width="5.1796875" style="1" bestFit="1" customWidth="1"/>
    <col min="13" max="13" width="31.81640625" style="1" bestFit="1" customWidth="1"/>
    <col min="14" max="14" width="20.1796875" style="1" bestFit="1" customWidth="1"/>
    <col min="15" max="15" width="17.81640625" style="1" bestFit="1" customWidth="1"/>
    <col min="16" max="16" width="5.1796875" style="1" bestFit="1" customWidth="1"/>
    <col min="17" max="17" width="31.81640625" style="1" bestFit="1" customWidth="1"/>
    <col min="18" max="18" width="20.1796875" style="1" bestFit="1" customWidth="1"/>
    <col min="19" max="19" width="17.81640625" style="1" bestFit="1" customWidth="1"/>
    <col min="20" max="20" width="5.1796875" style="1" bestFit="1" customWidth="1"/>
    <col min="21" max="21" width="31.81640625" style="1" bestFit="1" customWidth="1"/>
    <col min="22" max="22" width="20.1796875" style="1" bestFit="1" customWidth="1"/>
    <col min="23" max="23" width="21.54296875" style="1" bestFit="1" customWidth="1"/>
    <col min="24" max="16384" width="9.1796875" style="1"/>
  </cols>
  <sheetData>
    <row r="1" spans="1:23" x14ac:dyDescent="0.35">
      <c r="A1" s="30" t="str">
        <f>+'Table 1 Summary'!A1</f>
        <v xml:space="preserve">Contractor Name: </v>
      </c>
      <c r="B1" s="31"/>
      <c r="C1" s="32"/>
      <c r="D1" s="32"/>
      <c r="E1" s="32"/>
      <c r="F1" s="32"/>
      <c r="G1" s="32"/>
      <c r="H1" s="32"/>
      <c r="I1" s="32"/>
      <c r="J1" s="32"/>
      <c r="K1" s="32"/>
      <c r="L1" s="32"/>
      <c r="M1" s="32"/>
      <c r="N1" s="32"/>
      <c r="O1" s="32"/>
      <c r="P1" s="32"/>
      <c r="Q1" s="32"/>
      <c r="R1" s="32"/>
      <c r="S1" s="32"/>
      <c r="T1" s="32"/>
      <c r="U1" s="32"/>
      <c r="V1" s="32"/>
      <c r="W1" s="32"/>
    </row>
    <row r="2" spans="1:23" x14ac:dyDescent="0.35">
      <c r="A2" s="30" t="str">
        <f>+'Table 1 Summary'!A2</f>
        <v xml:space="preserve">Solicitation Number: </v>
      </c>
      <c r="B2" s="31"/>
      <c r="C2" s="57"/>
      <c r="D2" s="57"/>
      <c r="E2" s="57"/>
      <c r="F2" s="57"/>
      <c r="G2" s="57"/>
      <c r="H2" s="57"/>
      <c r="I2" s="57"/>
      <c r="J2" s="57"/>
      <c r="K2" s="57"/>
      <c r="L2" s="57"/>
      <c r="M2" s="57"/>
      <c r="N2" s="32"/>
      <c r="O2" s="32"/>
      <c r="P2" s="32"/>
      <c r="Q2" s="32"/>
      <c r="R2" s="32"/>
      <c r="S2" s="32"/>
      <c r="T2" s="32"/>
      <c r="U2" s="32"/>
      <c r="V2" s="32"/>
      <c r="W2" s="32"/>
    </row>
    <row r="3" spans="1:23" x14ac:dyDescent="0.35">
      <c r="A3" s="30" t="str">
        <f>+'Table 1 Summary'!A3</f>
        <v xml:space="preserve">Task Order Number:  </v>
      </c>
      <c r="B3" s="31"/>
      <c r="C3" s="32"/>
      <c r="D3" s="32"/>
      <c r="E3" s="32"/>
      <c r="F3" s="32"/>
      <c r="G3" s="32"/>
      <c r="H3" s="32"/>
      <c r="I3" s="32"/>
      <c r="J3" s="32"/>
      <c r="K3" s="32"/>
      <c r="L3" s="32"/>
      <c r="M3" s="32"/>
      <c r="N3" s="32"/>
      <c r="O3" s="32"/>
      <c r="P3" s="32"/>
      <c r="Q3" s="32"/>
      <c r="R3" s="32"/>
      <c r="S3" s="32"/>
      <c r="T3" s="32"/>
      <c r="U3" s="32"/>
      <c r="V3" s="32"/>
      <c r="W3" s="32"/>
    </row>
    <row r="4" spans="1:23" x14ac:dyDescent="0.35">
      <c r="A4" s="30" t="str">
        <f>+'Table 1 Summary'!A4</f>
        <v xml:space="preserve">Task Order Title:  </v>
      </c>
      <c r="B4" s="31"/>
      <c r="C4" s="57"/>
      <c r="D4" s="57"/>
      <c r="E4" s="57"/>
      <c r="F4" s="32"/>
      <c r="G4" s="32"/>
      <c r="H4" s="32"/>
      <c r="I4" s="32"/>
      <c r="J4" s="32"/>
      <c r="K4" s="32"/>
      <c r="L4" s="32"/>
      <c r="M4" s="32"/>
      <c r="N4" s="32"/>
      <c r="O4" s="32"/>
      <c r="P4" s="32"/>
      <c r="Q4" s="32"/>
      <c r="R4" s="32"/>
      <c r="S4" s="32"/>
      <c r="T4" s="32"/>
      <c r="U4" s="32"/>
      <c r="V4" s="32"/>
      <c r="W4" s="32"/>
    </row>
    <row r="5" spans="1:23" x14ac:dyDescent="0.35">
      <c r="A5" s="31"/>
      <c r="B5" s="33"/>
      <c r="C5" s="32"/>
      <c r="D5" s="32"/>
      <c r="E5" s="32"/>
      <c r="F5" s="32"/>
      <c r="G5" s="32"/>
      <c r="H5" s="32"/>
      <c r="I5" s="32"/>
      <c r="J5" s="32"/>
      <c r="K5" s="32"/>
      <c r="L5" s="32"/>
      <c r="M5" s="32"/>
      <c r="N5" s="32"/>
      <c r="O5" s="32"/>
      <c r="P5" s="32"/>
      <c r="Q5" s="32"/>
      <c r="R5" s="32"/>
      <c r="S5" s="32"/>
      <c r="T5" s="32"/>
      <c r="U5" s="32"/>
      <c r="V5" s="32"/>
      <c r="W5" s="32"/>
    </row>
    <row r="6" spans="1:23" x14ac:dyDescent="0.35">
      <c r="A6" s="31"/>
      <c r="B6" s="33"/>
      <c r="C6" s="57"/>
      <c r="D6" s="57"/>
      <c r="E6" s="32"/>
      <c r="F6" s="32"/>
      <c r="G6" s="32"/>
      <c r="H6" s="32"/>
      <c r="I6" s="32"/>
      <c r="J6" s="32"/>
      <c r="K6" s="32"/>
      <c r="L6" s="32"/>
      <c r="M6" s="32"/>
      <c r="N6" s="32"/>
      <c r="O6" s="32"/>
      <c r="P6" s="32"/>
      <c r="Q6" s="32"/>
      <c r="R6" s="32"/>
      <c r="S6" s="32"/>
      <c r="T6" s="32"/>
      <c r="U6" s="32"/>
      <c r="V6" s="32"/>
      <c r="W6" s="32"/>
    </row>
    <row r="7" spans="1:23" x14ac:dyDescent="0.35">
      <c r="A7" s="31"/>
      <c r="B7" s="33"/>
      <c r="C7" s="32"/>
      <c r="D7" s="58"/>
      <c r="E7" s="60"/>
      <c r="F7" s="32"/>
      <c r="G7" s="32"/>
      <c r="H7" s="32"/>
      <c r="I7" s="32"/>
      <c r="J7" s="32"/>
      <c r="K7" s="32"/>
      <c r="L7" s="32"/>
      <c r="M7" s="32"/>
      <c r="N7" s="32"/>
      <c r="O7" s="32"/>
      <c r="P7" s="32"/>
      <c r="Q7" s="32"/>
      <c r="R7" s="32"/>
      <c r="S7" s="32"/>
      <c r="T7" s="32"/>
      <c r="U7" s="32"/>
      <c r="V7" s="32"/>
      <c r="W7" s="32"/>
    </row>
    <row r="8" spans="1:23" x14ac:dyDescent="0.3">
      <c r="A8" s="30"/>
      <c r="B8" s="33"/>
      <c r="C8" s="61"/>
      <c r="D8" s="59"/>
      <c r="E8" s="60"/>
      <c r="F8" s="32"/>
      <c r="G8" s="32"/>
      <c r="H8" s="32"/>
      <c r="I8" s="32"/>
      <c r="J8" s="32"/>
      <c r="K8" s="32"/>
      <c r="L8" s="32"/>
      <c r="M8" s="32"/>
      <c r="N8" s="32"/>
      <c r="O8" s="32"/>
      <c r="P8" s="32"/>
      <c r="Q8" s="32"/>
      <c r="R8" s="32"/>
      <c r="S8" s="32"/>
      <c r="T8" s="32"/>
      <c r="U8" s="32"/>
      <c r="V8" s="32"/>
      <c r="W8" s="32"/>
    </row>
    <row r="9" spans="1:23" x14ac:dyDescent="0.35">
      <c r="A9" s="34"/>
      <c r="B9" s="33"/>
      <c r="C9" s="61"/>
      <c r="D9" s="32"/>
      <c r="E9" s="32"/>
      <c r="F9" s="32"/>
      <c r="G9" s="32"/>
      <c r="H9" s="32"/>
      <c r="I9" s="32"/>
      <c r="J9" s="32"/>
      <c r="K9" s="32"/>
      <c r="L9" s="32"/>
      <c r="M9" s="32"/>
      <c r="N9" s="32"/>
      <c r="O9" s="32"/>
      <c r="P9" s="32"/>
      <c r="Q9" s="32"/>
      <c r="R9" s="32"/>
      <c r="S9" s="32"/>
      <c r="T9" s="32"/>
      <c r="U9" s="32"/>
      <c r="V9" s="32"/>
      <c r="W9" s="32"/>
    </row>
    <row r="10" spans="1:23" x14ac:dyDescent="0.35">
      <c r="A10" s="191"/>
      <c r="B10" s="191"/>
      <c r="C10" s="192" t="s">
        <v>86</v>
      </c>
      <c r="D10" s="192"/>
      <c r="E10" s="192"/>
      <c r="F10" s="192"/>
      <c r="G10" s="192" t="s">
        <v>87</v>
      </c>
      <c r="H10" s="192"/>
      <c r="I10" s="192"/>
      <c r="J10" s="192"/>
      <c r="K10" s="192" t="s">
        <v>88</v>
      </c>
      <c r="L10" s="192"/>
      <c r="M10" s="192"/>
      <c r="N10" s="192"/>
      <c r="O10" s="192" t="s">
        <v>89</v>
      </c>
      <c r="P10" s="192"/>
      <c r="Q10" s="192"/>
      <c r="R10" s="192"/>
      <c r="S10" s="192" t="s">
        <v>90</v>
      </c>
      <c r="T10" s="192"/>
      <c r="U10" s="192"/>
      <c r="V10" s="192"/>
      <c r="W10" s="46"/>
    </row>
    <row r="11" spans="1:23" s="148" customFormat="1" x14ac:dyDescent="0.35">
      <c r="A11" s="188" t="s">
        <v>318</v>
      </c>
      <c r="B11" s="188"/>
      <c r="C11" s="189" t="s">
        <v>319</v>
      </c>
      <c r="D11" s="189"/>
      <c r="E11" s="189"/>
      <c r="F11" s="189"/>
      <c r="G11" s="190" t="s">
        <v>93</v>
      </c>
      <c r="H11" s="190"/>
      <c r="I11" s="190"/>
      <c r="J11" s="190"/>
      <c r="K11" s="190" t="s">
        <v>94</v>
      </c>
      <c r="L11" s="190"/>
      <c r="M11" s="190"/>
      <c r="N11" s="190"/>
      <c r="O11" s="190" t="s">
        <v>95</v>
      </c>
      <c r="P11" s="190"/>
      <c r="Q11" s="190"/>
      <c r="R11" s="190"/>
      <c r="S11" s="190" t="s">
        <v>25</v>
      </c>
      <c r="T11" s="190"/>
      <c r="U11" s="190"/>
      <c r="V11" s="190"/>
      <c r="W11" s="147"/>
    </row>
    <row r="12" spans="1:23" x14ac:dyDescent="0.35">
      <c r="A12" s="2" t="s">
        <v>96</v>
      </c>
      <c r="B12" s="12" t="s">
        <v>12</v>
      </c>
      <c r="C12" s="7" t="s">
        <v>97</v>
      </c>
      <c r="D12" s="5" t="s">
        <v>98</v>
      </c>
      <c r="E12" s="5" t="s">
        <v>99</v>
      </c>
      <c r="F12" s="6" t="s">
        <v>100</v>
      </c>
      <c r="G12" s="4" t="s">
        <v>97</v>
      </c>
      <c r="H12" s="5" t="s">
        <v>98</v>
      </c>
      <c r="I12" s="5" t="s">
        <v>99</v>
      </c>
      <c r="J12" s="6" t="s">
        <v>100</v>
      </c>
      <c r="K12" s="4" t="s">
        <v>97</v>
      </c>
      <c r="L12" s="5" t="s">
        <v>98</v>
      </c>
      <c r="M12" s="5" t="s">
        <v>99</v>
      </c>
      <c r="N12" s="6" t="s">
        <v>100</v>
      </c>
      <c r="O12" s="4" t="s">
        <v>97</v>
      </c>
      <c r="P12" s="5" t="s">
        <v>98</v>
      </c>
      <c r="Q12" s="5" t="s">
        <v>99</v>
      </c>
      <c r="R12" s="6" t="s">
        <v>100</v>
      </c>
      <c r="S12" s="4" t="s">
        <v>97</v>
      </c>
      <c r="T12" s="5" t="s">
        <v>98</v>
      </c>
      <c r="U12" s="5" t="s">
        <v>99</v>
      </c>
      <c r="V12" s="6" t="s">
        <v>100</v>
      </c>
      <c r="W12" s="48" t="s">
        <v>101</v>
      </c>
    </row>
    <row r="13" spans="1:23" x14ac:dyDescent="0.35">
      <c r="A13" s="114" t="s">
        <v>320</v>
      </c>
      <c r="B13" s="15" t="s">
        <v>321</v>
      </c>
      <c r="C13" s="9" t="s">
        <v>104</v>
      </c>
      <c r="D13" s="119">
        <v>1</v>
      </c>
      <c r="E13" s="177">
        <v>0</v>
      </c>
      <c r="F13" s="120">
        <f>D13*E13</f>
        <v>0</v>
      </c>
      <c r="G13" s="128" t="str">
        <f>C13</f>
        <v>FFUP</v>
      </c>
      <c r="H13" s="119">
        <v>1</v>
      </c>
      <c r="I13" s="129">
        <f t="shared" ref="I13:I25" si="0">E13*1.05</f>
        <v>0</v>
      </c>
      <c r="J13" s="120">
        <f>H13*I13</f>
        <v>0</v>
      </c>
      <c r="K13" s="128" t="str">
        <f>G13</f>
        <v>FFUP</v>
      </c>
      <c r="L13" s="119">
        <v>1</v>
      </c>
      <c r="M13" s="129">
        <f t="shared" ref="M13:M25" si="1">I13*1.05</f>
        <v>0</v>
      </c>
      <c r="N13" s="120">
        <f>L13*M13</f>
        <v>0</v>
      </c>
      <c r="O13" s="128" t="str">
        <f>K13</f>
        <v>FFUP</v>
      </c>
      <c r="P13" s="119">
        <v>1</v>
      </c>
      <c r="Q13" s="129">
        <f t="shared" ref="Q13:Q25" si="2">M13*1.05</f>
        <v>0</v>
      </c>
      <c r="R13" s="120">
        <f>P13*Q13</f>
        <v>0</v>
      </c>
      <c r="S13" s="128" t="str">
        <f>O13</f>
        <v>FFUP</v>
      </c>
      <c r="T13" s="119">
        <v>1</v>
      </c>
      <c r="U13" s="129">
        <f t="shared" ref="U13:U25" si="3">Q13*1.05</f>
        <v>0</v>
      </c>
      <c r="V13" s="120">
        <f>T13*U13</f>
        <v>0</v>
      </c>
      <c r="W13" s="140">
        <f>SUM(V13,R13,N13,J13,F13)</f>
        <v>0</v>
      </c>
    </row>
    <row r="14" spans="1:23" x14ac:dyDescent="0.35">
      <c r="A14" s="114" t="s">
        <v>322</v>
      </c>
      <c r="B14" s="15" t="s">
        <v>323</v>
      </c>
      <c r="C14" s="9" t="s">
        <v>104</v>
      </c>
      <c r="D14" s="119">
        <v>5</v>
      </c>
      <c r="E14" s="177">
        <v>0</v>
      </c>
      <c r="F14" s="120">
        <f t="shared" ref="F14:F24" si="4">D14*E14</f>
        <v>0</v>
      </c>
      <c r="G14" s="128" t="str">
        <f t="shared" ref="G14:G24" si="5">C14</f>
        <v>FFUP</v>
      </c>
      <c r="H14" s="119">
        <v>5</v>
      </c>
      <c r="I14" s="129">
        <f t="shared" si="0"/>
        <v>0</v>
      </c>
      <c r="J14" s="120">
        <f t="shared" ref="J14:J24" si="6">H14*I14</f>
        <v>0</v>
      </c>
      <c r="K14" s="128" t="str">
        <f t="shared" ref="K14:K24" si="7">G14</f>
        <v>FFUP</v>
      </c>
      <c r="L14" s="119">
        <v>5</v>
      </c>
      <c r="M14" s="129">
        <f t="shared" si="1"/>
        <v>0</v>
      </c>
      <c r="N14" s="120">
        <f t="shared" ref="N14:N24" si="8">L14*M14</f>
        <v>0</v>
      </c>
      <c r="O14" s="128" t="str">
        <f t="shared" ref="O14:O24" si="9">K14</f>
        <v>FFUP</v>
      </c>
      <c r="P14" s="119">
        <v>5</v>
      </c>
      <c r="Q14" s="129">
        <f t="shared" si="2"/>
        <v>0</v>
      </c>
      <c r="R14" s="120">
        <f t="shared" ref="R14:R24" si="10">P14*Q14</f>
        <v>0</v>
      </c>
      <c r="S14" s="128" t="str">
        <f t="shared" ref="S14:S24" si="11">O14</f>
        <v>FFUP</v>
      </c>
      <c r="T14" s="119">
        <v>5</v>
      </c>
      <c r="U14" s="129">
        <f t="shared" si="3"/>
        <v>0</v>
      </c>
      <c r="V14" s="120">
        <f t="shared" ref="V14:V24" si="12">T14*U14</f>
        <v>0</v>
      </c>
      <c r="W14" s="140">
        <f t="shared" ref="W14:W25" si="13">SUM(V14,R14,N14,J14,F14)</f>
        <v>0</v>
      </c>
    </row>
    <row r="15" spans="1:23" x14ac:dyDescent="0.35">
      <c r="A15" s="114" t="s">
        <v>324</v>
      </c>
      <c r="B15" s="15" t="s">
        <v>325</v>
      </c>
      <c r="C15" s="9" t="s">
        <v>104</v>
      </c>
      <c r="D15" s="119">
        <v>11</v>
      </c>
      <c r="E15" s="177">
        <v>0</v>
      </c>
      <c r="F15" s="120">
        <f t="shared" si="4"/>
        <v>0</v>
      </c>
      <c r="G15" s="128" t="str">
        <f t="shared" si="5"/>
        <v>FFUP</v>
      </c>
      <c r="H15" s="119">
        <v>11</v>
      </c>
      <c r="I15" s="129">
        <f t="shared" si="0"/>
        <v>0</v>
      </c>
      <c r="J15" s="120">
        <f t="shared" si="6"/>
        <v>0</v>
      </c>
      <c r="K15" s="128" t="str">
        <f t="shared" si="7"/>
        <v>FFUP</v>
      </c>
      <c r="L15" s="119">
        <v>11</v>
      </c>
      <c r="M15" s="129">
        <f t="shared" si="1"/>
        <v>0</v>
      </c>
      <c r="N15" s="120">
        <f t="shared" si="8"/>
        <v>0</v>
      </c>
      <c r="O15" s="128" t="str">
        <f t="shared" si="9"/>
        <v>FFUP</v>
      </c>
      <c r="P15" s="119">
        <v>11</v>
      </c>
      <c r="Q15" s="129">
        <f t="shared" si="2"/>
        <v>0</v>
      </c>
      <c r="R15" s="120">
        <f t="shared" si="10"/>
        <v>0</v>
      </c>
      <c r="S15" s="128" t="str">
        <f t="shared" si="11"/>
        <v>FFUP</v>
      </c>
      <c r="T15" s="119">
        <v>11</v>
      </c>
      <c r="U15" s="129">
        <f t="shared" si="3"/>
        <v>0</v>
      </c>
      <c r="V15" s="120">
        <f t="shared" si="12"/>
        <v>0</v>
      </c>
      <c r="W15" s="140">
        <f t="shared" si="13"/>
        <v>0</v>
      </c>
    </row>
    <row r="16" spans="1:23" x14ac:dyDescent="0.35">
      <c r="A16" s="114" t="s">
        <v>326</v>
      </c>
      <c r="B16" s="15" t="s">
        <v>327</v>
      </c>
      <c r="C16" s="9" t="s">
        <v>104</v>
      </c>
      <c r="D16" s="119">
        <v>21</v>
      </c>
      <c r="E16" s="177">
        <v>0</v>
      </c>
      <c r="F16" s="120">
        <f t="shared" si="4"/>
        <v>0</v>
      </c>
      <c r="G16" s="128" t="str">
        <f t="shared" si="5"/>
        <v>FFUP</v>
      </c>
      <c r="H16" s="119">
        <v>21</v>
      </c>
      <c r="I16" s="129">
        <f t="shared" si="0"/>
        <v>0</v>
      </c>
      <c r="J16" s="120">
        <f t="shared" si="6"/>
        <v>0</v>
      </c>
      <c r="K16" s="128" t="str">
        <f t="shared" si="7"/>
        <v>FFUP</v>
      </c>
      <c r="L16" s="119">
        <v>21</v>
      </c>
      <c r="M16" s="129">
        <f t="shared" si="1"/>
        <v>0</v>
      </c>
      <c r="N16" s="120">
        <f t="shared" si="8"/>
        <v>0</v>
      </c>
      <c r="O16" s="128" t="str">
        <f t="shared" si="9"/>
        <v>FFUP</v>
      </c>
      <c r="P16" s="119">
        <v>21</v>
      </c>
      <c r="Q16" s="129">
        <f t="shared" si="2"/>
        <v>0</v>
      </c>
      <c r="R16" s="120">
        <f t="shared" si="10"/>
        <v>0</v>
      </c>
      <c r="S16" s="128" t="str">
        <f t="shared" si="11"/>
        <v>FFUP</v>
      </c>
      <c r="T16" s="119">
        <v>21</v>
      </c>
      <c r="U16" s="129">
        <f t="shared" si="3"/>
        <v>0</v>
      </c>
      <c r="V16" s="120">
        <f t="shared" si="12"/>
        <v>0</v>
      </c>
      <c r="W16" s="140">
        <f t="shared" si="13"/>
        <v>0</v>
      </c>
    </row>
    <row r="17" spans="1:23" x14ac:dyDescent="0.35">
      <c r="A17" s="114" t="s">
        <v>328</v>
      </c>
      <c r="B17" s="15" t="s">
        <v>329</v>
      </c>
      <c r="C17" s="9" t="s">
        <v>104</v>
      </c>
      <c r="D17" s="119">
        <v>1</v>
      </c>
      <c r="E17" s="177">
        <v>0</v>
      </c>
      <c r="F17" s="120">
        <f t="shared" si="4"/>
        <v>0</v>
      </c>
      <c r="G17" s="128" t="str">
        <f t="shared" si="5"/>
        <v>FFUP</v>
      </c>
      <c r="H17" s="119">
        <v>1</v>
      </c>
      <c r="I17" s="129">
        <f t="shared" si="0"/>
        <v>0</v>
      </c>
      <c r="J17" s="120">
        <f t="shared" si="6"/>
        <v>0</v>
      </c>
      <c r="K17" s="128" t="str">
        <f t="shared" si="7"/>
        <v>FFUP</v>
      </c>
      <c r="L17" s="119">
        <v>1</v>
      </c>
      <c r="M17" s="129">
        <f t="shared" si="1"/>
        <v>0</v>
      </c>
      <c r="N17" s="120">
        <f t="shared" si="8"/>
        <v>0</v>
      </c>
      <c r="O17" s="128" t="str">
        <f t="shared" si="9"/>
        <v>FFUP</v>
      </c>
      <c r="P17" s="119">
        <v>1</v>
      </c>
      <c r="Q17" s="129">
        <f t="shared" si="2"/>
        <v>0</v>
      </c>
      <c r="R17" s="120">
        <f t="shared" si="10"/>
        <v>0</v>
      </c>
      <c r="S17" s="128" t="str">
        <f t="shared" si="11"/>
        <v>FFUP</v>
      </c>
      <c r="T17" s="119">
        <v>1</v>
      </c>
      <c r="U17" s="129">
        <f t="shared" si="3"/>
        <v>0</v>
      </c>
      <c r="V17" s="120">
        <f t="shared" si="12"/>
        <v>0</v>
      </c>
      <c r="W17" s="140">
        <f t="shared" si="13"/>
        <v>0</v>
      </c>
    </row>
    <row r="18" spans="1:23" x14ac:dyDescent="0.35">
      <c r="A18" s="114" t="s">
        <v>330</v>
      </c>
      <c r="B18" s="15" t="s">
        <v>331</v>
      </c>
      <c r="C18" s="9" t="s">
        <v>104</v>
      </c>
      <c r="D18" s="119">
        <v>5</v>
      </c>
      <c r="E18" s="177">
        <v>0</v>
      </c>
      <c r="F18" s="120">
        <f t="shared" si="4"/>
        <v>0</v>
      </c>
      <c r="G18" s="128" t="str">
        <f t="shared" si="5"/>
        <v>FFUP</v>
      </c>
      <c r="H18" s="119">
        <v>5</v>
      </c>
      <c r="I18" s="129">
        <f t="shared" si="0"/>
        <v>0</v>
      </c>
      <c r="J18" s="120">
        <f t="shared" si="6"/>
        <v>0</v>
      </c>
      <c r="K18" s="128" t="str">
        <f t="shared" si="7"/>
        <v>FFUP</v>
      </c>
      <c r="L18" s="119">
        <v>5</v>
      </c>
      <c r="M18" s="129">
        <f t="shared" si="1"/>
        <v>0</v>
      </c>
      <c r="N18" s="120">
        <f t="shared" si="8"/>
        <v>0</v>
      </c>
      <c r="O18" s="128" t="str">
        <f t="shared" si="9"/>
        <v>FFUP</v>
      </c>
      <c r="P18" s="119">
        <v>5</v>
      </c>
      <c r="Q18" s="129">
        <f t="shared" si="2"/>
        <v>0</v>
      </c>
      <c r="R18" s="120">
        <f t="shared" si="10"/>
        <v>0</v>
      </c>
      <c r="S18" s="128" t="str">
        <f t="shared" si="11"/>
        <v>FFUP</v>
      </c>
      <c r="T18" s="119">
        <v>5</v>
      </c>
      <c r="U18" s="129">
        <f t="shared" si="3"/>
        <v>0</v>
      </c>
      <c r="V18" s="120">
        <f t="shared" si="12"/>
        <v>0</v>
      </c>
      <c r="W18" s="140">
        <f t="shared" si="13"/>
        <v>0</v>
      </c>
    </row>
    <row r="19" spans="1:23" x14ac:dyDescent="0.35">
      <c r="A19" s="114" t="s">
        <v>255</v>
      </c>
      <c r="B19" s="15" t="s">
        <v>332</v>
      </c>
      <c r="C19" s="9" t="s">
        <v>104</v>
      </c>
      <c r="D19" s="119">
        <v>11</v>
      </c>
      <c r="E19" s="177">
        <v>0</v>
      </c>
      <c r="F19" s="120">
        <f t="shared" si="4"/>
        <v>0</v>
      </c>
      <c r="G19" s="128" t="str">
        <f t="shared" si="5"/>
        <v>FFUP</v>
      </c>
      <c r="H19" s="119">
        <v>11</v>
      </c>
      <c r="I19" s="129">
        <f t="shared" si="0"/>
        <v>0</v>
      </c>
      <c r="J19" s="120">
        <f t="shared" si="6"/>
        <v>0</v>
      </c>
      <c r="K19" s="128" t="str">
        <f t="shared" si="7"/>
        <v>FFUP</v>
      </c>
      <c r="L19" s="119">
        <v>11</v>
      </c>
      <c r="M19" s="129">
        <f t="shared" si="1"/>
        <v>0</v>
      </c>
      <c r="N19" s="120">
        <f t="shared" si="8"/>
        <v>0</v>
      </c>
      <c r="O19" s="128" t="str">
        <f t="shared" si="9"/>
        <v>FFUP</v>
      </c>
      <c r="P19" s="119">
        <v>11</v>
      </c>
      <c r="Q19" s="129">
        <f t="shared" si="2"/>
        <v>0</v>
      </c>
      <c r="R19" s="120">
        <f t="shared" si="10"/>
        <v>0</v>
      </c>
      <c r="S19" s="128" t="str">
        <f t="shared" si="11"/>
        <v>FFUP</v>
      </c>
      <c r="T19" s="119">
        <v>11</v>
      </c>
      <c r="U19" s="129">
        <f t="shared" si="3"/>
        <v>0</v>
      </c>
      <c r="V19" s="120">
        <f t="shared" si="12"/>
        <v>0</v>
      </c>
      <c r="W19" s="140">
        <f t="shared" si="13"/>
        <v>0</v>
      </c>
    </row>
    <row r="20" spans="1:23" x14ac:dyDescent="0.35">
      <c r="A20" s="114" t="s">
        <v>257</v>
      </c>
      <c r="B20" s="15" t="s">
        <v>333</v>
      </c>
      <c r="C20" s="9" t="s">
        <v>104</v>
      </c>
      <c r="D20" s="119">
        <v>21</v>
      </c>
      <c r="E20" s="177">
        <v>0</v>
      </c>
      <c r="F20" s="120">
        <f t="shared" si="4"/>
        <v>0</v>
      </c>
      <c r="G20" s="128" t="str">
        <f t="shared" si="5"/>
        <v>FFUP</v>
      </c>
      <c r="H20" s="119">
        <v>21</v>
      </c>
      <c r="I20" s="129">
        <f t="shared" si="0"/>
        <v>0</v>
      </c>
      <c r="J20" s="120">
        <f t="shared" si="6"/>
        <v>0</v>
      </c>
      <c r="K20" s="128" t="str">
        <f t="shared" si="7"/>
        <v>FFUP</v>
      </c>
      <c r="L20" s="119">
        <v>21</v>
      </c>
      <c r="M20" s="129">
        <f t="shared" si="1"/>
        <v>0</v>
      </c>
      <c r="N20" s="120">
        <f t="shared" si="8"/>
        <v>0</v>
      </c>
      <c r="O20" s="128" t="str">
        <f t="shared" si="9"/>
        <v>FFUP</v>
      </c>
      <c r="P20" s="119">
        <v>21</v>
      </c>
      <c r="Q20" s="129">
        <f t="shared" si="2"/>
        <v>0</v>
      </c>
      <c r="R20" s="120">
        <f t="shared" si="10"/>
        <v>0</v>
      </c>
      <c r="S20" s="128" t="str">
        <f t="shared" si="11"/>
        <v>FFUP</v>
      </c>
      <c r="T20" s="119">
        <v>21</v>
      </c>
      <c r="U20" s="129">
        <f t="shared" si="3"/>
        <v>0</v>
      </c>
      <c r="V20" s="120">
        <f t="shared" si="12"/>
        <v>0</v>
      </c>
      <c r="W20" s="140">
        <f t="shared" si="13"/>
        <v>0</v>
      </c>
    </row>
    <row r="21" spans="1:23" x14ac:dyDescent="0.35">
      <c r="A21" s="114" t="s">
        <v>259</v>
      </c>
      <c r="B21" s="15" t="s">
        <v>334</v>
      </c>
      <c r="C21" s="9" t="s">
        <v>104</v>
      </c>
      <c r="D21" s="119">
        <v>1</v>
      </c>
      <c r="E21" s="177">
        <v>0</v>
      </c>
      <c r="F21" s="120">
        <f t="shared" si="4"/>
        <v>0</v>
      </c>
      <c r="G21" s="128" t="str">
        <f t="shared" si="5"/>
        <v>FFUP</v>
      </c>
      <c r="H21" s="119">
        <v>1</v>
      </c>
      <c r="I21" s="129">
        <f t="shared" si="0"/>
        <v>0</v>
      </c>
      <c r="J21" s="120">
        <f t="shared" si="6"/>
        <v>0</v>
      </c>
      <c r="K21" s="128" t="str">
        <f t="shared" si="7"/>
        <v>FFUP</v>
      </c>
      <c r="L21" s="119">
        <v>1</v>
      </c>
      <c r="M21" s="129">
        <f t="shared" si="1"/>
        <v>0</v>
      </c>
      <c r="N21" s="120">
        <f t="shared" si="8"/>
        <v>0</v>
      </c>
      <c r="O21" s="128" t="str">
        <f t="shared" si="9"/>
        <v>FFUP</v>
      </c>
      <c r="P21" s="119">
        <v>1</v>
      </c>
      <c r="Q21" s="129">
        <f t="shared" si="2"/>
        <v>0</v>
      </c>
      <c r="R21" s="120">
        <f t="shared" si="10"/>
        <v>0</v>
      </c>
      <c r="S21" s="128" t="str">
        <f t="shared" si="11"/>
        <v>FFUP</v>
      </c>
      <c r="T21" s="119">
        <v>1</v>
      </c>
      <c r="U21" s="129">
        <f t="shared" si="3"/>
        <v>0</v>
      </c>
      <c r="V21" s="120">
        <f t="shared" si="12"/>
        <v>0</v>
      </c>
      <c r="W21" s="140">
        <f t="shared" si="13"/>
        <v>0</v>
      </c>
    </row>
    <row r="22" spans="1:23" x14ac:dyDescent="0.35">
      <c r="A22" s="114" t="s">
        <v>261</v>
      </c>
      <c r="B22" s="15" t="s">
        <v>335</v>
      </c>
      <c r="C22" s="9" t="s">
        <v>104</v>
      </c>
      <c r="D22" s="119">
        <v>5</v>
      </c>
      <c r="E22" s="177">
        <v>0</v>
      </c>
      <c r="F22" s="120">
        <f t="shared" si="4"/>
        <v>0</v>
      </c>
      <c r="G22" s="128" t="str">
        <f t="shared" si="5"/>
        <v>FFUP</v>
      </c>
      <c r="H22" s="119">
        <v>5</v>
      </c>
      <c r="I22" s="129">
        <f t="shared" si="0"/>
        <v>0</v>
      </c>
      <c r="J22" s="120">
        <f t="shared" si="6"/>
        <v>0</v>
      </c>
      <c r="K22" s="128" t="str">
        <f t="shared" si="7"/>
        <v>FFUP</v>
      </c>
      <c r="L22" s="119">
        <v>5</v>
      </c>
      <c r="M22" s="129">
        <f t="shared" si="1"/>
        <v>0</v>
      </c>
      <c r="N22" s="120">
        <f t="shared" si="8"/>
        <v>0</v>
      </c>
      <c r="O22" s="128" t="str">
        <f t="shared" si="9"/>
        <v>FFUP</v>
      </c>
      <c r="P22" s="119">
        <v>5</v>
      </c>
      <c r="Q22" s="129">
        <f t="shared" si="2"/>
        <v>0</v>
      </c>
      <c r="R22" s="120">
        <f t="shared" si="10"/>
        <v>0</v>
      </c>
      <c r="S22" s="128" t="str">
        <f t="shared" si="11"/>
        <v>FFUP</v>
      </c>
      <c r="T22" s="119">
        <v>5</v>
      </c>
      <c r="U22" s="129">
        <f t="shared" si="3"/>
        <v>0</v>
      </c>
      <c r="V22" s="120">
        <f t="shared" si="12"/>
        <v>0</v>
      </c>
      <c r="W22" s="140">
        <f t="shared" si="13"/>
        <v>0</v>
      </c>
    </row>
    <row r="23" spans="1:23" x14ac:dyDescent="0.35">
      <c r="A23" s="114" t="s">
        <v>263</v>
      </c>
      <c r="B23" s="15" t="s">
        <v>336</v>
      </c>
      <c r="C23" s="9" t="s">
        <v>104</v>
      </c>
      <c r="D23" s="119">
        <v>11</v>
      </c>
      <c r="E23" s="177">
        <v>0</v>
      </c>
      <c r="F23" s="120">
        <f t="shared" si="4"/>
        <v>0</v>
      </c>
      <c r="G23" s="128" t="str">
        <f t="shared" si="5"/>
        <v>FFUP</v>
      </c>
      <c r="H23" s="119">
        <v>11</v>
      </c>
      <c r="I23" s="129">
        <f t="shared" si="0"/>
        <v>0</v>
      </c>
      <c r="J23" s="120">
        <f t="shared" si="6"/>
        <v>0</v>
      </c>
      <c r="K23" s="128" t="str">
        <f t="shared" si="7"/>
        <v>FFUP</v>
      </c>
      <c r="L23" s="119">
        <v>11</v>
      </c>
      <c r="M23" s="129">
        <f t="shared" si="1"/>
        <v>0</v>
      </c>
      <c r="N23" s="120">
        <f t="shared" si="8"/>
        <v>0</v>
      </c>
      <c r="O23" s="128" t="str">
        <f t="shared" si="9"/>
        <v>FFUP</v>
      </c>
      <c r="P23" s="119">
        <v>11</v>
      </c>
      <c r="Q23" s="129">
        <f t="shared" si="2"/>
        <v>0</v>
      </c>
      <c r="R23" s="120">
        <f t="shared" si="10"/>
        <v>0</v>
      </c>
      <c r="S23" s="128" t="str">
        <f t="shared" si="11"/>
        <v>FFUP</v>
      </c>
      <c r="T23" s="119">
        <v>11</v>
      </c>
      <c r="U23" s="129">
        <f t="shared" si="3"/>
        <v>0</v>
      </c>
      <c r="V23" s="120">
        <f t="shared" si="12"/>
        <v>0</v>
      </c>
      <c r="W23" s="140">
        <f t="shared" si="13"/>
        <v>0</v>
      </c>
    </row>
    <row r="24" spans="1:23" x14ac:dyDescent="0.35">
      <c r="A24" s="114" t="s">
        <v>265</v>
      </c>
      <c r="B24" s="15" t="s">
        <v>337</v>
      </c>
      <c r="C24" s="9" t="s">
        <v>104</v>
      </c>
      <c r="D24" s="119">
        <v>21</v>
      </c>
      <c r="E24" s="177">
        <v>0</v>
      </c>
      <c r="F24" s="120">
        <f t="shared" si="4"/>
        <v>0</v>
      </c>
      <c r="G24" s="128" t="str">
        <f t="shared" si="5"/>
        <v>FFUP</v>
      </c>
      <c r="H24" s="119">
        <v>21</v>
      </c>
      <c r="I24" s="129">
        <f t="shared" si="0"/>
        <v>0</v>
      </c>
      <c r="J24" s="120">
        <f t="shared" si="6"/>
        <v>0</v>
      </c>
      <c r="K24" s="128" t="str">
        <f t="shared" si="7"/>
        <v>FFUP</v>
      </c>
      <c r="L24" s="119">
        <v>21</v>
      </c>
      <c r="M24" s="129">
        <f t="shared" si="1"/>
        <v>0</v>
      </c>
      <c r="N24" s="120">
        <f t="shared" si="8"/>
        <v>0</v>
      </c>
      <c r="O24" s="128" t="str">
        <f t="shared" si="9"/>
        <v>FFUP</v>
      </c>
      <c r="P24" s="119">
        <v>21</v>
      </c>
      <c r="Q24" s="129">
        <f t="shared" si="2"/>
        <v>0</v>
      </c>
      <c r="R24" s="120">
        <f t="shared" si="10"/>
        <v>0</v>
      </c>
      <c r="S24" s="128" t="str">
        <f t="shared" si="11"/>
        <v>FFUP</v>
      </c>
      <c r="T24" s="119">
        <v>21</v>
      </c>
      <c r="U24" s="129">
        <f t="shared" si="3"/>
        <v>0</v>
      </c>
      <c r="V24" s="120">
        <f t="shared" si="12"/>
        <v>0</v>
      </c>
      <c r="W24" s="140">
        <f t="shared" si="13"/>
        <v>0</v>
      </c>
    </row>
    <row r="25" spans="1:23" x14ac:dyDescent="0.35">
      <c r="A25" s="114" t="s">
        <v>111</v>
      </c>
      <c r="B25" s="15" t="s">
        <v>112</v>
      </c>
      <c r="C25" s="9" t="s">
        <v>104</v>
      </c>
      <c r="D25" s="119">
        <v>1</v>
      </c>
      <c r="E25" s="177">
        <v>0</v>
      </c>
      <c r="F25" s="120">
        <f t="shared" ref="F25" si="14">D25*E25</f>
        <v>0</v>
      </c>
      <c r="G25" s="128" t="str">
        <f t="shared" ref="G25" si="15">C25</f>
        <v>FFUP</v>
      </c>
      <c r="H25" s="119">
        <v>1</v>
      </c>
      <c r="I25" s="129">
        <f t="shared" si="0"/>
        <v>0</v>
      </c>
      <c r="J25" s="120">
        <f t="shared" ref="J25" si="16">H25*I25</f>
        <v>0</v>
      </c>
      <c r="K25" s="128" t="str">
        <f t="shared" ref="K25" si="17">G25</f>
        <v>FFUP</v>
      </c>
      <c r="L25" s="119">
        <v>1</v>
      </c>
      <c r="M25" s="129">
        <f t="shared" si="1"/>
        <v>0</v>
      </c>
      <c r="N25" s="120">
        <f t="shared" ref="N25" si="18">L25*M25</f>
        <v>0</v>
      </c>
      <c r="O25" s="128" t="str">
        <f t="shared" ref="O25" si="19">K25</f>
        <v>FFUP</v>
      </c>
      <c r="P25" s="119">
        <v>1</v>
      </c>
      <c r="Q25" s="129">
        <f t="shared" si="2"/>
        <v>0</v>
      </c>
      <c r="R25" s="120">
        <f t="shared" ref="R25" si="20">P25*Q25</f>
        <v>0</v>
      </c>
      <c r="S25" s="128" t="str">
        <f t="shared" ref="S25" si="21">O25</f>
        <v>FFUP</v>
      </c>
      <c r="T25" s="119">
        <v>1</v>
      </c>
      <c r="U25" s="129">
        <f t="shared" si="3"/>
        <v>0</v>
      </c>
      <c r="V25" s="120">
        <f t="shared" ref="V25" si="22">T25*U25</f>
        <v>0</v>
      </c>
      <c r="W25" s="140">
        <f t="shared" si="13"/>
        <v>0</v>
      </c>
    </row>
    <row r="26" spans="1:23" x14ac:dyDescent="0.35">
      <c r="A26" s="114"/>
      <c r="B26" s="15"/>
      <c r="C26" s="9"/>
      <c r="D26" s="119"/>
      <c r="E26" s="119"/>
      <c r="F26" s="120"/>
      <c r="G26" s="118"/>
      <c r="H26" s="116"/>
      <c r="I26" s="116"/>
      <c r="J26" s="117"/>
      <c r="K26" s="118"/>
      <c r="L26" s="116"/>
      <c r="M26" s="116"/>
      <c r="N26" s="117"/>
      <c r="O26" s="118"/>
      <c r="P26" s="116"/>
      <c r="Q26" s="116"/>
      <c r="R26" s="117"/>
      <c r="S26" s="118"/>
      <c r="T26" s="116"/>
      <c r="U26" s="116"/>
      <c r="V26" s="117"/>
      <c r="W26" s="48"/>
    </row>
    <row r="27" spans="1:23" x14ac:dyDescent="0.35">
      <c r="A27" s="114"/>
      <c r="B27" s="138"/>
      <c r="C27" s="131"/>
      <c r="D27" s="119"/>
      <c r="E27" s="116" t="s">
        <v>114</v>
      </c>
      <c r="F27" s="120">
        <f>SUM(F13:F26)</f>
        <v>0</v>
      </c>
      <c r="G27" s="118"/>
      <c r="H27" s="116"/>
      <c r="I27" s="116" t="s">
        <v>114</v>
      </c>
      <c r="J27" s="120">
        <f>SUM(J13:J26)</f>
        <v>0</v>
      </c>
      <c r="K27" s="118"/>
      <c r="L27" s="116"/>
      <c r="M27" s="116" t="s">
        <v>114</v>
      </c>
      <c r="N27" s="120">
        <f>SUM(N13:N26)</f>
        <v>0</v>
      </c>
      <c r="O27" s="118"/>
      <c r="P27" s="116"/>
      <c r="Q27" s="116" t="s">
        <v>114</v>
      </c>
      <c r="R27" s="120">
        <f>SUM(R13:R26)</f>
        <v>0</v>
      </c>
      <c r="S27" s="118"/>
      <c r="T27" s="116"/>
      <c r="U27" s="116" t="s">
        <v>114</v>
      </c>
      <c r="V27" s="120">
        <f>SUM(V13:V26)</f>
        <v>0</v>
      </c>
      <c r="W27" s="140">
        <f>SUM(V27,R27,N27,J27,F27)</f>
        <v>0</v>
      </c>
    </row>
    <row r="28" spans="1:23" x14ac:dyDescent="0.35">
      <c r="A28" s="134"/>
      <c r="B28" s="135"/>
      <c r="C28" s="136"/>
      <c r="D28" s="137"/>
      <c r="E28" s="137"/>
      <c r="F28" s="135"/>
      <c r="G28" s="136"/>
      <c r="H28" s="137"/>
      <c r="I28" s="137"/>
      <c r="J28" s="135"/>
      <c r="K28" s="136"/>
      <c r="L28" s="137"/>
      <c r="M28" s="137"/>
      <c r="N28" s="135"/>
      <c r="O28" s="136"/>
      <c r="P28" s="137"/>
      <c r="Q28" s="137"/>
      <c r="R28" s="135"/>
      <c r="S28" s="136"/>
      <c r="T28" s="137"/>
      <c r="U28" s="137"/>
      <c r="V28" s="135"/>
      <c r="W28" s="46"/>
    </row>
    <row r="29" spans="1:23" x14ac:dyDescent="0.35">
      <c r="C29" s="192" t="s">
        <v>86</v>
      </c>
      <c r="D29" s="192"/>
      <c r="E29" s="192"/>
      <c r="F29" s="192"/>
      <c r="G29" s="192" t="s">
        <v>87</v>
      </c>
      <c r="H29" s="192"/>
      <c r="I29" s="192"/>
      <c r="J29" s="192"/>
      <c r="K29" s="192" t="s">
        <v>88</v>
      </c>
      <c r="L29" s="192"/>
      <c r="M29" s="192"/>
      <c r="N29" s="192"/>
      <c r="O29" s="192" t="s">
        <v>89</v>
      </c>
      <c r="P29" s="192"/>
      <c r="Q29" s="192"/>
      <c r="R29" s="192"/>
      <c r="S29" s="192" t="s">
        <v>90</v>
      </c>
      <c r="T29" s="192"/>
      <c r="U29" s="192"/>
      <c r="V29" s="192"/>
      <c r="W29" s="45"/>
    </row>
    <row r="30" spans="1:23" s="148" customFormat="1" x14ac:dyDescent="0.35">
      <c r="A30" s="188" t="s">
        <v>115</v>
      </c>
      <c r="B30" s="188"/>
      <c r="C30" s="193" t="s">
        <v>116</v>
      </c>
      <c r="D30" s="194"/>
      <c r="E30" s="194"/>
      <c r="F30" s="195"/>
      <c r="G30" s="190" t="s">
        <v>117</v>
      </c>
      <c r="H30" s="190"/>
      <c r="I30" s="190"/>
      <c r="J30" s="190"/>
      <c r="K30" s="190" t="s">
        <v>118</v>
      </c>
      <c r="L30" s="190"/>
      <c r="M30" s="190"/>
      <c r="N30" s="190"/>
      <c r="O30" s="190" t="s">
        <v>119</v>
      </c>
      <c r="P30" s="190"/>
      <c r="Q30" s="190"/>
      <c r="R30" s="190"/>
      <c r="S30" s="190" t="s">
        <v>120</v>
      </c>
      <c r="T30" s="190"/>
      <c r="U30" s="190"/>
      <c r="V30" s="190"/>
      <c r="W30" s="147"/>
    </row>
    <row r="31" spans="1:23" x14ac:dyDescent="0.35">
      <c r="A31" s="8" t="s">
        <v>96</v>
      </c>
      <c r="B31" s="12" t="s">
        <v>12</v>
      </c>
      <c r="C31" s="4" t="s">
        <v>97</v>
      </c>
      <c r="D31" s="5" t="s">
        <v>98</v>
      </c>
      <c r="E31" s="5" t="s">
        <v>99</v>
      </c>
      <c r="F31" s="6" t="s">
        <v>100</v>
      </c>
      <c r="G31" s="4" t="s">
        <v>97</v>
      </c>
      <c r="H31" s="5" t="s">
        <v>98</v>
      </c>
      <c r="I31" s="5" t="s">
        <v>99</v>
      </c>
      <c r="J31" s="6" t="s">
        <v>100</v>
      </c>
      <c r="K31" s="4" t="s">
        <v>97</v>
      </c>
      <c r="L31" s="5" t="s">
        <v>98</v>
      </c>
      <c r="M31" s="5" t="s">
        <v>99</v>
      </c>
      <c r="N31" s="6" t="s">
        <v>100</v>
      </c>
      <c r="O31" s="4" t="s">
        <v>97</v>
      </c>
      <c r="P31" s="5" t="s">
        <v>98</v>
      </c>
      <c r="Q31" s="5" t="s">
        <v>99</v>
      </c>
      <c r="R31" s="6" t="s">
        <v>100</v>
      </c>
      <c r="S31" s="4" t="s">
        <v>97</v>
      </c>
      <c r="T31" s="5" t="s">
        <v>98</v>
      </c>
      <c r="U31" s="5" t="s">
        <v>99</v>
      </c>
      <c r="V31" s="6" t="s">
        <v>100</v>
      </c>
      <c r="W31" s="47" t="s">
        <v>101</v>
      </c>
    </row>
    <row r="32" spans="1:23" x14ac:dyDescent="0.35">
      <c r="A32" s="2" t="s">
        <v>121</v>
      </c>
      <c r="B32" s="3" t="s">
        <v>122</v>
      </c>
      <c r="C32" s="9" t="s">
        <v>123</v>
      </c>
      <c r="D32" s="119">
        <v>1</v>
      </c>
      <c r="E32" s="177">
        <v>0</v>
      </c>
      <c r="F32" s="120">
        <f t="shared" ref="F32:F33" si="23">D32*E32</f>
        <v>0</v>
      </c>
      <c r="G32" s="9" t="s">
        <v>123</v>
      </c>
      <c r="H32" s="119">
        <v>1</v>
      </c>
      <c r="I32" s="129">
        <f t="shared" ref="I32:I33" si="24">E32*1.05</f>
        <v>0</v>
      </c>
      <c r="J32" s="120">
        <f t="shared" ref="J32:J33" si="25">H32*I32</f>
        <v>0</v>
      </c>
      <c r="K32" s="9" t="s">
        <v>123</v>
      </c>
      <c r="L32" s="119">
        <v>1</v>
      </c>
      <c r="M32" s="129">
        <f t="shared" ref="M32:M33" si="26">I32*1.05</f>
        <v>0</v>
      </c>
      <c r="N32" s="120">
        <f t="shared" ref="N32:N33" si="27">L32*M32</f>
        <v>0</v>
      </c>
      <c r="O32" s="9" t="s">
        <v>123</v>
      </c>
      <c r="P32" s="119">
        <v>1</v>
      </c>
      <c r="Q32" s="129">
        <f t="shared" ref="Q32:Q33" si="28">M32*1.05</f>
        <v>0</v>
      </c>
      <c r="R32" s="120">
        <f t="shared" ref="R32:R33" si="29">P32*Q32</f>
        <v>0</v>
      </c>
      <c r="S32" s="9" t="s">
        <v>123</v>
      </c>
      <c r="T32" s="119">
        <v>1</v>
      </c>
      <c r="U32" s="129">
        <f t="shared" ref="U32:U33" si="30">Q32*1.05</f>
        <v>0</v>
      </c>
      <c r="V32" s="120">
        <f t="shared" ref="V32:V33" si="31">T32*U32</f>
        <v>0</v>
      </c>
      <c r="W32" s="140">
        <f t="shared" ref="W32:W33" si="32">SUM(V32,R32,N32,J32,F32)</f>
        <v>0</v>
      </c>
    </row>
    <row r="33" spans="1:23" x14ac:dyDescent="0.35">
      <c r="A33" s="2" t="s">
        <v>124</v>
      </c>
      <c r="B33" s="3" t="s">
        <v>125</v>
      </c>
      <c r="C33" s="123" t="s">
        <v>126</v>
      </c>
      <c r="D33" s="119">
        <v>1</v>
      </c>
      <c r="E33" s="177">
        <v>0</v>
      </c>
      <c r="F33" s="120">
        <f t="shared" si="23"/>
        <v>0</v>
      </c>
      <c r="G33" s="123" t="s">
        <v>126</v>
      </c>
      <c r="H33" s="119">
        <v>1</v>
      </c>
      <c r="I33" s="129">
        <f t="shared" si="24"/>
        <v>0</v>
      </c>
      <c r="J33" s="120">
        <f t="shared" si="25"/>
        <v>0</v>
      </c>
      <c r="K33" s="123" t="s">
        <v>126</v>
      </c>
      <c r="L33" s="119">
        <v>1</v>
      </c>
      <c r="M33" s="129">
        <f t="shared" si="26"/>
        <v>0</v>
      </c>
      <c r="N33" s="120">
        <f t="shared" si="27"/>
        <v>0</v>
      </c>
      <c r="O33" s="123" t="s">
        <v>126</v>
      </c>
      <c r="P33" s="119">
        <v>1</v>
      </c>
      <c r="Q33" s="129">
        <f t="shared" si="28"/>
        <v>0</v>
      </c>
      <c r="R33" s="120">
        <f t="shared" si="29"/>
        <v>0</v>
      </c>
      <c r="S33" s="123" t="s">
        <v>126</v>
      </c>
      <c r="T33" s="119">
        <v>1</v>
      </c>
      <c r="U33" s="129">
        <f t="shared" si="30"/>
        <v>0</v>
      </c>
      <c r="V33" s="120">
        <f t="shared" si="31"/>
        <v>0</v>
      </c>
      <c r="W33" s="140">
        <f t="shared" si="32"/>
        <v>0</v>
      </c>
    </row>
    <row r="34" spans="1:23" x14ac:dyDescent="0.35">
      <c r="A34" s="2" t="s">
        <v>127</v>
      </c>
      <c r="B34" s="3" t="s">
        <v>128</v>
      </c>
      <c r="C34" s="123" t="s">
        <v>129</v>
      </c>
      <c r="D34" s="119">
        <v>1</v>
      </c>
      <c r="E34" s="177">
        <v>0</v>
      </c>
      <c r="F34" s="120">
        <f>D34*E34</f>
        <v>0</v>
      </c>
      <c r="G34" s="123" t="s">
        <v>129</v>
      </c>
      <c r="H34" s="119">
        <v>1</v>
      </c>
      <c r="I34" s="129">
        <f>E34*1.05</f>
        <v>0</v>
      </c>
      <c r="J34" s="120">
        <f>H34*I34</f>
        <v>0</v>
      </c>
      <c r="K34" s="123" t="s">
        <v>129</v>
      </c>
      <c r="L34" s="119">
        <v>1</v>
      </c>
      <c r="M34" s="129">
        <f>I34*1.05</f>
        <v>0</v>
      </c>
      <c r="N34" s="120">
        <f>L34*M34</f>
        <v>0</v>
      </c>
      <c r="O34" s="123" t="s">
        <v>129</v>
      </c>
      <c r="P34" s="119">
        <v>1</v>
      </c>
      <c r="Q34" s="129">
        <f>M34*1.05</f>
        <v>0</v>
      </c>
      <c r="R34" s="120">
        <f>P34*Q34</f>
        <v>0</v>
      </c>
      <c r="S34" s="123" t="s">
        <v>129</v>
      </c>
      <c r="T34" s="119">
        <v>1</v>
      </c>
      <c r="U34" s="129">
        <f>Q34*1.05</f>
        <v>0</v>
      </c>
      <c r="V34" s="120">
        <f>T34*U34</f>
        <v>0</v>
      </c>
      <c r="W34" s="140">
        <f>SUM(V34,R34,N34,J34,F34)</f>
        <v>0</v>
      </c>
    </row>
    <row r="35" spans="1:23" x14ac:dyDescent="0.35">
      <c r="A35" s="2" t="s">
        <v>130</v>
      </c>
      <c r="B35" s="3" t="s">
        <v>131</v>
      </c>
      <c r="C35" s="123" t="s">
        <v>129</v>
      </c>
      <c r="D35" s="119">
        <v>1</v>
      </c>
      <c r="E35" s="177">
        <v>0</v>
      </c>
      <c r="F35" s="120">
        <f t="shared" ref="F35:F38" si="33">D35*E35</f>
        <v>0</v>
      </c>
      <c r="G35" s="123" t="s">
        <v>129</v>
      </c>
      <c r="H35" s="119">
        <v>1</v>
      </c>
      <c r="I35" s="129">
        <f t="shared" ref="I35:I38" si="34">E35*1.05</f>
        <v>0</v>
      </c>
      <c r="J35" s="120">
        <f t="shared" ref="J35:J38" si="35">H35*I35</f>
        <v>0</v>
      </c>
      <c r="K35" s="123" t="s">
        <v>129</v>
      </c>
      <c r="L35" s="119">
        <v>1</v>
      </c>
      <c r="M35" s="129">
        <f t="shared" ref="M35:M38" si="36">I35*1.05</f>
        <v>0</v>
      </c>
      <c r="N35" s="120">
        <f t="shared" ref="N35:N38" si="37">L35*M35</f>
        <v>0</v>
      </c>
      <c r="O35" s="123" t="s">
        <v>129</v>
      </c>
      <c r="P35" s="119">
        <v>1</v>
      </c>
      <c r="Q35" s="129">
        <f t="shared" ref="Q35:Q38" si="38">M35*1.05</f>
        <v>0</v>
      </c>
      <c r="R35" s="120">
        <f t="shared" ref="R35:R38" si="39">P35*Q35</f>
        <v>0</v>
      </c>
      <c r="S35" s="123" t="s">
        <v>129</v>
      </c>
      <c r="T35" s="119">
        <v>1</v>
      </c>
      <c r="U35" s="129">
        <f t="shared" ref="U35:U38" si="40">Q35*1.05</f>
        <v>0</v>
      </c>
      <c r="V35" s="120">
        <f t="shared" ref="V35:V38" si="41">T35*U35</f>
        <v>0</v>
      </c>
      <c r="W35" s="140">
        <f t="shared" ref="W35:W38" si="42">SUM(V35,R35,N35,J35,F35)</f>
        <v>0</v>
      </c>
    </row>
    <row r="36" spans="1:23" x14ac:dyDescent="0.35">
      <c r="A36" s="2" t="s">
        <v>132</v>
      </c>
      <c r="B36" s="3" t="s">
        <v>133</v>
      </c>
      <c r="C36" s="123" t="s">
        <v>129</v>
      </c>
      <c r="D36" s="119">
        <v>1</v>
      </c>
      <c r="E36" s="177">
        <v>0</v>
      </c>
      <c r="F36" s="120">
        <f t="shared" si="33"/>
        <v>0</v>
      </c>
      <c r="G36" s="123" t="s">
        <v>129</v>
      </c>
      <c r="H36" s="119">
        <v>1</v>
      </c>
      <c r="I36" s="129">
        <f t="shared" si="34"/>
        <v>0</v>
      </c>
      <c r="J36" s="120">
        <f t="shared" si="35"/>
        <v>0</v>
      </c>
      <c r="K36" s="123" t="s">
        <v>129</v>
      </c>
      <c r="L36" s="119">
        <v>1</v>
      </c>
      <c r="M36" s="129">
        <f t="shared" si="36"/>
        <v>0</v>
      </c>
      <c r="N36" s="120">
        <f t="shared" si="37"/>
        <v>0</v>
      </c>
      <c r="O36" s="123" t="s">
        <v>129</v>
      </c>
      <c r="P36" s="119">
        <v>1</v>
      </c>
      <c r="Q36" s="129">
        <f t="shared" si="38"/>
        <v>0</v>
      </c>
      <c r="R36" s="120">
        <f t="shared" si="39"/>
        <v>0</v>
      </c>
      <c r="S36" s="123" t="s">
        <v>129</v>
      </c>
      <c r="T36" s="119">
        <v>1</v>
      </c>
      <c r="U36" s="129">
        <f t="shared" si="40"/>
        <v>0</v>
      </c>
      <c r="V36" s="120">
        <f t="shared" si="41"/>
        <v>0</v>
      </c>
      <c r="W36" s="140">
        <f t="shared" si="42"/>
        <v>0</v>
      </c>
    </row>
    <row r="37" spans="1:23" x14ac:dyDescent="0.35">
      <c r="A37" s="2" t="s">
        <v>134</v>
      </c>
      <c r="B37" s="3" t="s">
        <v>135</v>
      </c>
      <c r="C37" s="123" t="s">
        <v>129</v>
      </c>
      <c r="D37" s="119">
        <v>1</v>
      </c>
      <c r="E37" s="177">
        <v>0</v>
      </c>
      <c r="F37" s="120">
        <f t="shared" si="33"/>
        <v>0</v>
      </c>
      <c r="G37" s="123" t="s">
        <v>129</v>
      </c>
      <c r="H37" s="119">
        <v>1</v>
      </c>
      <c r="I37" s="129">
        <f t="shared" si="34"/>
        <v>0</v>
      </c>
      <c r="J37" s="120">
        <f t="shared" si="35"/>
        <v>0</v>
      </c>
      <c r="K37" s="123" t="s">
        <v>129</v>
      </c>
      <c r="L37" s="119">
        <v>1</v>
      </c>
      <c r="M37" s="129">
        <f t="shared" si="36"/>
        <v>0</v>
      </c>
      <c r="N37" s="120">
        <f t="shared" si="37"/>
        <v>0</v>
      </c>
      <c r="O37" s="123" t="s">
        <v>129</v>
      </c>
      <c r="P37" s="119">
        <v>1</v>
      </c>
      <c r="Q37" s="129">
        <f t="shared" si="38"/>
        <v>0</v>
      </c>
      <c r="R37" s="120">
        <f t="shared" si="39"/>
        <v>0</v>
      </c>
      <c r="S37" s="123" t="s">
        <v>129</v>
      </c>
      <c r="T37" s="119">
        <v>1</v>
      </c>
      <c r="U37" s="129">
        <f t="shared" si="40"/>
        <v>0</v>
      </c>
      <c r="V37" s="120">
        <f t="shared" si="41"/>
        <v>0</v>
      </c>
      <c r="W37" s="140">
        <f t="shared" si="42"/>
        <v>0</v>
      </c>
    </row>
    <row r="38" spans="1:23" x14ac:dyDescent="0.35">
      <c r="A38" s="2" t="s">
        <v>136</v>
      </c>
      <c r="B38" s="52" t="s">
        <v>137</v>
      </c>
      <c r="C38" s="123" t="s">
        <v>129</v>
      </c>
      <c r="D38" s="119">
        <v>1</v>
      </c>
      <c r="E38" s="177">
        <v>0</v>
      </c>
      <c r="F38" s="120">
        <f t="shared" si="33"/>
        <v>0</v>
      </c>
      <c r="G38" s="123" t="s">
        <v>129</v>
      </c>
      <c r="H38" s="119">
        <v>1</v>
      </c>
      <c r="I38" s="129">
        <f t="shared" si="34"/>
        <v>0</v>
      </c>
      <c r="J38" s="120">
        <f t="shared" si="35"/>
        <v>0</v>
      </c>
      <c r="K38" s="123" t="s">
        <v>129</v>
      </c>
      <c r="L38" s="119">
        <v>1</v>
      </c>
      <c r="M38" s="129">
        <f t="shared" si="36"/>
        <v>0</v>
      </c>
      <c r="N38" s="120">
        <f t="shared" si="37"/>
        <v>0</v>
      </c>
      <c r="O38" s="123" t="s">
        <v>129</v>
      </c>
      <c r="P38" s="119">
        <v>1</v>
      </c>
      <c r="Q38" s="129">
        <f t="shared" si="38"/>
        <v>0</v>
      </c>
      <c r="R38" s="120">
        <f t="shared" si="39"/>
        <v>0</v>
      </c>
      <c r="S38" s="123" t="s">
        <v>129</v>
      </c>
      <c r="T38" s="119">
        <v>1</v>
      </c>
      <c r="U38" s="129">
        <f t="shared" si="40"/>
        <v>0</v>
      </c>
      <c r="V38" s="120">
        <f t="shared" si="41"/>
        <v>0</v>
      </c>
      <c r="W38" s="140">
        <f t="shared" si="42"/>
        <v>0</v>
      </c>
    </row>
    <row r="39" spans="1:23" x14ac:dyDescent="0.35">
      <c r="A39" s="114"/>
      <c r="B39" s="130"/>
      <c r="C39" s="131"/>
      <c r="D39" s="132"/>
      <c r="E39" s="133" t="s">
        <v>138</v>
      </c>
      <c r="F39" s="120">
        <f>SUM(F34:F38)</f>
        <v>0</v>
      </c>
      <c r="G39" s="131"/>
      <c r="H39" s="132"/>
      <c r="I39" s="133" t="s">
        <v>138</v>
      </c>
      <c r="J39" s="120">
        <f>SUM(J28:J38)</f>
        <v>0</v>
      </c>
      <c r="K39" s="131"/>
      <c r="L39" s="132"/>
      <c r="M39" s="133" t="s">
        <v>138</v>
      </c>
      <c r="N39" s="120">
        <f>SUM(N28:N38)</f>
        <v>0</v>
      </c>
      <c r="O39" s="131"/>
      <c r="P39" s="132"/>
      <c r="Q39" s="133" t="s">
        <v>138</v>
      </c>
      <c r="R39" s="120">
        <f>SUM(R28:R38)</f>
        <v>0</v>
      </c>
      <c r="S39" s="131"/>
      <c r="T39" s="132"/>
      <c r="U39" s="133" t="s">
        <v>138</v>
      </c>
      <c r="V39" s="120">
        <f>SUM(V28:V38)</f>
        <v>0</v>
      </c>
      <c r="W39" s="140">
        <f>SUM(V39,R39,N39,J39,F39)</f>
        <v>0</v>
      </c>
    </row>
    <row r="40" spans="1:23" x14ac:dyDescent="0.35">
      <c r="A40" s="35"/>
      <c r="B40" s="36"/>
      <c r="C40" s="37"/>
      <c r="D40" s="38"/>
      <c r="E40" s="38"/>
      <c r="F40" s="36"/>
      <c r="G40" s="37"/>
      <c r="H40" s="38"/>
      <c r="I40" s="38"/>
      <c r="J40" s="36"/>
      <c r="K40" s="37"/>
      <c r="L40" s="38"/>
      <c r="M40" s="38"/>
      <c r="N40" s="36"/>
      <c r="O40" s="37"/>
      <c r="P40" s="38"/>
      <c r="Q40" s="38"/>
      <c r="R40" s="36"/>
      <c r="S40" s="37"/>
      <c r="T40" s="38"/>
      <c r="U40" s="38"/>
      <c r="V40" s="36"/>
      <c r="W40" s="46"/>
    </row>
    <row r="41" spans="1:23" x14ac:dyDescent="0.35">
      <c r="A41" s="124"/>
      <c r="C41" s="192" t="s">
        <v>86</v>
      </c>
      <c r="D41" s="192"/>
      <c r="E41" s="192"/>
      <c r="F41" s="192"/>
      <c r="G41" s="192" t="s">
        <v>87</v>
      </c>
      <c r="H41" s="192"/>
      <c r="I41" s="192"/>
      <c r="J41" s="192"/>
      <c r="K41" s="192" t="s">
        <v>88</v>
      </c>
      <c r="L41" s="192"/>
      <c r="M41" s="192"/>
      <c r="N41" s="192"/>
      <c r="O41" s="192" t="s">
        <v>89</v>
      </c>
      <c r="P41" s="192"/>
      <c r="Q41" s="192"/>
      <c r="R41" s="192"/>
      <c r="S41" s="192" t="s">
        <v>90</v>
      </c>
      <c r="T41" s="192"/>
      <c r="U41" s="192"/>
      <c r="V41" s="192"/>
      <c r="W41" s="125"/>
    </row>
    <row r="42" spans="1:23" s="148" customFormat="1" x14ac:dyDescent="0.3">
      <c r="A42" s="196" t="s">
        <v>139</v>
      </c>
      <c r="B42" s="196"/>
      <c r="C42" s="190" t="s">
        <v>140</v>
      </c>
      <c r="D42" s="190"/>
      <c r="E42" s="190"/>
      <c r="F42" s="190"/>
      <c r="G42" s="190" t="s">
        <v>141</v>
      </c>
      <c r="H42" s="190"/>
      <c r="I42" s="190"/>
      <c r="J42" s="190"/>
      <c r="K42" s="190" t="s">
        <v>142</v>
      </c>
      <c r="L42" s="190"/>
      <c r="M42" s="190"/>
      <c r="N42" s="190"/>
      <c r="O42" s="190" t="s">
        <v>143</v>
      </c>
      <c r="P42" s="190"/>
      <c r="Q42" s="190"/>
      <c r="R42" s="190"/>
      <c r="S42" s="190" t="s">
        <v>144</v>
      </c>
      <c r="T42" s="190"/>
      <c r="U42" s="190"/>
      <c r="V42" s="190"/>
      <c r="W42" s="147"/>
    </row>
    <row r="43" spans="1:23" x14ac:dyDescent="0.35">
      <c r="A43" s="26" t="s">
        <v>145</v>
      </c>
      <c r="B43" s="27" t="s">
        <v>12</v>
      </c>
      <c r="C43" s="4" t="s">
        <v>97</v>
      </c>
      <c r="D43" s="5" t="s">
        <v>98</v>
      </c>
      <c r="E43" s="5" t="s">
        <v>99</v>
      </c>
      <c r="F43" s="6" t="s">
        <v>100</v>
      </c>
      <c r="G43" s="4" t="s">
        <v>97</v>
      </c>
      <c r="H43" s="5" t="s">
        <v>98</v>
      </c>
      <c r="I43" s="5" t="s">
        <v>99</v>
      </c>
      <c r="J43" s="6" t="s">
        <v>100</v>
      </c>
      <c r="K43" s="4" t="s">
        <v>97</v>
      </c>
      <c r="L43" s="5" t="s">
        <v>98</v>
      </c>
      <c r="M43" s="5" t="s">
        <v>99</v>
      </c>
      <c r="N43" s="6" t="s">
        <v>100</v>
      </c>
      <c r="O43" s="4" t="s">
        <v>97</v>
      </c>
      <c r="P43" s="5" t="s">
        <v>98</v>
      </c>
      <c r="Q43" s="5" t="s">
        <v>99</v>
      </c>
      <c r="R43" s="6" t="s">
        <v>100</v>
      </c>
      <c r="S43" s="4" t="s">
        <v>97</v>
      </c>
      <c r="T43" s="5" t="s">
        <v>98</v>
      </c>
      <c r="U43" s="5" t="s">
        <v>99</v>
      </c>
      <c r="V43" s="6" t="s">
        <v>100</v>
      </c>
      <c r="W43" s="43" t="s">
        <v>101</v>
      </c>
    </row>
    <row r="44" spans="1:23" x14ac:dyDescent="0.35">
      <c r="A44" s="28" t="s">
        <v>146</v>
      </c>
      <c r="B44" s="126" t="s">
        <v>147</v>
      </c>
      <c r="C44" s="9" t="s">
        <v>123</v>
      </c>
      <c r="D44" s="119">
        <v>1</v>
      </c>
      <c r="E44" s="25">
        <v>0</v>
      </c>
      <c r="F44" s="11">
        <f>ROUND(D44*E44,2)</f>
        <v>0</v>
      </c>
      <c r="G44" s="9" t="s">
        <v>123</v>
      </c>
      <c r="H44" s="119">
        <v>1</v>
      </c>
      <c r="I44" s="129">
        <f t="shared" ref="I44:I55" si="43">E44*1.05</f>
        <v>0</v>
      </c>
      <c r="J44" s="11">
        <f>ROUND(H44*I44,2)</f>
        <v>0</v>
      </c>
      <c r="K44" s="9" t="s">
        <v>123</v>
      </c>
      <c r="L44" s="119">
        <v>1</v>
      </c>
      <c r="M44" s="129">
        <f t="shared" ref="M44:M55" si="44">I44*1.05</f>
        <v>0</v>
      </c>
      <c r="N44" s="11">
        <f>ROUND(L44*M44,2)</f>
        <v>0</v>
      </c>
      <c r="O44" s="9" t="s">
        <v>123</v>
      </c>
      <c r="P44" s="119">
        <v>1</v>
      </c>
      <c r="Q44" s="129">
        <f t="shared" ref="Q44:Q55" si="45">M44*1.05</f>
        <v>0</v>
      </c>
      <c r="R44" s="11">
        <f>ROUND(P44*Q44,2)</f>
        <v>0</v>
      </c>
      <c r="S44" s="9" t="s">
        <v>123</v>
      </c>
      <c r="T44" s="119">
        <v>1</v>
      </c>
      <c r="U44" s="129">
        <f t="shared" ref="U44:U55" si="46">Q44*1.05</f>
        <v>0</v>
      </c>
      <c r="V44" s="11">
        <f>ROUND(T44*U44,2)</f>
        <v>0</v>
      </c>
      <c r="W44" s="165">
        <f>SUM(V44,R44,N44,J44,F44)</f>
        <v>0</v>
      </c>
    </row>
    <row r="45" spans="1:23" x14ac:dyDescent="0.35">
      <c r="A45" s="28" t="s">
        <v>148</v>
      </c>
      <c r="B45" s="127" t="s">
        <v>149</v>
      </c>
      <c r="C45" s="9" t="s">
        <v>123</v>
      </c>
      <c r="D45" s="119">
        <v>1</v>
      </c>
      <c r="E45" s="25">
        <v>0</v>
      </c>
      <c r="F45" s="11">
        <f t="shared" ref="F45:F55" si="47">ROUND(D45*E45,2)</f>
        <v>0</v>
      </c>
      <c r="G45" s="9" t="s">
        <v>123</v>
      </c>
      <c r="H45" s="119">
        <v>1</v>
      </c>
      <c r="I45" s="129">
        <f t="shared" si="43"/>
        <v>0</v>
      </c>
      <c r="J45" s="11">
        <f t="shared" ref="J45" si="48">ROUND(H45*I45,2)</f>
        <v>0</v>
      </c>
      <c r="K45" s="9" t="s">
        <v>123</v>
      </c>
      <c r="L45" s="119">
        <v>1</v>
      </c>
      <c r="M45" s="129">
        <f t="shared" si="44"/>
        <v>0</v>
      </c>
      <c r="N45" s="11">
        <f t="shared" ref="N45" si="49">ROUND(L45*M45,2)</f>
        <v>0</v>
      </c>
      <c r="O45" s="9" t="s">
        <v>123</v>
      </c>
      <c r="P45" s="119">
        <v>1</v>
      </c>
      <c r="Q45" s="129">
        <f t="shared" si="45"/>
        <v>0</v>
      </c>
      <c r="R45" s="11">
        <f t="shared" ref="R45" si="50">ROUND(P45*Q45,2)</f>
        <v>0</v>
      </c>
      <c r="S45" s="9" t="s">
        <v>123</v>
      </c>
      <c r="T45" s="119">
        <v>1</v>
      </c>
      <c r="U45" s="129">
        <f t="shared" si="46"/>
        <v>0</v>
      </c>
      <c r="V45" s="11">
        <f t="shared" ref="V45" si="51">ROUND(T45*U45,2)</f>
        <v>0</v>
      </c>
      <c r="W45" s="165">
        <f t="shared" ref="W45:W55" si="52">SUM(V45,R45,N45,J45,F45)</f>
        <v>0</v>
      </c>
    </row>
    <row r="46" spans="1:23" x14ac:dyDescent="0.35">
      <c r="A46" s="28" t="s">
        <v>150</v>
      </c>
      <c r="B46" s="127" t="s">
        <v>151</v>
      </c>
      <c r="C46" s="9" t="s">
        <v>123</v>
      </c>
      <c r="D46" s="119">
        <v>1</v>
      </c>
      <c r="E46" s="25">
        <v>0</v>
      </c>
      <c r="F46" s="11">
        <f>ROUND(D46*E46,2)</f>
        <v>0</v>
      </c>
      <c r="G46" s="9" t="s">
        <v>123</v>
      </c>
      <c r="H46" s="119">
        <v>1</v>
      </c>
      <c r="I46" s="129">
        <f t="shared" si="43"/>
        <v>0</v>
      </c>
      <c r="J46" s="11">
        <f>ROUND(H46*I46,2)</f>
        <v>0</v>
      </c>
      <c r="K46" s="9" t="s">
        <v>123</v>
      </c>
      <c r="L46" s="119">
        <v>1</v>
      </c>
      <c r="M46" s="129">
        <f t="shared" si="44"/>
        <v>0</v>
      </c>
      <c r="N46" s="11">
        <f>ROUND(L46*M46,2)</f>
        <v>0</v>
      </c>
      <c r="O46" s="9" t="s">
        <v>123</v>
      </c>
      <c r="P46" s="119">
        <v>1</v>
      </c>
      <c r="Q46" s="129">
        <f t="shared" si="45"/>
        <v>0</v>
      </c>
      <c r="R46" s="11">
        <f>ROUND(P46*Q46,2)</f>
        <v>0</v>
      </c>
      <c r="S46" s="9" t="s">
        <v>123</v>
      </c>
      <c r="T46" s="119">
        <v>1</v>
      </c>
      <c r="U46" s="129">
        <f t="shared" si="46"/>
        <v>0</v>
      </c>
      <c r="V46" s="11">
        <f>ROUND(T46*U46,2)</f>
        <v>0</v>
      </c>
      <c r="W46" s="165">
        <f t="shared" si="52"/>
        <v>0</v>
      </c>
    </row>
    <row r="47" spans="1:23" x14ac:dyDescent="0.35">
      <c r="A47" s="28" t="s">
        <v>152</v>
      </c>
      <c r="B47" s="127" t="s">
        <v>153</v>
      </c>
      <c r="C47" s="9" t="s">
        <v>123</v>
      </c>
      <c r="D47" s="119">
        <v>1</v>
      </c>
      <c r="E47" s="25">
        <v>0</v>
      </c>
      <c r="F47" s="11">
        <f t="shared" si="47"/>
        <v>0</v>
      </c>
      <c r="G47" s="9" t="s">
        <v>123</v>
      </c>
      <c r="H47" s="119">
        <v>1</v>
      </c>
      <c r="I47" s="129">
        <f t="shared" si="43"/>
        <v>0</v>
      </c>
      <c r="J47" s="11">
        <f t="shared" ref="J47:J55" si="53">ROUND(H47*I47,2)</f>
        <v>0</v>
      </c>
      <c r="K47" s="9" t="s">
        <v>123</v>
      </c>
      <c r="L47" s="119">
        <v>1</v>
      </c>
      <c r="M47" s="129">
        <f t="shared" si="44"/>
        <v>0</v>
      </c>
      <c r="N47" s="11">
        <f t="shared" ref="N47:N55" si="54">ROUND(L47*M47,2)</f>
        <v>0</v>
      </c>
      <c r="O47" s="9" t="s">
        <v>123</v>
      </c>
      <c r="P47" s="119">
        <v>1</v>
      </c>
      <c r="Q47" s="129">
        <f t="shared" si="45"/>
        <v>0</v>
      </c>
      <c r="R47" s="11">
        <f t="shared" ref="R47:R55" si="55">ROUND(P47*Q47,2)</f>
        <v>0</v>
      </c>
      <c r="S47" s="9" t="s">
        <v>123</v>
      </c>
      <c r="T47" s="119">
        <v>1</v>
      </c>
      <c r="U47" s="129">
        <f t="shared" si="46"/>
        <v>0</v>
      </c>
      <c r="V47" s="11">
        <f t="shared" ref="V47:V55" si="56">ROUND(T47*U47,2)</f>
        <v>0</v>
      </c>
      <c r="W47" s="165">
        <f t="shared" si="52"/>
        <v>0</v>
      </c>
    </row>
    <row r="48" spans="1:23" x14ac:dyDescent="0.35">
      <c r="A48" s="28" t="s">
        <v>154</v>
      </c>
      <c r="B48" s="127" t="s">
        <v>338</v>
      </c>
      <c r="C48" s="9" t="s">
        <v>123</v>
      </c>
      <c r="D48" s="119">
        <v>1</v>
      </c>
      <c r="E48" s="25">
        <v>0</v>
      </c>
      <c r="F48" s="11">
        <f t="shared" si="47"/>
        <v>0</v>
      </c>
      <c r="G48" s="9" t="s">
        <v>123</v>
      </c>
      <c r="H48" s="119">
        <v>1</v>
      </c>
      <c r="I48" s="129">
        <f t="shared" si="43"/>
        <v>0</v>
      </c>
      <c r="J48" s="11">
        <f t="shared" si="53"/>
        <v>0</v>
      </c>
      <c r="K48" s="9" t="s">
        <v>123</v>
      </c>
      <c r="L48" s="119">
        <v>1</v>
      </c>
      <c r="M48" s="129">
        <f t="shared" si="44"/>
        <v>0</v>
      </c>
      <c r="N48" s="11">
        <f t="shared" si="54"/>
        <v>0</v>
      </c>
      <c r="O48" s="9" t="s">
        <v>123</v>
      </c>
      <c r="P48" s="119">
        <v>1</v>
      </c>
      <c r="Q48" s="129">
        <f t="shared" si="45"/>
        <v>0</v>
      </c>
      <c r="R48" s="11">
        <f t="shared" si="55"/>
        <v>0</v>
      </c>
      <c r="S48" s="9" t="s">
        <v>123</v>
      </c>
      <c r="T48" s="119">
        <v>1</v>
      </c>
      <c r="U48" s="129">
        <f t="shared" si="46"/>
        <v>0</v>
      </c>
      <c r="V48" s="11">
        <f t="shared" si="56"/>
        <v>0</v>
      </c>
      <c r="W48" s="165">
        <f t="shared" si="52"/>
        <v>0</v>
      </c>
    </row>
    <row r="49" spans="1:23" x14ac:dyDescent="0.35">
      <c r="A49" s="28" t="s">
        <v>156</v>
      </c>
      <c r="B49" s="127" t="s">
        <v>157</v>
      </c>
      <c r="C49" s="9" t="s">
        <v>123</v>
      </c>
      <c r="D49" s="119">
        <v>1</v>
      </c>
      <c r="E49" s="25">
        <v>0</v>
      </c>
      <c r="F49" s="11">
        <f t="shared" si="47"/>
        <v>0</v>
      </c>
      <c r="G49" s="9" t="s">
        <v>123</v>
      </c>
      <c r="H49" s="119">
        <v>1</v>
      </c>
      <c r="I49" s="129">
        <f t="shared" si="43"/>
        <v>0</v>
      </c>
      <c r="J49" s="11">
        <f t="shared" si="53"/>
        <v>0</v>
      </c>
      <c r="K49" s="9" t="s">
        <v>123</v>
      </c>
      <c r="L49" s="119">
        <v>1</v>
      </c>
      <c r="M49" s="129">
        <f t="shared" si="44"/>
        <v>0</v>
      </c>
      <c r="N49" s="11">
        <f t="shared" si="54"/>
        <v>0</v>
      </c>
      <c r="O49" s="9" t="s">
        <v>123</v>
      </c>
      <c r="P49" s="119">
        <v>1</v>
      </c>
      <c r="Q49" s="129">
        <f t="shared" si="45"/>
        <v>0</v>
      </c>
      <c r="R49" s="11">
        <f t="shared" si="55"/>
        <v>0</v>
      </c>
      <c r="S49" s="9" t="s">
        <v>123</v>
      </c>
      <c r="T49" s="119">
        <v>1</v>
      </c>
      <c r="U49" s="129">
        <f t="shared" si="46"/>
        <v>0</v>
      </c>
      <c r="V49" s="11">
        <f t="shared" si="56"/>
        <v>0</v>
      </c>
      <c r="W49" s="165">
        <f t="shared" si="52"/>
        <v>0</v>
      </c>
    </row>
    <row r="50" spans="1:23" x14ac:dyDescent="0.35">
      <c r="A50" s="28" t="s">
        <v>158</v>
      </c>
      <c r="B50" s="127" t="s">
        <v>159</v>
      </c>
      <c r="C50" s="9" t="s">
        <v>123</v>
      </c>
      <c r="D50" s="119">
        <v>1</v>
      </c>
      <c r="E50" s="25">
        <v>0</v>
      </c>
      <c r="F50" s="11">
        <f t="shared" si="47"/>
        <v>0</v>
      </c>
      <c r="G50" s="9" t="s">
        <v>123</v>
      </c>
      <c r="H50" s="119">
        <v>1</v>
      </c>
      <c r="I50" s="129">
        <f t="shared" si="43"/>
        <v>0</v>
      </c>
      <c r="J50" s="11">
        <f t="shared" si="53"/>
        <v>0</v>
      </c>
      <c r="K50" s="9" t="s">
        <v>123</v>
      </c>
      <c r="L50" s="119">
        <v>1</v>
      </c>
      <c r="M50" s="129">
        <f t="shared" si="44"/>
        <v>0</v>
      </c>
      <c r="N50" s="11">
        <f t="shared" si="54"/>
        <v>0</v>
      </c>
      <c r="O50" s="9" t="s">
        <v>123</v>
      </c>
      <c r="P50" s="119">
        <v>1</v>
      </c>
      <c r="Q50" s="129">
        <f t="shared" si="45"/>
        <v>0</v>
      </c>
      <c r="R50" s="11">
        <f t="shared" si="55"/>
        <v>0</v>
      </c>
      <c r="S50" s="9" t="s">
        <v>123</v>
      </c>
      <c r="T50" s="119">
        <v>1</v>
      </c>
      <c r="U50" s="129">
        <f t="shared" si="46"/>
        <v>0</v>
      </c>
      <c r="V50" s="11">
        <f t="shared" si="56"/>
        <v>0</v>
      </c>
      <c r="W50" s="165">
        <f t="shared" si="52"/>
        <v>0</v>
      </c>
    </row>
    <row r="51" spans="1:23" x14ac:dyDescent="0.35">
      <c r="A51" s="28" t="s">
        <v>160</v>
      </c>
      <c r="B51" s="127" t="s">
        <v>161</v>
      </c>
      <c r="C51" s="9" t="s">
        <v>123</v>
      </c>
      <c r="D51" s="119">
        <v>1</v>
      </c>
      <c r="E51" s="25">
        <v>0</v>
      </c>
      <c r="F51" s="11">
        <f t="shared" si="47"/>
        <v>0</v>
      </c>
      <c r="G51" s="9" t="s">
        <v>123</v>
      </c>
      <c r="H51" s="119">
        <v>1</v>
      </c>
      <c r="I51" s="129">
        <f t="shared" si="43"/>
        <v>0</v>
      </c>
      <c r="J51" s="11">
        <f t="shared" si="53"/>
        <v>0</v>
      </c>
      <c r="K51" s="9" t="s">
        <v>123</v>
      </c>
      <c r="L51" s="119">
        <v>1</v>
      </c>
      <c r="M51" s="129">
        <f t="shared" si="44"/>
        <v>0</v>
      </c>
      <c r="N51" s="11">
        <f t="shared" si="54"/>
        <v>0</v>
      </c>
      <c r="O51" s="9" t="s">
        <v>123</v>
      </c>
      <c r="P51" s="119">
        <v>1</v>
      </c>
      <c r="Q51" s="129">
        <f t="shared" si="45"/>
        <v>0</v>
      </c>
      <c r="R51" s="11">
        <f t="shared" si="55"/>
        <v>0</v>
      </c>
      <c r="S51" s="9" t="s">
        <v>123</v>
      </c>
      <c r="T51" s="119">
        <v>1</v>
      </c>
      <c r="U51" s="129">
        <f t="shared" si="46"/>
        <v>0</v>
      </c>
      <c r="V51" s="11">
        <f t="shared" si="56"/>
        <v>0</v>
      </c>
      <c r="W51" s="165">
        <f t="shared" si="52"/>
        <v>0</v>
      </c>
    </row>
    <row r="52" spans="1:23" x14ac:dyDescent="0.35">
      <c r="A52" s="28" t="s">
        <v>162</v>
      </c>
      <c r="B52" s="127" t="s">
        <v>163</v>
      </c>
      <c r="C52" s="9" t="s">
        <v>123</v>
      </c>
      <c r="D52" s="119">
        <v>1</v>
      </c>
      <c r="E52" s="25">
        <v>0</v>
      </c>
      <c r="F52" s="11">
        <f t="shared" si="47"/>
        <v>0</v>
      </c>
      <c r="G52" s="9" t="s">
        <v>123</v>
      </c>
      <c r="H52" s="119">
        <v>1</v>
      </c>
      <c r="I52" s="129">
        <f t="shared" si="43"/>
        <v>0</v>
      </c>
      <c r="J52" s="11">
        <f t="shared" si="53"/>
        <v>0</v>
      </c>
      <c r="K52" s="9" t="s">
        <v>123</v>
      </c>
      <c r="L52" s="119">
        <v>1</v>
      </c>
      <c r="M52" s="129">
        <f t="shared" si="44"/>
        <v>0</v>
      </c>
      <c r="N52" s="11">
        <f t="shared" si="54"/>
        <v>0</v>
      </c>
      <c r="O52" s="9" t="s">
        <v>123</v>
      </c>
      <c r="P52" s="119">
        <v>1</v>
      </c>
      <c r="Q52" s="129">
        <f t="shared" si="45"/>
        <v>0</v>
      </c>
      <c r="R52" s="11">
        <f t="shared" si="55"/>
        <v>0</v>
      </c>
      <c r="S52" s="9" t="s">
        <v>123</v>
      </c>
      <c r="T52" s="119">
        <v>1</v>
      </c>
      <c r="U52" s="129">
        <f t="shared" si="46"/>
        <v>0</v>
      </c>
      <c r="V52" s="11">
        <f t="shared" si="56"/>
        <v>0</v>
      </c>
      <c r="W52" s="165">
        <f t="shared" si="52"/>
        <v>0</v>
      </c>
    </row>
    <row r="53" spans="1:23" x14ac:dyDescent="0.35">
      <c r="A53" s="28" t="s">
        <v>164</v>
      </c>
      <c r="B53" s="127" t="s">
        <v>165</v>
      </c>
      <c r="C53" s="9" t="s">
        <v>123</v>
      </c>
      <c r="D53" s="119">
        <v>1</v>
      </c>
      <c r="E53" s="25">
        <v>0</v>
      </c>
      <c r="F53" s="11">
        <f t="shared" si="47"/>
        <v>0</v>
      </c>
      <c r="G53" s="9" t="s">
        <v>123</v>
      </c>
      <c r="H53" s="119">
        <v>1</v>
      </c>
      <c r="I53" s="129">
        <f t="shared" si="43"/>
        <v>0</v>
      </c>
      <c r="J53" s="11">
        <f t="shared" si="53"/>
        <v>0</v>
      </c>
      <c r="K53" s="9" t="s">
        <v>123</v>
      </c>
      <c r="L53" s="119">
        <v>1</v>
      </c>
      <c r="M53" s="129">
        <f t="shared" si="44"/>
        <v>0</v>
      </c>
      <c r="N53" s="11">
        <f t="shared" si="54"/>
        <v>0</v>
      </c>
      <c r="O53" s="9" t="s">
        <v>123</v>
      </c>
      <c r="P53" s="119">
        <v>1</v>
      </c>
      <c r="Q53" s="129">
        <f t="shared" si="45"/>
        <v>0</v>
      </c>
      <c r="R53" s="11">
        <f t="shared" si="55"/>
        <v>0</v>
      </c>
      <c r="S53" s="9" t="s">
        <v>123</v>
      </c>
      <c r="T53" s="119">
        <v>1</v>
      </c>
      <c r="U53" s="129">
        <f t="shared" si="46"/>
        <v>0</v>
      </c>
      <c r="V53" s="11">
        <f t="shared" si="56"/>
        <v>0</v>
      </c>
      <c r="W53" s="165">
        <f t="shared" si="52"/>
        <v>0</v>
      </c>
    </row>
    <row r="54" spans="1:23" x14ac:dyDescent="0.35">
      <c r="A54" s="28" t="s">
        <v>166</v>
      </c>
      <c r="B54" s="127" t="s">
        <v>167</v>
      </c>
      <c r="C54" s="9" t="s">
        <v>123</v>
      </c>
      <c r="D54" s="119">
        <v>1</v>
      </c>
      <c r="E54" s="25">
        <v>0</v>
      </c>
      <c r="F54" s="11">
        <f>ROUND(D54*E54,2)</f>
        <v>0</v>
      </c>
      <c r="G54" s="9" t="s">
        <v>123</v>
      </c>
      <c r="H54" s="119">
        <v>1</v>
      </c>
      <c r="I54" s="129">
        <f t="shared" si="43"/>
        <v>0</v>
      </c>
      <c r="J54" s="11">
        <f>ROUND(H54*I54,2)</f>
        <v>0</v>
      </c>
      <c r="K54" s="9" t="s">
        <v>123</v>
      </c>
      <c r="L54" s="119">
        <v>1</v>
      </c>
      <c r="M54" s="129">
        <f t="shared" si="44"/>
        <v>0</v>
      </c>
      <c r="N54" s="11">
        <f>ROUND(L54*M54,2)</f>
        <v>0</v>
      </c>
      <c r="O54" s="9" t="s">
        <v>123</v>
      </c>
      <c r="P54" s="119">
        <v>1</v>
      </c>
      <c r="Q54" s="129">
        <f t="shared" si="45"/>
        <v>0</v>
      </c>
      <c r="R54" s="11">
        <f>ROUND(P54*Q54,2)</f>
        <v>0</v>
      </c>
      <c r="S54" s="9" t="s">
        <v>123</v>
      </c>
      <c r="T54" s="119">
        <v>1</v>
      </c>
      <c r="U54" s="129">
        <f t="shared" si="46"/>
        <v>0</v>
      </c>
      <c r="V54" s="11">
        <f>ROUND(T54*U54,2)</f>
        <v>0</v>
      </c>
      <c r="W54" s="165">
        <f t="shared" si="52"/>
        <v>0</v>
      </c>
    </row>
    <row r="55" spans="1:23" x14ac:dyDescent="0.35">
      <c r="A55" s="28" t="s">
        <v>168</v>
      </c>
      <c r="B55" s="127" t="s">
        <v>339</v>
      </c>
      <c r="C55" s="9" t="s">
        <v>123</v>
      </c>
      <c r="D55" s="119">
        <v>1</v>
      </c>
      <c r="E55" s="25">
        <v>0</v>
      </c>
      <c r="F55" s="11">
        <f t="shared" si="47"/>
        <v>0</v>
      </c>
      <c r="G55" s="9" t="s">
        <v>123</v>
      </c>
      <c r="H55" s="119">
        <v>1</v>
      </c>
      <c r="I55" s="129">
        <f t="shared" si="43"/>
        <v>0</v>
      </c>
      <c r="J55" s="11">
        <f t="shared" si="53"/>
        <v>0</v>
      </c>
      <c r="K55" s="9" t="s">
        <v>123</v>
      </c>
      <c r="L55" s="119">
        <v>1</v>
      </c>
      <c r="M55" s="129">
        <f t="shared" si="44"/>
        <v>0</v>
      </c>
      <c r="N55" s="11">
        <f t="shared" si="54"/>
        <v>0</v>
      </c>
      <c r="O55" s="9" t="s">
        <v>123</v>
      </c>
      <c r="P55" s="119">
        <v>1</v>
      </c>
      <c r="Q55" s="129">
        <f t="shared" si="45"/>
        <v>0</v>
      </c>
      <c r="R55" s="11">
        <f t="shared" si="55"/>
        <v>0</v>
      </c>
      <c r="S55" s="9" t="s">
        <v>123</v>
      </c>
      <c r="T55" s="119">
        <v>1</v>
      </c>
      <c r="U55" s="129">
        <f t="shared" si="46"/>
        <v>0</v>
      </c>
      <c r="V55" s="11">
        <f t="shared" si="56"/>
        <v>0</v>
      </c>
      <c r="W55" s="165">
        <f t="shared" si="52"/>
        <v>0</v>
      </c>
    </row>
    <row r="56" spans="1:23" x14ac:dyDescent="0.35">
      <c r="A56" s="16"/>
      <c r="B56" s="17"/>
      <c r="C56" s="18"/>
      <c r="D56" s="19"/>
      <c r="E56" s="20"/>
      <c r="F56" s="21"/>
      <c r="G56" s="18"/>
      <c r="H56" s="19"/>
      <c r="I56" s="20"/>
      <c r="J56" s="21"/>
      <c r="K56" s="18"/>
      <c r="L56" s="19"/>
      <c r="M56" s="20"/>
      <c r="N56" s="21"/>
      <c r="O56" s="18"/>
      <c r="P56" s="19"/>
      <c r="Q56" s="20"/>
      <c r="R56" s="21"/>
      <c r="S56" s="18"/>
      <c r="T56" s="19"/>
      <c r="U56" s="20"/>
      <c r="V56" s="21"/>
      <c r="W56" s="49"/>
    </row>
    <row r="57" spans="1:23" x14ac:dyDescent="0.35">
      <c r="A57" s="16"/>
      <c r="B57" s="17"/>
      <c r="C57" s="16"/>
      <c r="D57" s="19"/>
      <c r="E57" s="24" t="s">
        <v>170</v>
      </c>
      <c r="F57" s="21">
        <f>SUM(F44:F55)</f>
        <v>0</v>
      </c>
      <c r="G57" s="16"/>
      <c r="H57" s="19"/>
      <c r="I57" s="24" t="s">
        <v>170</v>
      </c>
      <c r="J57" s="21">
        <f>SUM(J44:J55)</f>
        <v>0</v>
      </c>
      <c r="K57" s="16"/>
      <c r="L57" s="19"/>
      <c r="M57" s="24" t="s">
        <v>170</v>
      </c>
      <c r="N57" s="21">
        <f>SUM(N44:N55)</f>
        <v>0</v>
      </c>
      <c r="O57" s="16"/>
      <c r="P57" s="19"/>
      <c r="Q57" s="24" t="s">
        <v>170</v>
      </c>
      <c r="R57" s="21">
        <f>SUM(R44:R55)</f>
        <v>0</v>
      </c>
      <c r="S57" s="16"/>
      <c r="T57" s="19"/>
      <c r="U57" s="24" t="s">
        <v>170</v>
      </c>
      <c r="V57" s="21">
        <f>SUM(V44:V55)</f>
        <v>0</v>
      </c>
      <c r="W57" s="165">
        <f>SUM(V57,R57,N57,J57,F57)</f>
        <v>0</v>
      </c>
    </row>
    <row r="58" spans="1:23" x14ac:dyDescent="0.35">
      <c r="A58" s="35"/>
      <c r="B58" s="36"/>
      <c r="C58" s="37"/>
      <c r="D58" s="38"/>
      <c r="E58" s="38"/>
      <c r="F58" s="36"/>
      <c r="G58" s="37"/>
      <c r="H58" s="38"/>
      <c r="I58" s="38"/>
      <c r="J58" s="36"/>
      <c r="K58" s="37"/>
      <c r="L58" s="38"/>
      <c r="M58" s="38"/>
      <c r="N58" s="36"/>
      <c r="O58" s="37"/>
      <c r="P58" s="38"/>
      <c r="Q58" s="38"/>
      <c r="R58" s="36"/>
      <c r="S58" s="37"/>
      <c r="T58" s="38"/>
      <c r="U58" s="38"/>
      <c r="V58" s="36"/>
      <c r="W58" s="46"/>
    </row>
    <row r="59" spans="1:23" x14ac:dyDescent="0.35">
      <c r="C59" s="192" t="s">
        <v>86</v>
      </c>
      <c r="D59" s="192"/>
      <c r="E59" s="192"/>
      <c r="F59" s="192"/>
      <c r="G59" s="192" t="s">
        <v>87</v>
      </c>
      <c r="H59" s="192"/>
      <c r="I59" s="192"/>
      <c r="J59" s="192"/>
      <c r="K59" s="192" t="s">
        <v>88</v>
      </c>
      <c r="L59" s="192"/>
      <c r="M59" s="192"/>
      <c r="N59" s="192"/>
      <c r="O59" s="192" t="s">
        <v>89</v>
      </c>
      <c r="P59" s="192"/>
      <c r="Q59" s="192"/>
      <c r="R59" s="192"/>
      <c r="S59" s="192" t="s">
        <v>90</v>
      </c>
      <c r="T59" s="192"/>
      <c r="U59" s="192"/>
      <c r="V59" s="192"/>
      <c r="W59" s="45"/>
    </row>
    <row r="60" spans="1:23" s="148" customFormat="1" x14ac:dyDescent="0.3">
      <c r="A60" s="196" t="s">
        <v>171</v>
      </c>
      <c r="B60" s="196"/>
      <c r="C60" s="190" t="s">
        <v>172</v>
      </c>
      <c r="D60" s="190"/>
      <c r="E60" s="190"/>
      <c r="F60" s="190"/>
      <c r="G60" s="190" t="s">
        <v>173</v>
      </c>
      <c r="H60" s="190"/>
      <c r="I60" s="190"/>
      <c r="J60" s="190"/>
      <c r="K60" s="190" t="s">
        <v>174</v>
      </c>
      <c r="L60" s="190"/>
      <c r="M60" s="190"/>
      <c r="N60" s="190"/>
      <c r="O60" s="190" t="s">
        <v>84</v>
      </c>
      <c r="P60" s="190"/>
      <c r="Q60" s="190"/>
      <c r="R60" s="190"/>
      <c r="S60" s="190" t="s">
        <v>46</v>
      </c>
      <c r="T60" s="190"/>
      <c r="U60" s="190"/>
      <c r="V60" s="190"/>
      <c r="W60" s="147"/>
    </row>
    <row r="61" spans="1:23" x14ac:dyDescent="0.35">
      <c r="A61" s="26" t="s">
        <v>145</v>
      </c>
      <c r="B61" s="27" t="s">
        <v>12</v>
      </c>
      <c r="C61" s="4" t="s">
        <v>97</v>
      </c>
      <c r="D61" s="5" t="s">
        <v>98</v>
      </c>
      <c r="E61" s="5" t="s">
        <v>99</v>
      </c>
      <c r="F61" s="6" t="s">
        <v>100</v>
      </c>
      <c r="G61" s="4" t="s">
        <v>97</v>
      </c>
      <c r="H61" s="5" t="s">
        <v>98</v>
      </c>
      <c r="I61" s="5" t="s">
        <v>99</v>
      </c>
      <c r="J61" s="6" t="s">
        <v>100</v>
      </c>
      <c r="K61" s="4" t="s">
        <v>97</v>
      </c>
      <c r="L61" s="5" t="s">
        <v>98</v>
      </c>
      <c r="M61" s="5" t="s">
        <v>99</v>
      </c>
      <c r="N61" s="6" t="s">
        <v>100</v>
      </c>
      <c r="O61" s="4" t="s">
        <v>97</v>
      </c>
      <c r="P61" s="5" t="s">
        <v>98</v>
      </c>
      <c r="Q61" s="5" t="s">
        <v>99</v>
      </c>
      <c r="R61" s="6" t="s">
        <v>100</v>
      </c>
      <c r="S61" s="4" t="s">
        <v>97</v>
      </c>
      <c r="T61" s="5" t="s">
        <v>98</v>
      </c>
      <c r="U61" s="5" t="s">
        <v>99</v>
      </c>
      <c r="V61" s="6" t="s">
        <v>100</v>
      </c>
      <c r="W61" s="43" t="s">
        <v>101</v>
      </c>
    </row>
    <row r="62" spans="1:23" x14ac:dyDescent="0.35">
      <c r="A62" s="28" t="s">
        <v>175</v>
      </c>
      <c r="B62" s="29" t="s">
        <v>176</v>
      </c>
      <c r="C62" s="9" t="s">
        <v>104</v>
      </c>
      <c r="D62" s="119">
        <v>1</v>
      </c>
      <c r="E62" s="25">
        <v>0</v>
      </c>
      <c r="F62" s="11">
        <f t="shared" ref="F62:F71" si="57">ROUND(D62*E62,2)</f>
        <v>0</v>
      </c>
      <c r="G62" s="9" t="s">
        <v>104</v>
      </c>
      <c r="H62" s="119">
        <v>1</v>
      </c>
      <c r="I62" s="129">
        <f t="shared" ref="I62:I71" si="58">E62*1.05</f>
        <v>0</v>
      </c>
      <c r="J62" s="11">
        <f t="shared" ref="J62:J71" si="59">ROUND(H62*I62,2)</f>
        <v>0</v>
      </c>
      <c r="K62" s="9" t="s">
        <v>104</v>
      </c>
      <c r="L62" s="119">
        <v>1</v>
      </c>
      <c r="M62" s="129">
        <f t="shared" ref="M62:M71" si="60">I62*1.05</f>
        <v>0</v>
      </c>
      <c r="N62" s="11">
        <f t="shared" ref="N62:N71" si="61">ROUND(L62*M62,2)</f>
        <v>0</v>
      </c>
      <c r="O62" s="9" t="s">
        <v>104</v>
      </c>
      <c r="P62" s="119">
        <v>1</v>
      </c>
      <c r="Q62" s="129">
        <f t="shared" ref="Q62:Q71" si="62">M62*1.05</f>
        <v>0</v>
      </c>
      <c r="R62" s="11">
        <f t="shared" ref="R62:R71" si="63">ROUND(P62*Q62,2)</f>
        <v>0</v>
      </c>
      <c r="S62" s="9" t="s">
        <v>104</v>
      </c>
      <c r="T62" s="119">
        <v>1</v>
      </c>
      <c r="U62" s="129">
        <f t="shared" ref="U62:U71" si="64">Q62*1.05</f>
        <v>0</v>
      </c>
      <c r="V62" s="11">
        <f t="shared" ref="V62:V71" si="65">ROUND(T62*U62,2)</f>
        <v>0</v>
      </c>
      <c r="W62" s="165">
        <f>SUM(V62,R62,N62,J62,F62)</f>
        <v>0</v>
      </c>
    </row>
    <row r="63" spans="1:23" x14ac:dyDescent="0.35">
      <c r="A63" s="28" t="s">
        <v>177</v>
      </c>
      <c r="B63" s="29" t="s">
        <v>178</v>
      </c>
      <c r="C63" s="9" t="s">
        <v>104</v>
      </c>
      <c r="D63" s="119">
        <v>1</v>
      </c>
      <c r="E63" s="25">
        <v>0</v>
      </c>
      <c r="F63" s="11">
        <f t="shared" si="57"/>
        <v>0</v>
      </c>
      <c r="G63" s="9" t="s">
        <v>104</v>
      </c>
      <c r="H63" s="119">
        <v>1</v>
      </c>
      <c r="I63" s="129">
        <f t="shared" si="58"/>
        <v>0</v>
      </c>
      <c r="J63" s="11">
        <f t="shared" si="59"/>
        <v>0</v>
      </c>
      <c r="K63" s="9" t="s">
        <v>104</v>
      </c>
      <c r="L63" s="119">
        <v>1</v>
      </c>
      <c r="M63" s="129">
        <f t="shared" si="60"/>
        <v>0</v>
      </c>
      <c r="N63" s="11">
        <f t="shared" si="61"/>
        <v>0</v>
      </c>
      <c r="O63" s="9" t="s">
        <v>104</v>
      </c>
      <c r="P63" s="119">
        <v>1</v>
      </c>
      <c r="Q63" s="129">
        <f t="shared" si="62"/>
        <v>0</v>
      </c>
      <c r="R63" s="11">
        <f t="shared" si="63"/>
        <v>0</v>
      </c>
      <c r="S63" s="9" t="s">
        <v>104</v>
      </c>
      <c r="T63" s="119">
        <v>1</v>
      </c>
      <c r="U63" s="129">
        <f t="shared" si="64"/>
        <v>0</v>
      </c>
      <c r="V63" s="11">
        <f t="shared" si="65"/>
        <v>0</v>
      </c>
      <c r="W63" s="165">
        <f t="shared" ref="W63:W71" si="66">SUM(V63,R63,N63,J63,F63)</f>
        <v>0</v>
      </c>
    </row>
    <row r="64" spans="1:23" x14ac:dyDescent="0.35">
      <c r="A64" s="28" t="s">
        <v>179</v>
      </c>
      <c r="B64" s="29" t="s">
        <v>180</v>
      </c>
      <c r="C64" s="9" t="s">
        <v>104</v>
      </c>
      <c r="D64" s="119">
        <v>1</v>
      </c>
      <c r="E64" s="25">
        <v>0</v>
      </c>
      <c r="F64" s="11">
        <f t="shared" si="57"/>
        <v>0</v>
      </c>
      <c r="G64" s="9" t="s">
        <v>104</v>
      </c>
      <c r="H64" s="119">
        <v>1</v>
      </c>
      <c r="I64" s="129">
        <f t="shared" si="58"/>
        <v>0</v>
      </c>
      <c r="J64" s="11">
        <f t="shared" si="59"/>
        <v>0</v>
      </c>
      <c r="K64" s="9" t="s">
        <v>104</v>
      </c>
      <c r="L64" s="119">
        <v>1</v>
      </c>
      <c r="M64" s="129">
        <f t="shared" si="60"/>
        <v>0</v>
      </c>
      <c r="N64" s="11">
        <f t="shared" si="61"/>
        <v>0</v>
      </c>
      <c r="O64" s="9" t="s">
        <v>104</v>
      </c>
      <c r="P64" s="119">
        <v>1</v>
      </c>
      <c r="Q64" s="129">
        <f t="shared" si="62"/>
        <v>0</v>
      </c>
      <c r="R64" s="11">
        <f t="shared" si="63"/>
        <v>0</v>
      </c>
      <c r="S64" s="9" t="s">
        <v>104</v>
      </c>
      <c r="T64" s="119">
        <v>1</v>
      </c>
      <c r="U64" s="129">
        <f t="shared" si="64"/>
        <v>0</v>
      </c>
      <c r="V64" s="11">
        <f t="shared" si="65"/>
        <v>0</v>
      </c>
      <c r="W64" s="165">
        <f t="shared" si="66"/>
        <v>0</v>
      </c>
    </row>
    <row r="65" spans="1:23" x14ac:dyDescent="0.35">
      <c r="A65" s="28" t="s">
        <v>181</v>
      </c>
      <c r="B65" s="1" t="s">
        <v>182</v>
      </c>
      <c r="C65" s="9" t="s">
        <v>104</v>
      </c>
      <c r="D65" s="119">
        <v>1</v>
      </c>
      <c r="E65" s="25">
        <v>0</v>
      </c>
      <c r="F65" s="11">
        <f t="shared" si="57"/>
        <v>0</v>
      </c>
      <c r="G65" s="9" t="s">
        <v>104</v>
      </c>
      <c r="H65" s="119">
        <v>1</v>
      </c>
      <c r="I65" s="129">
        <f t="shared" si="58"/>
        <v>0</v>
      </c>
      <c r="J65" s="11">
        <f t="shared" si="59"/>
        <v>0</v>
      </c>
      <c r="K65" s="9" t="s">
        <v>104</v>
      </c>
      <c r="L65" s="119">
        <v>1</v>
      </c>
      <c r="M65" s="129">
        <f t="shared" si="60"/>
        <v>0</v>
      </c>
      <c r="N65" s="11">
        <f t="shared" si="61"/>
        <v>0</v>
      </c>
      <c r="O65" s="9" t="s">
        <v>104</v>
      </c>
      <c r="P65" s="119">
        <v>1</v>
      </c>
      <c r="Q65" s="129">
        <f t="shared" si="62"/>
        <v>0</v>
      </c>
      <c r="R65" s="11">
        <f t="shared" si="63"/>
        <v>0</v>
      </c>
      <c r="S65" s="9" t="s">
        <v>104</v>
      </c>
      <c r="T65" s="119">
        <v>1</v>
      </c>
      <c r="U65" s="129">
        <f t="shared" si="64"/>
        <v>0</v>
      </c>
      <c r="V65" s="11">
        <f t="shared" si="65"/>
        <v>0</v>
      </c>
      <c r="W65" s="165">
        <f t="shared" si="66"/>
        <v>0</v>
      </c>
    </row>
    <row r="66" spans="1:23" x14ac:dyDescent="0.35">
      <c r="A66" s="28" t="s">
        <v>183</v>
      </c>
      <c r="B66" s="29" t="s">
        <v>184</v>
      </c>
      <c r="C66" s="9" t="s">
        <v>104</v>
      </c>
      <c r="D66" s="119">
        <v>1</v>
      </c>
      <c r="E66" s="25">
        <v>0</v>
      </c>
      <c r="F66" s="11">
        <f t="shared" si="57"/>
        <v>0</v>
      </c>
      <c r="G66" s="9" t="s">
        <v>104</v>
      </c>
      <c r="H66" s="119">
        <v>1</v>
      </c>
      <c r="I66" s="129">
        <f t="shared" si="58"/>
        <v>0</v>
      </c>
      <c r="J66" s="11">
        <f t="shared" si="59"/>
        <v>0</v>
      </c>
      <c r="K66" s="9" t="s">
        <v>104</v>
      </c>
      <c r="L66" s="119">
        <v>1</v>
      </c>
      <c r="M66" s="129">
        <f t="shared" si="60"/>
        <v>0</v>
      </c>
      <c r="N66" s="11">
        <f t="shared" si="61"/>
        <v>0</v>
      </c>
      <c r="O66" s="9" t="s">
        <v>104</v>
      </c>
      <c r="P66" s="119">
        <v>1</v>
      </c>
      <c r="Q66" s="129">
        <f t="shared" si="62"/>
        <v>0</v>
      </c>
      <c r="R66" s="11">
        <f t="shared" si="63"/>
        <v>0</v>
      </c>
      <c r="S66" s="9" t="s">
        <v>104</v>
      </c>
      <c r="T66" s="119">
        <v>1</v>
      </c>
      <c r="U66" s="129">
        <f t="shared" si="64"/>
        <v>0</v>
      </c>
      <c r="V66" s="11">
        <f t="shared" si="65"/>
        <v>0</v>
      </c>
      <c r="W66" s="165">
        <f t="shared" si="66"/>
        <v>0</v>
      </c>
    </row>
    <row r="67" spans="1:23" x14ac:dyDescent="0.35">
      <c r="A67" s="28" t="s">
        <v>185</v>
      </c>
      <c r="B67" s="115" t="s">
        <v>186</v>
      </c>
      <c r="C67" s="9" t="s">
        <v>104</v>
      </c>
      <c r="D67" s="119">
        <v>1</v>
      </c>
      <c r="E67" s="25">
        <v>0</v>
      </c>
      <c r="F67" s="11">
        <f t="shared" si="57"/>
        <v>0</v>
      </c>
      <c r="G67" s="9" t="s">
        <v>104</v>
      </c>
      <c r="H67" s="119">
        <v>1</v>
      </c>
      <c r="I67" s="129">
        <f t="shared" si="58"/>
        <v>0</v>
      </c>
      <c r="J67" s="11">
        <f t="shared" si="59"/>
        <v>0</v>
      </c>
      <c r="K67" s="9" t="s">
        <v>104</v>
      </c>
      <c r="L67" s="119">
        <v>1</v>
      </c>
      <c r="M67" s="129">
        <f t="shared" si="60"/>
        <v>0</v>
      </c>
      <c r="N67" s="11">
        <f t="shared" si="61"/>
        <v>0</v>
      </c>
      <c r="O67" s="9" t="s">
        <v>104</v>
      </c>
      <c r="P67" s="119">
        <v>1</v>
      </c>
      <c r="Q67" s="129">
        <f t="shared" si="62"/>
        <v>0</v>
      </c>
      <c r="R67" s="11">
        <f t="shared" si="63"/>
        <v>0</v>
      </c>
      <c r="S67" s="9" t="s">
        <v>104</v>
      </c>
      <c r="T67" s="119">
        <v>1</v>
      </c>
      <c r="U67" s="129">
        <f t="shared" si="64"/>
        <v>0</v>
      </c>
      <c r="V67" s="11">
        <f t="shared" si="65"/>
        <v>0</v>
      </c>
      <c r="W67" s="165">
        <f t="shared" si="66"/>
        <v>0</v>
      </c>
    </row>
    <row r="68" spans="1:23" x14ac:dyDescent="0.35">
      <c r="A68" s="28" t="s">
        <v>187</v>
      </c>
      <c r="B68" s="29" t="s">
        <v>188</v>
      </c>
      <c r="C68" s="9" t="s">
        <v>104</v>
      </c>
      <c r="D68" s="119">
        <v>1</v>
      </c>
      <c r="E68" s="25">
        <v>0</v>
      </c>
      <c r="F68" s="11">
        <f t="shared" si="57"/>
        <v>0</v>
      </c>
      <c r="G68" s="9" t="s">
        <v>104</v>
      </c>
      <c r="H68" s="119">
        <v>1</v>
      </c>
      <c r="I68" s="129">
        <f t="shared" si="58"/>
        <v>0</v>
      </c>
      <c r="J68" s="11">
        <f t="shared" si="59"/>
        <v>0</v>
      </c>
      <c r="K68" s="9" t="s">
        <v>104</v>
      </c>
      <c r="L68" s="119">
        <v>1</v>
      </c>
      <c r="M68" s="129">
        <f t="shared" si="60"/>
        <v>0</v>
      </c>
      <c r="N68" s="11">
        <f t="shared" si="61"/>
        <v>0</v>
      </c>
      <c r="O68" s="9" t="s">
        <v>104</v>
      </c>
      <c r="P68" s="119">
        <v>1</v>
      </c>
      <c r="Q68" s="129">
        <f t="shared" si="62"/>
        <v>0</v>
      </c>
      <c r="R68" s="11">
        <f t="shared" si="63"/>
        <v>0</v>
      </c>
      <c r="S68" s="9" t="s">
        <v>104</v>
      </c>
      <c r="T68" s="119">
        <v>1</v>
      </c>
      <c r="U68" s="129">
        <f t="shared" si="64"/>
        <v>0</v>
      </c>
      <c r="V68" s="11">
        <f t="shared" si="65"/>
        <v>0</v>
      </c>
      <c r="W68" s="165">
        <f t="shared" si="66"/>
        <v>0</v>
      </c>
    </row>
    <row r="69" spans="1:23" x14ac:dyDescent="0.35">
      <c r="A69" s="28" t="s">
        <v>189</v>
      </c>
      <c r="B69" s="29" t="s">
        <v>190</v>
      </c>
      <c r="C69" s="9" t="s">
        <v>104</v>
      </c>
      <c r="D69" s="119">
        <v>1</v>
      </c>
      <c r="E69" s="25">
        <v>0</v>
      </c>
      <c r="F69" s="11">
        <f t="shared" si="57"/>
        <v>0</v>
      </c>
      <c r="G69" s="9" t="s">
        <v>104</v>
      </c>
      <c r="H69" s="119">
        <v>1</v>
      </c>
      <c r="I69" s="129">
        <f t="shared" si="58"/>
        <v>0</v>
      </c>
      <c r="J69" s="11">
        <f t="shared" si="59"/>
        <v>0</v>
      </c>
      <c r="K69" s="9" t="s">
        <v>104</v>
      </c>
      <c r="L69" s="119">
        <v>1</v>
      </c>
      <c r="M69" s="129">
        <f t="shared" si="60"/>
        <v>0</v>
      </c>
      <c r="N69" s="11">
        <f t="shared" si="61"/>
        <v>0</v>
      </c>
      <c r="O69" s="9" t="s">
        <v>104</v>
      </c>
      <c r="P69" s="119">
        <v>1</v>
      </c>
      <c r="Q69" s="129">
        <f t="shared" si="62"/>
        <v>0</v>
      </c>
      <c r="R69" s="11">
        <f t="shared" si="63"/>
        <v>0</v>
      </c>
      <c r="S69" s="9" t="s">
        <v>104</v>
      </c>
      <c r="T69" s="119">
        <v>1</v>
      </c>
      <c r="U69" s="129">
        <f t="shared" si="64"/>
        <v>0</v>
      </c>
      <c r="V69" s="11">
        <f t="shared" si="65"/>
        <v>0</v>
      </c>
      <c r="W69" s="165">
        <f t="shared" si="66"/>
        <v>0</v>
      </c>
    </row>
    <row r="70" spans="1:23" x14ac:dyDescent="0.35">
      <c r="A70" s="28" t="s">
        <v>191</v>
      </c>
      <c r="B70" s="29" t="s">
        <v>192</v>
      </c>
      <c r="C70" s="9" t="s">
        <v>104</v>
      </c>
      <c r="D70" s="119">
        <v>1</v>
      </c>
      <c r="E70" s="25">
        <v>0</v>
      </c>
      <c r="F70" s="11">
        <f t="shared" si="57"/>
        <v>0</v>
      </c>
      <c r="G70" s="9" t="s">
        <v>104</v>
      </c>
      <c r="H70" s="119">
        <v>1</v>
      </c>
      <c r="I70" s="129">
        <f t="shared" si="58"/>
        <v>0</v>
      </c>
      <c r="J70" s="11">
        <f t="shared" si="59"/>
        <v>0</v>
      </c>
      <c r="K70" s="9" t="s">
        <v>104</v>
      </c>
      <c r="L70" s="119">
        <v>1</v>
      </c>
      <c r="M70" s="129">
        <f t="shared" si="60"/>
        <v>0</v>
      </c>
      <c r="N70" s="11">
        <f t="shared" si="61"/>
        <v>0</v>
      </c>
      <c r="O70" s="9" t="s">
        <v>104</v>
      </c>
      <c r="P70" s="119">
        <v>1</v>
      </c>
      <c r="Q70" s="129">
        <f t="shared" si="62"/>
        <v>0</v>
      </c>
      <c r="R70" s="11">
        <f t="shared" si="63"/>
        <v>0</v>
      </c>
      <c r="S70" s="9" t="s">
        <v>104</v>
      </c>
      <c r="T70" s="119">
        <v>1</v>
      </c>
      <c r="U70" s="129">
        <f t="shared" si="64"/>
        <v>0</v>
      </c>
      <c r="V70" s="11">
        <f t="shared" si="65"/>
        <v>0</v>
      </c>
      <c r="W70" s="165">
        <f t="shared" si="66"/>
        <v>0</v>
      </c>
    </row>
    <row r="71" spans="1:23" x14ac:dyDescent="0.35">
      <c r="A71" s="28" t="s">
        <v>193</v>
      </c>
      <c r="B71" s="29" t="s">
        <v>194</v>
      </c>
      <c r="C71" s="9" t="s">
        <v>104</v>
      </c>
      <c r="D71" s="119">
        <v>1</v>
      </c>
      <c r="E71" s="25">
        <v>0</v>
      </c>
      <c r="F71" s="11">
        <f t="shared" si="57"/>
        <v>0</v>
      </c>
      <c r="G71" s="9" t="s">
        <v>104</v>
      </c>
      <c r="H71" s="119">
        <v>1</v>
      </c>
      <c r="I71" s="129">
        <f t="shared" si="58"/>
        <v>0</v>
      </c>
      <c r="J71" s="11">
        <f t="shared" si="59"/>
        <v>0</v>
      </c>
      <c r="K71" s="9" t="s">
        <v>104</v>
      </c>
      <c r="L71" s="119">
        <v>1</v>
      </c>
      <c r="M71" s="129">
        <f t="shared" si="60"/>
        <v>0</v>
      </c>
      <c r="N71" s="11">
        <f t="shared" si="61"/>
        <v>0</v>
      </c>
      <c r="O71" s="9" t="s">
        <v>104</v>
      </c>
      <c r="P71" s="119">
        <v>1</v>
      </c>
      <c r="Q71" s="129">
        <f t="shared" si="62"/>
        <v>0</v>
      </c>
      <c r="R71" s="11">
        <f t="shared" si="63"/>
        <v>0</v>
      </c>
      <c r="S71" s="9" t="s">
        <v>104</v>
      </c>
      <c r="T71" s="119">
        <v>1</v>
      </c>
      <c r="U71" s="129">
        <f t="shared" si="64"/>
        <v>0</v>
      </c>
      <c r="V71" s="11">
        <f t="shared" si="65"/>
        <v>0</v>
      </c>
      <c r="W71" s="165">
        <f t="shared" si="66"/>
        <v>0</v>
      </c>
    </row>
    <row r="72" spans="1:23" x14ac:dyDescent="0.35">
      <c r="A72" s="28"/>
      <c r="B72" s="29"/>
      <c r="C72" s="9"/>
      <c r="D72" s="10"/>
      <c r="E72" s="25"/>
      <c r="F72" s="11"/>
      <c r="G72" s="9"/>
      <c r="H72" s="10"/>
      <c r="I72" s="25"/>
      <c r="J72" s="11"/>
      <c r="K72" s="9"/>
      <c r="L72" s="10"/>
      <c r="M72" s="25"/>
      <c r="N72" s="11"/>
      <c r="O72" s="9"/>
      <c r="P72" s="10"/>
      <c r="Q72" s="25"/>
      <c r="R72" s="11"/>
      <c r="S72" s="9"/>
      <c r="T72" s="10"/>
      <c r="U72" s="25"/>
      <c r="V72" s="11"/>
      <c r="W72" s="44"/>
    </row>
    <row r="73" spans="1:23" x14ac:dyDescent="0.35">
      <c r="A73" s="16"/>
      <c r="B73" s="17"/>
      <c r="C73" s="18"/>
      <c r="D73" s="19"/>
      <c r="E73" s="20"/>
      <c r="F73" s="21"/>
      <c r="G73" s="18"/>
      <c r="H73" s="19"/>
      <c r="I73" s="20"/>
      <c r="J73" s="21"/>
      <c r="K73" s="18"/>
      <c r="L73" s="19"/>
      <c r="M73" s="20"/>
      <c r="N73" s="21"/>
      <c r="O73" s="18"/>
      <c r="P73" s="19"/>
      <c r="Q73" s="20"/>
      <c r="R73" s="21"/>
      <c r="S73" s="18"/>
      <c r="T73" s="19"/>
      <c r="U73" s="20"/>
      <c r="V73" s="21"/>
      <c r="W73" s="49"/>
    </row>
    <row r="74" spans="1:23" x14ac:dyDescent="0.35">
      <c r="A74" s="16"/>
      <c r="B74" s="17"/>
      <c r="C74" s="16"/>
      <c r="D74" s="19"/>
      <c r="E74" s="24" t="s">
        <v>195</v>
      </c>
      <c r="F74" s="21">
        <f>SUM(F62:F72)</f>
        <v>0</v>
      </c>
      <c r="G74" s="16"/>
      <c r="H74" s="19"/>
      <c r="I74" s="24" t="s">
        <v>195</v>
      </c>
      <c r="J74" s="21">
        <f>SUM(J62:J72)</f>
        <v>0</v>
      </c>
      <c r="K74" s="16"/>
      <c r="L74" s="19"/>
      <c r="M74" s="24" t="s">
        <v>195</v>
      </c>
      <c r="N74" s="21">
        <f>SUM(N62:N72)</f>
        <v>0</v>
      </c>
      <c r="O74" s="16"/>
      <c r="P74" s="19"/>
      <c r="Q74" s="24" t="s">
        <v>195</v>
      </c>
      <c r="R74" s="21">
        <f>SUM(R62:R72)</f>
        <v>0</v>
      </c>
      <c r="S74" s="16"/>
      <c r="T74" s="19"/>
      <c r="U74" s="24" t="s">
        <v>195</v>
      </c>
      <c r="V74" s="21">
        <f>SUM(V62:V72)</f>
        <v>0</v>
      </c>
      <c r="W74" s="165">
        <f>SUM(V74,R74,N74,J74,F74)</f>
        <v>0</v>
      </c>
    </row>
    <row r="75" spans="1:23" x14ac:dyDescent="0.35">
      <c r="A75" s="35"/>
      <c r="B75" s="36"/>
      <c r="C75" s="37"/>
      <c r="D75" s="38"/>
      <c r="E75" s="38"/>
      <c r="F75" s="36"/>
      <c r="G75" s="37"/>
      <c r="H75" s="38"/>
      <c r="I75" s="38"/>
      <c r="J75" s="36"/>
      <c r="K75" s="37"/>
      <c r="L75" s="38"/>
      <c r="M75" s="38"/>
      <c r="N75" s="36"/>
      <c r="O75" s="37"/>
      <c r="P75" s="38"/>
      <c r="Q75" s="38"/>
      <c r="R75" s="36"/>
      <c r="S75" s="37"/>
      <c r="T75" s="38"/>
      <c r="U75" s="38"/>
      <c r="V75" s="36"/>
      <c r="W75" s="46"/>
    </row>
    <row r="76" spans="1:23" x14ac:dyDescent="0.35">
      <c r="C76" s="192" t="s">
        <v>86</v>
      </c>
      <c r="D76" s="192"/>
      <c r="E76" s="192"/>
      <c r="F76" s="192"/>
      <c r="G76" s="192" t="s">
        <v>87</v>
      </c>
      <c r="H76" s="192"/>
      <c r="I76" s="192"/>
      <c r="J76" s="192"/>
      <c r="K76" s="192" t="s">
        <v>88</v>
      </c>
      <c r="L76" s="192"/>
      <c r="M76" s="192"/>
      <c r="N76" s="192"/>
      <c r="O76" s="192" t="s">
        <v>89</v>
      </c>
      <c r="P76" s="192"/>
      <c r="Q76" s="192"/>
      <c r="R76" s="192"/>
      <c r="S76" s="192" t="s">
        <v>90</v>
      </c>
      <c r="T76" s="192"/>
      <c r="U76" s="192"/>
      <c r="V76" s="192"/>
      <c r="W76" s="45"/>
    </row>
    <row r="77" spans="1:23" s="148" customFormat="1" x14ac:dyDescent="0.3">
      <c r="A77" s="196" t="s">
        <v>196</v>
      </c>
      <c r="B77" s="196"/>
      <c r="C77" s="190" t="s">
        <v>197</v>
      </c>
      <c r="D77" s="190"/>
      <c r="E77" s="190"/>
      <c r="F77" s="190"/>
      <c r="G77" s="190" t="s">
        <v>198</v>
      </c>
      <c r="H77" s="190"/>
      <c r="I77" s="190"/>
      <c r="J77" s="190"/>
      <c r="K77" s="190" t="s">
        <v>199</v>
      </c>
      <c r="L77" s="190"/>
      <c r="M77" s="190"/>
      <c r="N77" s="190"/>
      <c r="O77" s="190" t="s">
        <v>200</v>
      </c>
      <c r="P77" s="190"/>
      <c r="Q77" s="190"/>
      <c r="R77" s="190"/>
      <c r="S77" s="190" t="s">
        <v>53</v>
      </c>
      <c r="T77" s="190"/>
      <c r="U77" s="190"/>
      <c r="V77" s="190"/>
      <c r="W77" s="147"/>
    </row>
    <row r="78" spans="1:23" x14ac:dyDescent="0.35">
      <c r="A78" s="26" t="s">
        <v>145</v>
      </c>
      <c r="B78" s="27" t="s">
        <v>12</v>
      </c>
      <c r="C78" s="4" t="s">
        <v>97</v>
      </c>
      <c r="D78" s="5"/>
      <c r="E78" s="5" t="s">
        <v>99</v>
      </c>
      <c r="F78" s="6" t="s">
        <v>100</v>
      </c>
      <c r="G78" s="4" t="s">
        <v>97</v>
      </c>
      <c r="H78" s="5"/>
      <c r="I78" s="5" t="s">
        <v>99</v>
      </c>
      <c r="J78" s="6" t="s">
        <v>100</v>
      </c>
      <c r="K78" s="4" t="s">
        <v>97</v>
      </c>
      <c r="L78" s="5"/>
      <c r="M78" s="5" t="s">
        <v>99</v>
      </c>
      <c r="N78" s="6" t="s">
        <v>100</v>
      </c>
      <c r="O78" s="4" t="s">
        <v>97</v>
      </c>
      <c r="P78" s="5"/>
      <c r="Q78" s="5" t="s">
        <v>99</v>
      </c>
      <c r="R78" s="6" t="s">
        <v>100</v>
      </c>
      <c r="S78" s="4" t="s">
        <v>97</v>
      </c>
      <c r="T78" s="5"/>
      <c r="U78" s="5" t="s">
        <v>99</v>
      </c>
      <c r="V78" s="6" t="s">
        <v>100</v>
      </c>
      <c r="W78" s="43" t="s">
        <v>101</v>
      </c>
    </row>
    <row r="79" spans="1:23" x14ac:dyDescent="0.35">
      <c r="A79" s="28" t="s">
        <v>201</v>
      </c>
      <c r="B79" s="29" t="s">
        <v>202</v>
      </c>
      <c r="C79" s="9" t="s">
        <v>123</v>
      </c>
      <c r="D79" s="119">
        <v>1</v>
      </c>
      <c r="E79" s="25">
        <v>0</v>
      </c>
      <c r="F79" s="11">
        <f>ROUND(D79*E79,2)</f>
        <v>0</v>
      </c>
      <c r="G79" s="9" t="s">
        <v>123</v>
      </c>
      <c r="H79" s="119">
        <v>1</v>
      </c>
      <c r="I79" s="129">
        <f t="shared" ref="I79:I87" si="67">E79*1.05</f>
        <v>0</v>
      </c>
      <c r="J79" s="11">
        <f>ROUND(H79*I79,2)</f>
        <v>0</v>
      </c>
      <c r="K79" s="9" t="s">
        <v>123</v>
      </c>
      <c r="L79" s="119">
        <v>1</v>
      </c>
      <c r="M79" s="129">
        <f t="shared" ref="M79:M87" si="68">I79*1.05</f>
        <v>0</v>
      </c>
      <c r="N79" s="11">
        <f>ROUND(L79*M79,2)</f>
        <v>0</v>
      </c>
      <c r="O79" s="9" t="s">
        <v>123</v>
      </c>
      <c r="P79" s="119">
        <v>1</v>
      </c>
      <c r="Q79" s="129">
        <f t="shared" ref="Q79:Q87" si="69">M79*1.05</f>
        <v>0</v>
      </c>
      <c r="R79" s="11">
        <f>ROUND(P79*Q79,2)</f>
        <v>0</v>
      </c>
      <c r="S79" s="9" t="s">
        <v>123</v>
      </c>
      <c r="T79" s="119">
        <v>1</v>
      </c>
      <c r="U79" s="129">
        <f t="shared" ref="U79:U87" si="70">Q79*1.05</f>
        <v>0</v>
      </c>
      <c r="V79" s="11">
        <f>ROUND(T79*U79,2)</f>
        <v>0</v>
      </c>
      <c r="W79" s="165">
        <f>SUM(V79,R79,N79,J79,F79)</f>
        <v>0</v>
      </c>
    </row>
    <row r="80" spans="1:23" x14ac:dyDescent="0.35">
      <c r="A80" s="28" t="s">
        <v>203</v>
      </c>
      <c r="B80" s="29" t="s">
        <v>204</v>
      </c>
      <c r="C80" s="9" t="s">
        <v>123</v>
      </c>
      <c r="D80" s="119">
        <v>1</v>
      </c>
      <c r="E80" s="25">
        <v>0</v>
      </c>
      <c r="F80" s="11">
        <f t="shared" ref="F80:F87" si="71">ROUND(D80*E80,2)</f>
        <v>0</v>
      </c>
      <c r="G80" s="9" t="s">
        <v>123</v>
      </c>
      <c r="H80" s="119">
        <v>1</v>
      </c>
      <c r="I80" s="129">
        <f t="shared" si="67"/>
        <v>0</v>
      </c>
      <c r="J80" s="11">
        <f t="shared" ref="J80:J87" si="72">ROUND(H80*I80,2)</f>
        <v>0</v>
      </c>
      <c r="K80" s="9" t="s">
        <v>123</v>
      </c>
      <c r="L80" s="119">
        <v>1</v>
      </c>
      <c r="M80" s="129">
        <f t="shared" si="68"/>
        <v>0</v>
      </c>
      <c r="N80" s="11">
        <f t="shared" ref="N80:N87" si="73">ROUND(L80*M80,2)</f>
        <v>0</v>
      </c>
      <c r="O80" s="9" t="s">
        <v>123</v>
      </c>
      <c r="P80" s="119">
        <v>1</v>
      </c>
      <c r="Q80" s="129">
        <f t="shared" si="69"/>
        <v>0</v>
      </c>
      <c r="R80" s="11">
        <f t="shared" ref="R80:R87" si="74">ROUND(P80*Q80,2)</f>
        <v>0</v>
      </c>
      <c r="S80" s="9" t="s">
        <v>123</v>
      </c>
      <c r="T80" s="119">
        <v>1</v>
      </c>
      <c r="U80" s="129">
        <f t="shared" si="70"/>
        <v>0</v>
      </c>
      <c r="V80" s="11">
        <f t="shared" ref="V80:V87" si="75">ROUND(T80*U80,2)</f>
        <v>0</v>
      </c>
      <c r="W80" s="165">
        <f t="shared" ref="W80:W87" si="76">SUM(V80,R80,N80,J80,F80)</f>
        <v>0</v>
      </c>
    </row>
    <row r="81" spans="1:23" x14ac:dyDescent="0.35">
      <c r="A81" s="28" t="s">
        <v>205</v>
      </c>
      <c r="B81" s="29" t="s">
        <v>206</v>
      </c>
      <c r="C81" s="9" t="s">
        <v>123</v>
      </c>
      <c r="D81" s="119">
        <v>1</v>
      </c>
      <c r="E81" s="25">
        <v>0</v>
      </c>
      <c r="F81" s="11">
        <f t="shared" si="71"/>
        <v>0</v>
      </c>
      <c r="G81" s="9" t="s">
        <v>123</v>
      </c>
      <c r="H81" s="119">
        <v>1</v>
      </c>
      <c r="I81" s="129">
        <f t="shared" si="67"/>
        <v>0</v>
      </c>
      <c r="J81" s="11">
        <f t="shared" si="72"/>
        <v>0</v>
      </c>
      <c r="K81" s="9" t="s">
        <v>123</v>
      </c>
      <c r="L81" s="119">
        <v>1</v>
      </c>
      <c r="M81" s="129">
        <f t="shared" si="68"/>
        <v>0</v>
      </c>
      <c r="N81" s="11">
        <f t="shared" si="73"/>
        <v>0</v>
      </c>
      <c r="O81" s="9" t="s">
        <v>123</v>
      </c>
      <c r="P81" s="119">
        <v>1</v>
      </c>
      <c r="Q81" s="129">
        <f t="shared" si="69"/>
        <v>0</v>
      </c>
      <c r="R81" s="11">
        <f t="shared" si="74"/>
        <v>0</v>
      </c>
      <c r="S81" s="9" t="s">
        <v>123</v>
      </c>
      <c r="T81" s="119">
        <v>1</v>
      </c>
      <c r="U81" s="129">
        <f t="shared" si="70"/>
        <v>0</v>
      </c>
      <c r="V81" s="11">
        <f t="shared" si="75"/>
        <v>0</v>
      </c>
      <c r="W81" s="165">
        <f t="shared" si="76"/>
        <v>0</v>
      </c>
    </row>
    <row r="82" spans="1:23" x14ac:dyDescent="0.35">
      <c r="A82" s="28" t="s">
        <v>207</v>
      </c>
      <c r="B82" s="29" t="s">
        <v>208</v>
      </c>
      <c r="C82" s="9" t="s">
        <v>123</v>
      </c>
      <c r="D82" s="119">
        <v>1</v>
      </c>
      <c r="E82" s="25">
        <v>0</v>
      </c>
      <c r="F82" s="11">
        <f t="shared" si="71"/>
        <v>0</v>
      </c>
      <c r="G82" s="9" t="s">
        <v>123</v>
      </c>
      <c r="H82" s="119">
        <v>1</v>
      </c>
      <c r="I82" s="129">
        <f t="shared" si="67"/>
        <v>0</v>
      </c>
      <c r="J82" s="11">
        <f t="shared" si="72"/>
        <v>0</v>
      </c>
      <c r="K82" s="9" t="s">
        <v>123</v>
      </c>
      <c r="L82" s="119">
        <v>1</v>
      </c>
      <c r="M82" s="129">
        <f t="shared" si="68"/>
        <v>0</v>
      </c>
      <c r="N82" s="11">
        <f t="shared" si="73"/>
        <v>0</v>
      </c>
      <c r="O82" s="9" t="s">
        <v>123</v>
      </c>
      <c r="P82" s="119">
        <v>1</v>
      </c>
      <c r="Q82" s="129">
        <f t="shared" si="69"/>
        <v>0</v>
      </c>
      <c r="R82" s="11">
        <f t="shared" si="74"/>
        <v>0</v>
      </c>
      <c r="S82" s="9" t="s">
        <v>123</v>
      </c>
      <c r="T82" s="119">
        <v>1</v>
      </c>
      <c r="U82" s="129">
        <f t="shared" si="70"/>
        <v>0</v>
      </c>
      <c r="V82" s="11">
        <f t="shared" si="75"/>
        <v>0</v>
      </c>
      <c r="W82" s="165">
        <f t="shared" si="76"/>
        <v>0</v>
      </c>
    </row>
    <row r="83" spans="1:23" x14ac:dyDescent="0.35">
      <c r="A83" s="28" t="s">
        <v>209</v>
      </c>
      <c r="B83" s="29" t="s">
        <v>210</v>
      </c>
      <c r="C83" s="9" t="s">
        <v>123</v>
      </c>
      <c r="D83" s="119">
        <v>1</v>
      </c>
      <c r="E83" s="25">
        <v>0</v>
      </c>
      <c r="F83" s="11">
        <f t="shared" si="71"/>
        <v>0</v>
      </c>
      <c r="G83" s="9" t="s">
        <v>123</v>
      </c>
      <c r="H83" s="119">
        <v>1</v>
      </c>
      <c r="I83" s="129">
        <f t="shared" si="67"/>
        <v>0</v>
      </c>
      <c r="J83" s="11">
        <f t="shared" si="72"/>
        <v>0</v>
      </c>
      <c r="K83" s="9" t="s">
        <v>123</v>
      </c>
      <c r="L83" s="119">
        <v>1</v>
      </c>
      <c r="M83" s="129">
        <f t="shared" si="68"/>
        <v>0</v>
      </c>
      <c r="N83" s="11">
        <f t="shared" si="73"/>
        <v>0</v>
      </c>
      <c r="O83" s="9" t="s">
        <v>123</v>
      </c>
      <c r="P83" s="119">
        <v>1</v>
      </c>
      <c r="Q83" s="129">
        <f t="shared" si="69"/>
        <v>0</v>
      </c>
      <c r="R83" s="11">
        <f t="shared" si="74"/>
        <v>0</v>
      </c>
      <c r="S83" s="9" t="s">
        <v>123</v>
      </c>
      <c r="T83" s="119">
        <v>1</v>
      </c>
      <c r="U83" s="129">
        <f t="shared" si="70"/>
        <v>0</v>
      </c>
      <c r="V83" s="11">
        <f t="shared" si="75"/>
        <v>0</v>
      </c>
      <c r="W83" s="165">
        <f t="shared" si="76"/>
        <v>0</v>
      </c>
    </row>
    <row r="84" spans="1:23" x14ac:dyDescent="0.35">
      <c r="A84" s="28" t="s">
        <v>211</v>
      </c>
      <c r="B84" s="29" t="s">
        <v>212</v>
      </c>
      <c r="C84" s="9" t="s">
        <v>129</v>
      </c>
      <c r="D84" s="119">
        <v>1</v>
      </c>
      <c r="E84" s="25">
        <v>0</v>
      </c>
      <c r="F84" s="11">
        <f t="shared" si="71"/>
        <v>0</v>
      </c>
      <c r="G84" s="9" t="s">
        <v>129</v>
      </c>
      <c r="H84" s="119">
        <v>1</v>
      </c>
      <c r="I84" s="129">
        <f t="shared" si="67"/>
        <v>0</v>
      </c>
      <c r="J84" s="11">
        <f t="shared" si="72"/>
        <v>0</v>
      </c>
      <c r="K84" s="9" t="s">
        <v>129</v>
      </c>
      <c r="L84" s="119">
        <v>1</v>
      </c>
      <c r="M84" s="129">
        <f t="shared" si="68"/>
        <v>0</v>
      </c>
      <c r="N84" s="11">
        <f t="shared" si="73"/>
        <v>0</v>
      </c>
      <c r="O84" s="9" t="s">
        <v>129</v>
      </c>
      <c r="P84" s="119">
        <v>1</v>
      </c>
      <c r="Q84" s="129">
        <f t="shared" si="69"/>
        <v>0</v>
      </c>
      <c r="R84" s="11">
        <f t="shared" si="74"/>
        <v>0</v>
      </c>
      <c r="S84" s="9" t="s">
        <v>129</v>
      </c>
      <c r="T84" s="119">
        <v>1</v>
      </c>
      <c r="U84" s="129">
        <f t="shared" si="70"/>
        <v>0</v>
      </c>
      <c r="V84" s="11">
        <f t="shared" si="75"/>
        <v>0</v>
      </c>
      <c r="W84" s="165">
        <f t="shared" si="76"/>
        <v>0</v>
      </c>
    </row>
    <row r="85" spans="1:23" x14ac:dyDescent="0.35">
      <c r="A85" s="28" t="s">
        <v>213</v>
      </c>
      <c r="B85" s="29" t="s">
        <v>214</v>
      </c>
      <c r="C85" s="9" t="s">
        <v>129</v>
      </c>
      <c r="D85" s="119">
        <v>1</v>
      </c>
      <c r="E85" s="25">
        <v>0</v>
      </c>
      <c r="F85" s="11">
        <f t="shared" si="71"/>
        <v>0</v>
      </c>
      <c r="G85" s="9" t="s">
        <v>129</v>
      </c>
      <c r="H85" s="119">
        <v>1</v>
      </c>
      <c r="I85" s="129">
        <f t="shared" si="67"/>
        <v>0</v>
      </c>
      <c r="J85" s="11">
        <f t="shared" si="72"/>
        <v>0</v>
      </c>
      <c r="K85" s="9" t="s">
        <v>129</v>
      </c>
      <c r="L85" s="119">
        <v>1</v>
      </c>
      <c r="M85" s="129">
        <f t="shared" si="68"/>
        <v>0</v>
      </c>
      <c r="N85" s="11">
        <f t="shared" si="73"/>
        <v>0</v>
      </c>
      <c r="O85" s="9" t="s">
        <v>129</v>
      </c>
      <c r="P85" s="119">
        <v>1</v>
      </c>
      <c r="Q85" s="129">
        <f t="shared" si="69"/>
        <v>0</v>
      </c>
      <c r="R85" s="11">
        <f t="shared" si="74"/>
        <v>0</v>
      </c>
      <c r="S85" s="9" t="s">
        <v>129</v>
      </c>
      <c r="T85" s="119">
        <v>1</v>
      </c>
      <c r="U85" s="129">
        <f t="shared" si="70"/>
        <v>0</v>
      </c>
      <c r="V85" s="11">
        <f t="shared" si="75"/>
        <v>0</v>
      </c>
      <c r="W85" s="165">
        <f t="shared" si="76"/>
        <v>0</v>
      </c>
    </row>
    <row r="86" spans="1:23" x14ac:dyDescent="0.35">
      <c r="A86" s="28" t="s">
        <v>215</v>
      </c>
      <c r="B86" s="29" t="s">
        <v>216</v>
      </c>
      <c r="C86" s="9" t="s">
        <v>129</v>
      </c>
      <c r="D86" s="119">
        <v>1</v>
      </c>
      <c r="E86" s="25">
        <v>0</v>
      </c>
      <c r="F86" s="11">
        <f t="shared" si="71"/>
        <v>0</v>
      </c>
      <c r="G86" s="9" t="s">
        <v>129</v>
      </c>
      <c r="H86" s="119">
        <v>1</v>
      </c>
      <c r="I86" s="129">
        <f t="shared" si="67"/>
        <v>0</v>
      </c>
      <c r="J86" s="11">
        <f t="shared" si="72"/>
        <v>0</v>
      </c>
      <c r="K86" s="9" t="s">
        <v>129</v>
      </c>
      <c r="L86" s="119">
        <v>1</v>
      </c>
      <c r="M86" s="129">
        <f t="shared" si="68"/>
        <v>0</v>
      </c>
      <c r="N86" s="11">
        <f t="shared" si="73"/>
        <v>0</v>
      </c>
      <c r="O86" s="9" t="s">
        <v>129</v>
      </c>
      <c r="P86" s="119">
        <v>1</v>
      </c>
      <c r="Q86" s="129">
        <f t="shared" si="69"/>
        <v>0</v>
      </c>
      <c r="R86" s="11">
        <f t="shared" si="74"/>
        <v>0</v>
      </c>
      <c r="S86" s="9" t="s">
        <v>129</v>
      </c>
      <c r="T86" s="119">
        <v>1</v>
      </c>
      <c r="U86" s="129">
        <f t="shared" si="70"/>
        <v>0</v>
      </c>
      <c r="V86" s="11">
        <f t="shared" si="75"/>
        <v>0</v>
      </c>
      <c r="W86" s="165">
        <f t="shared" si="76"/>
        <v>0</v>
      </c>
    </row>
    <row r="87" spans="1:23" x14ac:dyDescent="0.35">
      <c r="A87" s="28" t="s">
        <v>217</v>
      </c>
      <c r="B87" s="29" t="s">
        <v>218</v>
      </c>
      <c r="C87" s="9" t="s">
        <v>129</v>
      </c>
      <c r="D87" s="119">
        <v>1</v>
      </c>
      <c r="E87" s="25">
        <v>0</v>
      </c>
      <c r="F87" s="11">
        <f t="shared" si="71"/>
        <v>0</v>
      </c>
      <c r="G87" s="9" t="s">
        <v>129</v>
      </c>
      <c r="H87" s="119">
        <v>1</v>
      </c>
      <c r="I87" s="129">
        <f t="shared" si="67"/>
        <v>0</v>
      </c>
      <c r="J87" s="11">
        <f t="shared" si="72"/>
        <v>0</v>
      </c>
      <c r="K87" s="9" t="s">
        <v>129</v>
      </c>
      <c r="L87" s="119">
        <v>1</v>
      </c>
      <c r="M87" s="129">
        <f t="shared" si="68"/>
        <v>0</v>
      </c>
      <c r="N87" s="11">
        <f t="shared" si="73"/>
        <v>0</v>
      </c>
      <c r="O87" s="9" t="s">
        <v>129</v>
      </c>
      <c r="P87" s="119">
        <v>1</v>
      </c>
      <c r="Q87" s="129">
        <f t="shared" si="69"/>
        <v>0</v>
      </c>
      <c r="R87" s="11">
        <f t="shared" si="74"/>
        <v>0</v>
      </c>
      <c r="S87" s="9" t="s">
        <v>129</v>
      </c>
      <c r="T87" s="119">
        <v>1</v>
      </c>
      <c r="U87" s="129">
        <f t="shared" si="70"/>
        <v>0</v>
      </c>
      <c r="V87" s="11">
        <f t="shared" si="75"/>
        <v>0</v>
      </c>
      <c r="W87" s="165">
        <f t="shared" si="76"/>
        <v>0</v>
      </c>
    </row>
    <row r="88" spans="1:23" x14ac:dyDescent="0.35">
      <c r="A88" s="28"/>
      <c r="B88" s="29"/>
      <c r="C88" s="9"/>
      <c r="D88" s="10"/>
      <c r="E88" s="25"/>
      <c r="F88" s="11"/>
      <c r="G88" s="9"/>
      <c r="H88" s="10"/>
      <c r="I88" s="25"/>
      <c r="J88" s="11"/>
      <c r="K88" s="9"/>
      <c r="L88" s="10"/>
      <c r="M88" s="25"/>
      <c r="N88" s="11"/>
      <c r="O88" s="9"/>
      <c r="P88" s="10"/>
      <c r="Q88" s="25"/>
      <c r="R88" s="11"/>
      <c r="S88" s="9"/>
      <c r="T88" s="10"/>
      <c r="U88" s="25"/>
      <c r="V88" s="11"/>
      <c r="W88" s="44"/>
    </row>
    <row r="89" spans="1:23" x14ac:dyDescent="0.35">
      <c r="A89" s="16"/>
      <c r="B89" s="17"/>
      <c r="C89" s="18"/>
      <c r="D89" s="19"/>
      <c r="E89" s="20"/>
      <c r="F89" s="21"/>
      <c r="G89" s="18"/>
      <c r="H89" s="19"/>
      <c r="I89" s="20"/>
      <c r="J89" s="21"/>
      <c r="K89" s="18"/>
      <c r="L89" s="19"/>
      <c r="M89" s="20"/>
      <c r="N89" s="21"/>
      <c r="O89" s="18"/>
      <c r="P89" s="19"/>
      <c r="Q89" s="20"/>
      <c r="R89" s="21"/>
      <c r="S89" s="18"/>
      <c r="T89" s="19"/>
      <c r="U89" s="20"/>
      <c r="V89" s="21"/>
      <c r="W89" s="49"/>
    </row>
    <row r="90" spans="1:23" x14ac:dyDescent="0.35">
      <c r="A90" s="16"/>
      <c r="B90" s="17"/>
      <c r="C90" s="16"/>
      <c r="D90" s="19"/>
      <c r="E90" s="24" t="s">
        <v>219</v>
      </c>
      <c r="F90" s="21">
        <f>SUM(F79:F88)</f>
        <v>0</v>
      </c>
      <c r="G90" s="16"/>
      <c r="H90" s="19"/>
      <c r="I90" s="24" t="s">
        <v>219</v>
      </c>
      <c r="J90" s="21">
        <f>SUM(J79:J88)</f>
        <v>0</v>
      </c>
      <c r="K90" s="16"/>
      <c r="L90" s="19"/>
      <c r="M90" s="24" t="s">
        <v>219</v>
      </c>
      <c r="N90" s="21">
        <f>SUM(N79:N88)</f>
        <v>0</v>
      </c>
      <c r="O90" s="16"/>
      <c r="P90" s="19"/>
      <c r="Q90" s="24" t="s">
        <v>219</v>
      </c>
      <c r="R90" s="21">
        <f>SUM(R79:R88)</f>
        <v>0</v>
      </c>
      <c r="S90" s="16"/>
      <c r="T90" s="19"/>
      <c r="U90" s="24" t="s">
        <v>219</v>
      </c>
      <c r="V90" s="21">
        <f>SUM(V79:V88)</f>
        <v>0</v>
      </c>
      <c r="W90" s="165">
        <f>SUM(V90,R90,N90,J90,F90)</f>
        <v>0</v>
      </c>
    </row>
    <row r="91" spans="1:23" x14ac:dyDescent="0.35">
      <c r="A91" s="36"/>
      <c r="B91" s="36"/>
      <c r="C91" s="36"/>
      <c r="D91" s="36"/>
      <c r="E91" s="36"/>
      <c r="F91" s="36"/>
      <c r="G91" s="36"/>
      <c r="H91" s="36"/>
      <c r="I91" s="36"/>
      <c r="J91" s="36"/>
      <c r="K91" s="36"/>
      <c r="L91" s="36"/>
      <c r="M91" s="36"/>
      <c r="N91" s="36"/>
      <c r="O91" s="36"/>
      <c r="P91" s="36"/>
      <c r="Q91" s="36"/>
      <c r="R91" s="36"/>
      <c r="S91" s="36"/>
      <c r="T91" s="36"/>
      <c r="U91" s="36"/>
      <c r="V91" s="36"/>
      <c r="W91" s="36"/>
    </row>
    <row r="92" spans="1:23" x14ac:dyDescent="0.35">
      <c r="C92" s="192" t="s">
        <v>86</v>
      </c>
      <c r="D92" s="192"/>
      <c r="E92" s="192"/>
      <c r="F92" s="192"/>
      <c r="G92" s="192" t="s">
        <v>87</v>
      </c>
      <c r="H92" s="192"/>
      <c r="I92" s="192"/>
      <c r="J92" s="192"/>
      <c r="K92" s="192" t="s">
        <v>88</v>
      </c>
      <c r="L92" s="192"/>
      <c r="M92" s="192"/>
      <c r="N92" s="192"/>
      <c r="O92" s="192" t="s">
        <v>89</v>
      </c>
      <c r="P92" s="192"/>
      <c r="Q92" s="192"/>
      <c r="R92" s="192"/>
      <c r="S92" s="192" t="s">
        <v>90</v>
      </c>
      <c r="T92" s="192"/>
      <c r="U92" s="192"/>
      <c r="V92" s="192"/>
      <c r="W92" s="45"/>
    </row>
    <row r="93" spans="1:23" s="148" customFormat="1" x14ac:dyDescent="0.35">
      <c r="A93" s="188" t="s">
        <v>220</v>
      </c>
      <c r="B93" s="188"/>
      <c r="C93" s="190" t="s">
        <v>221</v>
      </c>
      <c r="D93" s="190"/>
      <c r="E93" s="190"/>
      <c r="F93" s="190"/>
      <c r="G93" s="190" t="s">
        <v>222</v>
      </c>
      <c r="H93" s="190"/>
      <c r="I93" s="190"/>
      <c r="J93" s="190"/>
      <c r="K93" s="190" t="s">
        <v>223</v>
      </c>
      <c r="L93" s="190"/>
      <c r="M93" s="190"/>
      <c r="N93" s="190"/>
      <c r="O93" s="190" t="s">
        <v>224</v>
      </c>
      <c r="P93" s="190"/>
      <c r="Q93" s="190"/>
      <c r="R93" s="190"/>
      <c r="S93" s="190" t="s">
        <v>225</v>
      </c>
      <c r="T93" s="190"/>
      <c r="U93" s="190"/>
      <c r="V93" s="190"/>
      <c r="W93" s="147"/>
    </row>
    <row r="94" spans="1:23" x14ac:dyDescent="0.35">
      <c r="A94" s="8" t="s">
        <v>96</v>
      </c>
      <c r="B94" s="12" t="s">
        <v>12</v>
      </c>
      <c r="C94" s="4" t="s">
        <v>97</v>
      </c>
      <c r="D94" s="55" t="s">
        <v>98</v>
      </c>
      <c r="E94" s="56" t="s">
        <v>99</v>
      </c>
      <c r="F94" s="6" t="s">
        <v>100</v>
      </c>
      <c r="G94" s="4" t="s">
        <v>97</v>
      </c>
      <c r="H94" s="55" t="s">
        <v>98</v>
      </c>
      <c r="I94" s="56" t="s">
        <v>99</v>
      </c>
      <c r="J94" s="6" t="s">
        <v>100</v>
      </c>
      <c r="K94" s="4" t="s">
        <v>97</v>
      </c>
      <c r="L94" s="55" t="s">
        <v>98</v>
      </c>
      <c r="M94" s="56" t="s">
        <v>99</v>
      </c>
      <c r="N94" s="6" t="s">
        <v>100</v>
      </c>
      <c r="O94" s="4" t="s">
        <v>97</v>
      </c>
      <c r="P94" s="55" t="s">
        <v>98</v>
      </c>
      <c r="Q94" s="56" t="s">
        <v>99</v>
      </c>
      <c r="R94" s="6" t="s">
        <v>100</v>
      </c>
      <c r="S94" s="4" t="s">
        <v>97</v>
      </c>
      <c r="T94" s="55" t="s">
        <v>98</v>
      </c>
      <c r="U94" s="56" t="s">
        <v>99</v>
      </c>
      <c r="V94" s="6" t="s">
        <v>100</v>
      </c>
      <c r="W94" s="44"/>
    </row>
    <row r="95" spans="1:23" x14ac:dyDescent="0.35">
      <c r="A95" s="2" t="s">
        <v>226</v>
      </c>
      <c r="B95" s="14" t="s">
        <v>227</v>
      </c>
      <c r="C95" s="9" t="s">
        <v>129</v>
      </c>
      <c r="D95" s="10">
        <v>1</v>
      </c>
      <c r="E95" s="144">
        <v>0</v>
      </c>
      <c r="F95" s="107">
        <f>D95*E95</f>
        <v>0</v>
      </c>
      <c r="G95" s="9" t="s">
        <v>129</v>
      </c>
      <c r="H95" s="10">
        <v>0</v>
      </c>
      <c r="I95" s="11"/>
      <c r="J95" s="107">
        <f>H95*I95</f>
        <v>0</v>
      </c>
      <c r="K95" s="9" t="s">
        <v>129</v>
      </c>
      <c r="L95" s="10">
        <v>0</v>
      </c>
      <c r="M95" s="11"/>
      <c r="N95" s="107">
        <f>L95*M95</f>
        <v>0</v>
      </c>
      <c r="O95" s="9" t="s">
        <v>129</v>
      </c>
      <c r="P95" s="10">
        <v>0</v>
      </c>
      <c r="Q95" s="11"/>
      <c r="R95" s="107">
        <f>P95*Q95</f>
        <v>0</v>
      </c>
      <c r="S95" s="9" t="s">
        <v>129</v>
      </c>
      <c r="T95" s="10">
        <v>0</v>
      </c>
      <c r="U95" s="11"/>
      <c r="V95" s="107">
        <f>T95*U95</f>
        <v>0</v>
      </c>
      <c r="W95" s="165">
        <f>SUM(V95,R95,N95,J95,F95)</f>
        <v>0</v>
      </c>
    </row>
    <row r="96" spans="1:23" x14ac:dyDescent="0.35">
      <c r="A96" s="8"/>
      <c r="B96" s="14"/>
      <c r="C96" s="9"/>
      <c r="D96" s="10"/>
      <c r="E96" s="11"/>
      <c r="F96" s="107"/>
      <c r="G96" s="9"/>
      <c r="H96" s="10"/>
      <c r="I96" s="11"/>
      <c r="J96" s="107"/>
      <c r="K96" s="9"/>
      <c r="L96" s="10"/>
      <c r="M96" s="11"/>
      <c r="N96" s="107"/>
      <c r="O96" s="9"/>
      <c r="P96" s="10"/>
      <c r="Q96" s="11"/>
      <c r="R96" s="107"/>
      <c r="S96" s="9"/>
      <c r="T96" s="10"/>
      <c r="U96" s="11"/>
      <c r="V96" s="107"/>
      <c r="W96" s="44"/>
    </row>
    <row r="97" spans="1:23" x14ac:dyDescent="0.35">
      <c r="A97" s="62"/>
      <c r="B97" s="14"/>
      <c r="C97" s="9"/>
      <c r="D97" s="10"/>
      <c r="E97" s="24" t="s">
        <v>228</v>
      </c>
      <c r="F97" s="21">
        <f>SUM(F95)</f>
        <v>0</v>
      </c>
      <c r="G97" s="9"/>
      <c r="H97" s="10"/>
      <c r="I97" s="24" t="s">
        <v>228</v>
      </c>
      <c r="J97" s="21">
        <f>SUM(J95)</f>
        <v>0</v>
      </c>
      <c r="K97" s="9"/>
      <c r="L97" s="10"/>
      <c r="M97" s="24" t="s">
        <v>228</v>
      </c>
      <c r="N97" s="21">
        <f>SUM(N95)</f>
        <v>0</v>
      </c>
      <c r="O97" s="9"/>
      <c r="P97" s="10"/>
      <c r="Q97" s="24" t="s">
        <v>228</v>
      </c>
      <c r="R97" s="21">
        <f>SUM(R95)</f>
        <v>0</v>
      </c>
      <c r="S97" s="9"/>
      <c r="T97" s="10"/>
      <c r="U97" s="24" t="s">
        <v>228</v>
      </c>
      <c r="V97" s="21">
        <f>SUM(V95)</f>
        <v>0</v>
      </c>
      <c r="W97" s="165">
        <f>SUM(V97,R97,N97,J97,F97)</f>
        <v>0</v>
      </c>
    </row>
    <row r="98" spans="1:23" x14ac:dyDescent="0.35">
      <c r="A98" s="35"/>
      <c r="B98" s="36"/>
      <c r="C98" s="37"/>
      <c r="D98" s="38"/>
      <c r="E98" s="38"/>
      <c r="F98" s="36"/>
      <c r="G98" s="37"/>
      <c r="H98" s="38"/>
      <c r="I98" s="38"/>
      <c r="J98" s="36"/>
      <c r="K98" s="37"/>
      <c r="L98" s="38"/>
      <c r="M98" s="38"/>
      <c r="N98" s="36"/>
      <c r="O98" s="37"/>
      <c r="P98" s="38"/>
      <c r="Q98" s="38"/>
      <c r="R98" s="36"/>
      <c r="S98" s="37"/>
      <c r="T98" s="38"/>
      <c r="U98" s="38"/>
      <c r="V98" s="36"/>
      <c r="W98" s="46"/>
    </row>
    <row r="99" spans="1:23" x14ac:dyDescent="0.35">
      <c r="C99" s="192" t="s">
        <v>86</v>
      </c>
      <c r="D99" s="192"/>
      <c r="E99" s="192"/>
      <c r="F99" s="192"/>
      <c r="G99" s="192" t="s">
        <v>87</v>
      </c>
      <c r="H99" s="192"/>
      <c r="I99" s="192"/>
      <c r="J99" s="192"/>
      <c r="K99" s="192" t="s">
        <v>88</v>
      </c>
      <c r="L99" s="192"/>
      <c r="M99" s="192"/>
      <c r="N99" s="192"/>
      <c r="O99" s="192" t="s">
        <v>89</v>
      </c>
      <c r="P99" s="192"/>
      <c r="Q99" s="192"/>
      <c r="R99" s="192"/>
      <c r="S99" s="192" t="s">
        <v>90</v>
      </c>
      <c r="T99" s="192"/>
      <c r="U99" s="192"/>
      <c r="V99" s="192"/>
      <c r="W99" s="45"/>
    </row>
    <row r="100" spans="1:23" s="148" customFormat="1" x14ac:dyDescent="0.35">
      <c r="A100" s="188" t="s">
        <v>229</v>
      </c>
      <c r="B100" s="188"/>
      <c r="C100" s="190" t="s">
        <v>230</v>
      </c>
      <c r="D100" s="190"/>
      <c r="E100" s="190"/>
      <c r="F100" s="190"/>
      <c r="G100" s="190" t="s">
        <v>231</v>
      </c>
      <c r="H100" s="190"/>
      <c r="I100" s="190"/>
      <c r="J100" s="190"/>
      <c r="K100" s="190" t="s">
        <v>232</v>
      </c>
      <c r="L100" s="190"/>
      <c r="M100" s="190"/>
      <c r="N100" s="190"/>
      <c r="O100" s="190" t="s">
        <v>233</v>
      </c>
      <c r="P100" s="190"/>
      <c r="Q100" s="190"/>
      <c r="R100" s="190"/>
      <c r="S100" s="190" t="s">
        <v>234</v>
      </c>
      <c r="T100" s="190"/>
      <c r="U100" s="190"/>
      <c r="V100" s="190"/>
      <c r="W100" s="147"/>
    </row>
    <row r="101" spans="1:23" x14ac:dyDescent="0.35">
      <c r="A101" s="8" t="s">
        <v>96</v>
      </c>
      <c r="B101" s="12" t="s">
        <v>12</v>
      </c>
      <c r="C101" s="4" t="s">
        <v>97</v>
      </c>
      <c r="D101" s="55" t="s">
        <v>98</v>
      </c>
      <c r="E101" s="56" t="s">
        <v>99</v>
      </c>
      <c r="F101" s="6" t="s">
        <v>100</v>
      </c>
      <c r="G101" s="4" t="s">
        <v>97</v>
      </c>
      <c r="H101" s="55" t="s">
        <v>98</v>
      </c>
      <c r="I101" s="56" t="s">
        <v>99</v>
      </c>
      <c r="J101" s="6" t="s">
        <v>100</v>
      </c>
      <c r="K101" s="4" t="s">
        <v>97</v>
      </c>
      <c r="L101" s="55" t="s">
        <v>98</v>
      </c>
      <c r="M101" s="56" t="s">
        <v>99</v>
      </c>
      <c r="N101" s="6" t="s">
        <v>100</v>
      </c>
      <c r="O101" s="4" t="s">
        <v>97</v>
      </c>
      <c r="P101" s="55" t="s">
        <v>98</v>
      </c>
      <c r="Q101" s="56" t="s">
        <v>99</v>
      </c>
      <c r="R101" s="6" t="s">
        <v>100</v>
      </c>
      <c r="S101" s="4" t="s">
        <v>97</v>
      </c>
      <c r="T101" s="55" t="s">
        <v>98</v>
      </c>
      <c r="U101" s="56" t="s">
        <v>99</v>
      </c>
      <c r="V101" s="6" t="s">
        <v>100</v>
      </c>
      <c r="W101" s="44"/>
    </row>
    <row r="102" spans="1:23" x14ac:dyDescent="0.35">
      <c r="A102" s="2" t="s">
        <v>235</v>
      </c>
      <c r="B102" s="3" t="s">
        <v>340</v>
      </c>
      <c r="C102" s="9" t="s">
        <v>104</v>
      </c>
      <c r="D102" s="10">
        <v>0</v>
      </c>
      <c r="E102" s="176"/>
      <c r="F102" s="161">
        <f>D102*E102</f>
        <v>0</v>
      </c>
      <c r="G102" s="9" t="s">
        <v>104</v>
      </c>
      <c r="H102" s="10">
        <v>1</v>
      </c>
      <c r="I102" s="121">
        <v>0</v>
      </c>
      <c r="J102" s="107">
        <f>H102*I102</f>
        <v>0</v>
      </c>
      <c r="K102" s="9" t="s">
        <v>104</v>
      </c>
      <c r="L102" s="119">
        <v>1</v>
      </c>
      <c r="M102" s="129">
        <f t="shared" ref="M102:M103" si="77">I102*1.05</f>
        <v>0</v>
      </c>
      <c r="N102" s="107">
        <f>L102*M102</f>
        <v>0</v>
      </c>
      <c r="O102" s="9" t="s">
        <v>104</v>
      </c>
      <c r="P102" s="119">
        <v>1</v>
      </c>
      <c r="Q102" s="129">
        <f t="shared" ref="Q102:Q103" si="78">M102*1.05</f>
        <v>0</v>
      </c>
      <c r="R102" s="107">
        <f>P102*Q102</f>
        <v>0</v>
      </c>
      <c r="S102" s="9" t="s">
        <v>104</v>
      </c>
      <c r="T102" s="119">
        <v>1</v>
      </c>
      <c r="U102" s="129">
        <f t="shared" ref="U102:U103" si="79">Q102*1.05</f>
        <v>0</v>
      </c>
      <c r="V102" s="107">
        <f>T102*U102</f>
        <v>0</v>
      </c>
      <c r="W102" s="165">
        <f>SUM(V102,R102,N102,J102,F102)</f>
        <v>0</v>
      </c>
    </row>
    <row r="103" spans="1:23" x14ac:dyDescent="0.35">
      <c r="A103" s="2" t="s">
        <v>237</v>
      </c>
      <c r="B103" s="3" t="s">
        <v>238</v>
      </c>
      <c r="C103" s="9" t="s">
        <v>104</v>
      </c>
      <c r="D103" s="10">
        <v>0</v>
      </c>
      <c r="E103" s="176"/>
      <c r="F103" s="161">
        <f>D103*E103</f>
        <v>0</v>
      </c>
      <c r="G103" s="9" t="s">
        <v>104</v>
      </c>
      <c r="H103" s="10">
        <v>1</v>
      </c>
      <c r="I103" s="121">
        <v>0</v>
      </c>
      <c r="J103" s="107">
        <f>H103*I103</f>
        <v>0</v>
      </c>
      <c r="K103" s="9" t="s">
        <v>104</v>
      </c>
      <c r="L103" s="119">
        <v>1</v>
      </c>
      <c r="M103" s="129">
        <f t="shared" si="77"/>
        <v>0</v>
      </c>
      <c r="N103" s="107">
        <f>L103*M103</f>
        <v>0</v>
      </c>
      <c r="O103" s="9" t="s">
        <v>104</v>
      </c>
      <c r="P103" s="119">
        <v>1</v>
      </c>
      <c r="Q103" s="129">
        <f t="shared" si="78"/>
        <v>0</v>
      </c>
      <c r="R103" s="107">
        <f>P103*Q103</f>
        <v>0</v>
      </c>
      <c r="S103" s="9" t="s">
        <v>104</v>
      </c>
      <c r="T103" s="119">
        <v>1</v>
      </c>
      <c r="U103" s="129">
        <f t="shared" si="79"/>
        <v>0</v>
      </c>
      <c r="V103" s="107">
        <f>T103*U103</f>
        <v>0</v>
      </c>
      <c r="W103" s="165">
        <f t="shared" ref="W103:W104" si="80">SUM(V103,R103,N103,J103,F103)</f>
        <v>0</v>
      </c>
    </row>
    <row r="104" spans="1:23" x14ac:dyDescent="0.35">
      <c r="A104" s="108"/>
      <c r="B104" s="109"/>
      <c r="C104" s="110"/>
      <c r="D104" s="111"/>
      <c r="E104" s="139" t="s">
        <v>239</v>
      </c>
      <c r="F104" s="113">
        <f>F103+F102</f>
        <v>0</v>
      </c>
      <c r="G104" s="110"/>
      <c r="H104" s="111"/>
      <c r="I104" s="139" t="s">
        <v>239</v>
      </c>
      <c r="J104" s="113">
        <f>J103+J102</f>
        <v>0</v>
      </c>
      <c r="K104" s="110"/>
      <c r="L104" s="111"/>
      <c r="M104" s="139" t="s">
        <v>239</v>
      </c>
      <c r="N104" s="113">
        <f>N103+N102</f>
        <v>0</v>
      </c>
      <c r="O104" s="110"/>
      <c r="P104" s="111"/>
      <c r="Q104" s="139" t="s">
        <v>239</v>
      </c>
      <c r="R104" s="113">
        <f>R103+R102</f>
        <v>0</v>
      </c>
      <c r="S104" s="110"/>
      <c r="T104" s="111"/>
      <c r="U104" s="139" t="s">
        <v>239</v>
      </c>
      <c r="V104" s="113">
        <f>V103+V102</f>
        <v>0</v>
      </c>
      <c r="W104" s="165">
        <f t="shared" si="80"/>
        <v>0</v>
      </c>
    </row>
    <row r="105" spans="1:23" x14ac:dyDescent="0.35">
      <c r="A105" s="35"/>
      <c r="B105" s="36"/>
      <c r="C105" s="37"/>
      <c r="D105" s="38"/>
      <c r="E105" s="38"/>
      <c r="F105" s="36"/>
      <c r="G105" s="37"/>
      <c r="H105" s="38"/>
      <c r="I105" s="38"/>
      <c r="J105" s="36"/>
      <c r="K105" s="37"/>
      <c r="L105" s="38"/>
      <c r="M105" s="38"/>
      <c r="N105" s="36"/>
      <c r="O105" s="37"/>
      <c r="P105" s="38"/>
      <c r="Q105" s="38"/>
      <c r="R105" s="36"/>
      <c r="S105" s="37"/>
      <c r="T105" s="38"/>
      <c r="U105" s="38"/>
      <c r="V105" s="36"/>
      <c r="W105" s="46"/>
    </row>
    <row r="106" spans="1:23" x14ac:dyDescent="0.35">
      <c r="C106" s="192" t="s">
        <v>86</v>
      </c>
      <c r="D106" s="192"/>
      <c r="E106" s="192"/>
      <c r="F106" s="192"/>
      <c r="G106" s="192" t="s">
        <v>87</v>
      </c>
      <c r="H106" s="192"/>
      <c r="I106" s="192"/>
      <c r="J106" s="192"/>
      <c r="K106" s="192" t="s">
        <v>88</v>
      </c>
      <c r="L106" s="192"/>
      <c r="M106" s="192"/>
      <c r="N106" s="192"/>
      <c r="O106" s="192" t="s">
        <v>89</v>
      </c>
      <c r="P106" s="192"/>
      <c r="Q106" s="192"/>
      <c r="R106" s="192"/>
      <c r="S106" s="192" t="s">
        <v>90</v>
      </c>
      <c r="T106" s="192"/>
      <c r="U106" s="192"/>
      <c r="V106" s="192"/>
      <c r="W106" s="45"/>
    </row>
    <row r="107" spans="1:23" s="148" customFormat="1" x14ac:dyDescent="0.35">
      <c r="A107" s="188" t="s">
        <v>341</v>
      </c>
      <c r="B107" s="188"/>
      <c r="C107" s="193" t="s">
        <v>241</v>
      </c>
      <c r="D107" s="194"/>
      <c r="E107" s="194"/>
      <c r="F107" s="195"/>
      <c r="G107" s="193" t="s">
        <v>242</v>
      </c>
      <c r="H107" s="194"/>
      <c r="I107" s="194"/>
      <c r="J107" s="195"/>
      <c r="K107" s="193" t="s">
        <v>243</v>
      </c>
      <c r="L107" s="194"/>
      <c r="M107" s="194"/>
      <c r="N107" s="195"/>
      <c r="O107" s="193" t="s">
        <v>244</v>
      </c>
      <c r="P107" s="194"/>
      <c r="Q107" s="194"/>
      <c r="R107" s="195"/>
      <c r="S107" s="193" t="s">
        <v>245</v>
      </c>
      <c r="T107" s="194"/>
      <c r="U107" s="194"/>
      <c r="V107" s="195"/>
      <c r="W107" s="147"/>
    </row>
    <row r="108" spans="1:23" x14ac:dyDescent="0.35">
      <c r="A108" s="8" t="s">
        <v>96</v>
      </c>
      <c r="B108" s="12" t="s">
        <v>12</v>
      </c>
      <c r="C108" s="4" t="s">
        <v>97</v>
      </c>
      <c r="D108" s="55" t="s">
        <v>98</v>
      </c>
      <c r="E108" s="56" t="s">
        <v>99</v>
      </c>
      <c r="F108" s="6" t="s">
        <v>100</v>
      </c>
      <c r="G108" s="4" t="s">
        <v>97</v>
      </c>
      <c r="H108" s="55" t="s">
        <v>98</v>
      </c>
      <c r="I108" s="56" t="s">
        <v>99</v>
      </c>
      <c r="J108" s="6" t="s">
        <v>100</v>
      </c>
      <c r="K108" s="4" t="s">
        <v>97</v>
      </c>
      <c r="L108" s="55" t="s">
        <v>98</v>
      </c>
      <c r="M108" s="56" t="s">
        <v>99</v>
      </c>
      <c r="N108" s="6" t="s">
        <v>100</v>
      </c>
      <c r="O108" s="4" t="s">
        <v>97</v>
      </c>
      <c r="P108" s="55" t="s">
        <v>98</v>
      </c>
      <c r="Q108" s="56" t="s">
        <v>99</v>
      </c>
      <c r="R108" s="6" t="s">
        <v>100</v>
      </c>
      <c r="S108" s="4" t="s">
        <v>97</v>
      </c>
      <c r="T108" s="55" t="s">
        <v>98</v>
      </c>
      <c r="U108" s="56" t="s">
        <v>99</v>
      </c>
      <c r="V108" s="6" t="s">
        <v>100</v>
      </c>
      <c r="W108" s="44"/>
    </row>
    <row r="109" spans="1:23" x14ac:dyDescent="0.35">
      <c r="A109" s="2" t="s">
        <v>246</v>
      </c>
      <c r="B109" s="3" t="s">
        <v>340</v>
      </c>
      <c r="C109" s="9" t="s">
        <v>104</v>
      </c>
      <c r="D109" s="10">
        <v>0</v>
      </c>
      <c r="E109" s="176"/>
      <c r="F109" s="161">
        <f>D109*E109</f>
        <v>0</v>
      </c>
      <c r="G109" s="9" t="s">
        <v>104</v>
      </c>
      <c r="H109" s="10">
        <v>1</v>
      </c>
      <c r="I109" s="121">
        <v>0</v>
      </c>
      <c r="J109" s="107">
        <f>H109*I109</f>
        <v>0</v>
      </c>
      <c r="K109" s="9" t="s">
        <v>104</v>
      </c>
      <c r="L109" s="10">
        <v>1</v>
      </c>
      <c r="M109" s="121">
        <v>0</v>
      </c>
      <c r="N109" s="107">
        <f>L109*M109</f>
        <v>0</v>
      </c>
      <c r="O109" s="9" t="s">
        <v>104</v>
      </c>
      <c r="P109" s="10">
        <v>1</v>
      </c>
      <c r="Q109" s="121">
        <v>0</v>
      </c>
      <c r="R109" s="107">
        <f>P109*Q109</f>
        <v>0</v>
      </c>
      <c r="S109" s="9" t="s">
        <v>104</v>
      </c>
      <c r="T109" s="10">
        <v>1</v>
      </c>
      <c r="U109" s="121">
        <v>0</v>
      </c>
      <c r="V109" s="107">
        <f>T109*U109</f>
        <v>0</v>
      </c>
      <c r="W109" s="165">
        <f>SUM(V109,R109,N109,J109,F109)</f>
        <v>0</v>
      </c>
    </row>
    <row r="110" spans="1:23" x14ac:dyDescent="0.35">
      <c r="A110" s="2" t="s">
        <v>247</v>
      </c>
      <c r="B110" s="3" t="s">
        <v>238</v>
      </c>
      <c r="C110" s="9" t="s">
        <v>104</v>
      </c>
      <c r="D110" s="10">
        <v>0</v>
      </c>
      <c r="E110" s="176"/>
      <c r="F110" s="161">
        <f>D110*E110</f>
        <v>0</v>
      </c>
      <c r="G110" s="9" t="s">
        <v>104</v>
      </c>
      <c r="H110" s="10">
        <v>1</v>
      </c>
      <c r="I110" s="121">
        <v>0</v>
      </c>
      <c r="J110" s="107">
        <f>H110*I110</f>
        <v>0</v>
      </c>
      <c r="K110" s="9" t="s">
        <v>104</v>
      </c>
      <c r="L110" s="10">
        <v>1</v>
      </c>
      <c r="M110" s="121">
        <v>0</v>
      </c>
      <c r="N110" s="107">
        <f>L110*M110</f>
        <v>0</v>
      </c>
      <c r="O110" s="9" t="s">
        <v>104</v>
      </c>
      <c r="P110" s="10">
        <v>1</v>
      </c>
      <c r="Q110" s="121">
        <v>0</v>
      </c>
      <c r="R110" s="107">
        <f>P110*Q110</f>
        <v>0</v>
      </c>
      <c r="S110" s="9" t="s">
        <v>104</v>
      </c>
      <c r="T110" s="10">
        <v>1</v>
      </c>
      <c r="U110" s="121">
        <v>0</v>
      </c>
      <c r="V110" s="107">
        <f>T110*U110</f>
        <v>0</v>
      </c>
      <c r="W110" s="165">
        <f t="shared" ref="W110:W111" si="81">SUM(V110,R110,N110,J110,F110)</f>
        <v>0</v>
      </c>
    </row>
    <row r="111" spans="1:23" x14ac:dyDescent="0.35">
      <c r="A111" s="108"/>
      <c r="B111" s="109"/>
      <c r="C111" s="110"/>
      <c r="D111" s="111"/>
      <c r="E111" s="139" t="s">
        <v>248</v>
      </c>
      <c r="F111" s="113">
        <f>F110+F109</f>
        <v>0</v>
      </c>
      <c r="G111" s="110"/>
      <c r="H111" s="111"/>
      <c r="I111" s="139" t="s">
        <v>248</v>
      </c>
      <c r="J111" s="113">
        <f>J110+J109</f>
        <v>0</v>
      </c>
      <c r="K111" s="110"/>
      <c r="L111" s="111"/>
      <c r="M111" s="139" t="s">
        <v>248</v>
      </c>
      <c r="N111" s="113">
        <f>N110+N109</f>
        <v>0</v>
      </c>
      <c r="O111" s="110"/>
      <c r="P111" s="111"/>
      <c r="Q111" s="139" t="s">
        <v>248</v>
      </c>
      <c r="R111" s="113">
        <f>R110+R109</f>
        <v>0</v>
      </c>
      <c r="S111" s="110"/>
      <c r="T111" s="111"/>
      <c r="U111" s="139" t="s">
        <v>248</v>
      </c>
      <c r="V111" s="113">
        <f>V110+V109</f>
        <v>0</v>
      </c>
      <c r="W111" s="165">
        <f t="shared" si="81"/>
        <v>0</v>
      </c>
    </row>
    <row r="112" spans="1:23" x14ac:dyDescent="0.35">
      <c r="A112" s="134"/>
      <c r="B112" s="135"/>
      <c r="C112" s="136"/>
      <c r="D112" s="137"/>
      <c r="E112" s="137"/>
      <c r="F112" s="135"/>
      <c r="G112" s="136"/>
      <c r="H112" s="137"/>
      <c r="I112" s="137"/>
      <c r="J112" s="135"/>
      <c r="K112" s="136"/>
      <c r="L112" s="137"/>
      <c r="M112" s="137"/>
      <c r="N112" s="135"/>
      <c r="O112" s="136"/>
      <c r="P112" s="137"/>
      <c r="Q112" s="137"/>
      <c r="R112" s="135"/>
      <c r="S112" s="136"/>
      <c r="T112" s="137"/>
      <c r="U112" s="137"/>
      <c r="V112" s="135"/>
      <c r="W112" s="46"/>
    </row>
    <row r="113" spans="1:23" x14ac:dyDescent="0.35">
      <c r="C113" s="192" t="s">
        <v>86</v>
      </c>
      <c r="D113" s="192"/>
      <c r="E113" s="192"/>
      <c r="F113" s="192"/>
      <c r="G113" s="192" t="s">
        <v>87</v>
      </c>
      <c r="H113" s="192"/>
      <c r="I113" s="192"/>
      <c r="J113" s="192"/>
      <c r="K113" s="192" t="s">
        <v>88</v>
      </c>
      <c r="L113" s="192"/>
      <c r="M113" s="192"/>
      <c r="N113" s="192"/>
      <c r="O113" s="192" t="s">
        <v>89</v>
      </c>
      <c r="P113" s="192"/>
      <c r="Q113" s="192"/>
      <c r="R113" s="192"/>
      <c r="S113" s="192" t="s">
        <v>90</v>
      </c>
      <c r="T113" s="192"/>
      <c r="U113" s="192"/>
      <c r="V113" s="192"/>
      <c r="W113" s="45"/>
    </row>
    <row r="114" spans="1:23" s="148" customFormat="1" x14ac:dyDescent="0.35">
      <c r="A114" s="188" t="s">
        <v>249</v>
      </c>
      <c r="B114" s="188"/>
      <c r="C114" s="190" t="s">
        <v>250</v>
      </c>
      <c r="D114" s="190"/>
      <c r="E114" s="190"/>
      <c r="F114" s="190"/>
      <c r="G114" s="190" t="s">
        <v>251</v>
      </c>
      <c r="H114" s="190"/>
      <c r="I114" s="190"/>
      <c r="J114" s="190"/>
      <c r="K114" s="190" t="s">
        <v>252</v>
      </c>
      <c r="L114" s="190"/>
      <c r="M114" s="190"/>
      <c r="N114" s="190"/>
      <c r="O114" s="190" t="s">
        <v>253</v>
      </c>
      <c r="P114" s="190"/>
      <c r="Q114" s="190"/>
      <c r="R114" s="190"/>
      <c r="S114" s="190" t="s">
        <v>254</v>
      </c>
      <c r="T114" s="190"/>
      <c r="U114" s="190"/>
      <c r="V114" s="190"/>
      <c r="W114" s="147"/>
    </row>
    <row r="115" spans="1:23" x14ac:dyDescent="0.35">
      <c r="A115" s="8" t="s">
        <v>96</v>
      </c>
      <c r="B115" s="12" t="s">
        <v>12</v>
      </c>
      <c r="C115" s="4" t="s">
        <v>97</v>
      </c>
      <c r="D115" s="55" t="s">
        <v>98</v>
      </c>
      <c r="E115" s="5" t="s">
        <v>99</v>
      </c>
      <c r="F115" s="6" t="s">
        <v>100</v>
      </c>
      <c r="G115" s="4" t="s">
        <v>97</v>
      </c>
      <c r="H115" s="55" t="s">
        <v>98</v>
      </c>
      <c r="I115" s="5" t="s">
        <v>99</v>
      </c>
      <c r="J115" s="6" t="s">
        <v>100</v>
      </c>
      <c r="K115" s="4" t="s">
        <v>97</v>
      </c>
      <c r="L115" s="55" t="s">
        <v>98</v>
      </c>
      <c r="M115" s="5" t="s">
        <v>99</v>
      </c>
      <c r="N115" s="6" t="s">
        <v>100</v>
      </c>
      <c r="O115" s="4" t="s">
        <v>97</v>
      </c>
      <c r="P115" s="55" t="s">
        <v>98</v>
      </c>
      <c r="Q115" s="5" t="s">
        <v>99</v>
      </c>
      <c r="R115" s="6" t="s">
        <v>100</v>
      </c>
      <c r="S115" s="4" t="s">
        <v>97</v>
      </c>
      <c r="T115" s="55" t="s">
        <v>98</v>
      </c>
      <c r="U115" s="5" t="s">
        <v>99</v>
      </c>
      <c r="V115" s="6" t="s">
        <v>100</v>
      </c>
      <c r="W115" s="43" t="s">
        <v>101</v>
      </c>
    </row>
    <row r="116" spans="1:23" x14ac:dyDescent="0.35">
      <c r="A116" s="13" t="s">
        <v>255</v>
      </c>
      <c r="B116" s="3" t="s">
        <v>342</v>
      </c>
      <c r="C116" s="123" t="s">
        <v>129</v>
      </c>
      <c r="D116" s="10">
        <v>1</v>
      </c>
      <c r="E116" s="25">
        <v>0</v>
      </c>
      <c r="F116" s="107">
        <f t="shared" ref="F116" si="82">D116*E116</f>
        <v>0</v>
      </c>
      <c r="G116" s="9" t="s">
        <v>129</v>
      </c>
      <c r="H116" s="10">
        <v>0</v>
      </c>
      <c r="I116" s="129">
        <f t="shared" ref="I116:I133" si="83">E116*1.05</f>
        <v>0</v>
      </c>
      <c r="J116" s="107">
        <f>H116*I116</f>
        <v>0</v>
      </c>
      <c r="K116" s="9" t="s">
        <v>129</v>
      </c>
      <c r="L116" s="10">
        <v>0</v>
      </c>
      <c r="M116" s="129">
        <f t="shared" ref="M116:M133" si="84">I116*1.05</f>
        <v>0</v>
      </c>
      <c r="N116" s="107">
        <f>L116*M116</f>
        <v>0</v>
      </c>
      <c r="O116" s="9" t="s">
        <v>129</v>
      </c>
      <c r="P116" s="10">
        <v>0</v>
      </c>
      <c r="Q116" s="129">
        <f t="shared" ref="Q116:Q133" si="85">M116*1.05</f>
        <v>0</v>
      </c>
      <c r="R116" s="107">
        <f>P116*Q116</f>
        <v>0</v>
      </c>
      <c r="S116" s="9" t="s">
        <v>129</v>
      </c>
      <c r="T116" s="10">
        <v>0</v>
      </c>
      <c r="U116" s="129">
        <f t="shared" ref="U116:U133" si="86">Q116*1.05</f>
        <v>0</v>
      </c>
      <c r="V116" s="107">
        <f>T116*U116</f>
        <v>0</v>
      </c>
      <c r="W116" s="165">
        <f>SUM(V116,R116,N116,J116,F116)</f>
        <v>0</v>
      </c>
    </row>
    <row r="117" spans="1:23" x14ac:dyDescent="0.35">
      <c r="A117" s="13" t="s">
        <v>281</v>
      </c>
      <c r="B117" s="14" t="s">
        <v>343</v>
      </c>
      <c r="C117" s="9" t="s">
        <v>129</v>
      </c>
      <c r="D117" s="10">
        <v>1</v>
      </c>
      <c r="E117" s="25">
        <v>0</v>
      </c>
      <c r="F117" s="107">
        <f>D117*E117</f>
        <v>0</v>
      </c>
      <c r="G117" s="9" t="s">
        <v>129</v>
      </c>
      <c r="H117" s="10">
        <v>1</v>
      </c>
      <c r="I117" s="129">
        <f t="shared" si="83"/>
        <v>0</v>
      </c>
      <c r="J117" s="107">
        <f>H117*I117</f>
        <v>0</v>
      </c>
      <c r="K117" s="9" t="s">
        <v>129</v>
      </c>
      <c r="L117" s="10">
        <v>1</v>
      </c>
      <c r="M117" s="129">
        <f t="shared" si="84"/>
        <v>0</v>
      </c>
      <c r="N117" s="107">
        <f>L117*M117</f>
        <v>0</v>
      </c>
      <c r="O117" s="9" t="s">
        <v>129</v>
      </c>
      <c r="P117" s="10">
        <v>1</v>
      </c>
      <c r="Q117" s="129">
        <f t="shared" si="85"/>
        <v>0</v>
      </c>
      <c r="R117" s="107">
        <f>P117*Q117</f>
        <v>0</v>
      </c>
      <c r="S117" s="9" t="s">
        <v>129</v>
      </c>
      <c r="T117" s="10">
        <v>1</v>
      </c>
      <c r="U117" s="129">
        <f t="shared" si="86"/>
        <v>0</v>
      </c>
      <c r="V117" s="107">
        <f>T117*U117</f>
        <v>0</v>
      </c>
      <c r="W117" s="165">
        <f>SUM(V117,R117,N117,J117,F117)</f>
        <v>0</v>
      </c>
    </row>
    <row r="118" spans="1:23" x14ac:dyDescent="0.35">
      <c r="A118" s="13" t="s">
        <v>344</v>
      </c>
      <c r="B118" s="14" t="s">
        <v>345</v>
      </c>
      <c r="C118" s="9" t="s">
        <v>129</v>
      </c>
      <c r="D118" s="10">
        <v>1</v>
      </c>
      <c r="E118" s="25">
        <v>0</v>
      </c>
      <c r="F118" s="107">
        <f t="shared" ref="F118:F133" si="87">D118*E118</f>
        <v>0</v>
      </c>
      <c r="G118" s="9" t="s">
        <v>129</v>
      </c>
      <c r="H118" s="10">
        <v>1</v>
      </c>
      <c r="I118" s="129">
        <f t="shared" si="83"/>
        <v>0</v>
      </c>
      <c r="J118" s="107">
        <f t="shared" ref="J118:J133" si="88">H118*I118</f>
        <v>0</v>
      </c>
      <c r="K118" s="9" t="s">
        <v>129</v>
      </c>
      <c r="L118" s="10">
        <v>1</v>
      </c>
      <c r="M118" s="129">
        <f t="shared" si="84"/>
        <v>0</v>
      </c>
      <c r="N118" s="107">
        <f t="shared" ref="N118:N133" si="89">L118*M118</f>
        <v>0</v>
      </c>
      <c r="O118" s="9" t="s">
        <v>129</v>
      </c>
      <c r="P118" s="10">
        <v>1</v>
      </c>
      <c r="Q118" s="129">
        <f t="shared" si="85"/>
        <v>0</v>
      </c>
      <c r="R118" s="107">
        <f t="shared" ref="R118:R133" si="90">P118*Q118</f>
        <v>0</v>
      </c>
      <c r="S118" s="9" t="s">
        <v>129</v>
      </c>
      <c r="T118" s="10">
        <v>1</v>
      </c>
      <c r="U118" s="129">
        <f t="shared" si="86"/>
        <v>0</v>
      </c>
      <c r="V118" s="107">
        <f t="shared" ref="V118:V133" si="91">T118*U118</f>
        <v>0</v>
      </c>
      <c r="W118" s="165">
        <f t="shared" ref="W118:W133" si="92">SUM(V118,R118,N118,J118,F118)</f>
        <v>0</v>
      </c>
    </row>
    <row r="119" spans="1:23" x14ac:dyDescent="0.35">
      <c r="A119" s="13" t="s">
        <v>346</v>
      </c>
      <c r="B119" s="14" t="s">
        <v>347</v>
      </c>
      <c r="C119" s="9" t="s">
        <v>129</v>
      </c>
      <c r="D119" s="10">
        <v>1</v>
      </c>
      <c r="E119" s="25">
        <v>0</v>
      </c>
      <c r="F119" s="107">
        <f t="shared" si="87"/>
        <v>0</v>
      </c>
      <c r="G119" s="9" t="s">
        <v>129</v>
      </c>
      <c r="H119" s="10">
        <v>1</v>
      </c>
      <c r="I119" s="129">
        <f t="shared" si="83"/>
        <v>0</v>
      </c>
      <c r="J119" s="107">
        <f t="shared" si="88"/>
        <v>0</v>
      </c>
      <c r="K119" s="9" t="s">
        <v>129</v>
      </c>
      <c r="L119" s="10">
        <v>1</v>
      </c>
      <c r="M119" s="129">
        <f t="shared" si="84"/>
        <v>0</v>
      </c>
      <c r="N119" s="107">
        <f t="shared" si="89"/>
        <v>0</v>
      </c>
      <c r="O119" s="9" t="s">
        <v>129</v>
      </c>
      <c r="P119" s="10">
        <v>1</v>
      </c>
      <c r="Q119" s="129">
        <f t="shared" si="85"/>
        <v>0</v>
      </c>
      <c r="R119" s="107">
        <f t="shared" si="90"/>
        <v>0</v>
      </c>
      <c r="S119" s="9" t="s">
        <v>129</v>
      </c>
      <c r="T119" s="10">
        <v>1</v>
      </c>
      <c r="U119" s="129">
        <f t="shared" si="86"/>
        <v>0</v>
      </c>
      <c r="V119" s="107">
        <f t="shared" si="91"/>
        <v>0</v>
      </c>
      <c r="W119" s="165">
        <f t="shared" si="92"/>
        <v>0</v>
      </c>
    </row>
    <row r="120" spans="1:23" x14ac:dyDescent="0.35">
      <c r="A120" s="13" t="s">
        <v>348</v>
      </c>
      <c r="B120" s="14" t="s">
        <v>349</v>
      </c>
      <c r="C120" s="9" t="s">
        <v>129</v>
      </c>
      <c r="D120" s="10">
        <v>1</v>
      </c>
      <c r="E120" s="25">
        <v>0</v>
      </c>
      <c r="F120" s="107">
        <f t="shared" si="87"/>
        <v>0</v>
      </c>
      <c r="G120" s="9" t="s">
        <v>129</v>
      </c>
      <c r="H120" s="10">
        <v>1</v>
      </c>
      <c r="I120" s="129">
        <f t="shared" si="83"/>
        <v>0</v>
      </c>
      <c r="J120" s="107">
        <f t="shared" si="88"/>
        <v>0</v>
      </c>
      <c r="K120" s="9" t="s">
        <v>129</v>
      </c>
      <c r="L120" s="10">
        <v>1</v>
      </c>
      <c r="M120" s="129">
        <f t="shared" si="84"/>
        <v>0</v>
      </c>
      <c r="N120" s="107">
        <f t="shared" si="89"/>
        <v>0</v>
      </c>
      <c r="O120" s="9" t="s">
        <v>129</v>
      </c>
      <c r="P120" s="10">
        <v>1</v>
      </c>
      <c r="Q120" s="129">
        <f t="shared" si="85"/>
        <v>0</v>
      </c>
      <c r="R120" s="107">
        <f t="shared" si="90"/>
        <v>0</v>
      </c>
      <c r="S120" s="9" t="s">
        <v>129</v>
      </c>
      <c r="T120" s="10">
        <v>1</v>
      </c>
      <c r="U120" s="129">
        <f t="shared" si="86"/>
        <v>0</v>
      </c>
      <c r="V120" s="107">
        <f t="shared" si="91"/>
        <v>0</v>
      </c>
      <c r="W120" s="165">
        <f t="shared" si="92"/>
        <v>0</v>
      </c>
    </row>
    <row r="121" spans="1:23" x14ac:dyDescent="0.35">
      <c r="A121" s="13" t="s">
        <v>350</v>
      </c>
      <c r="B121" s="14" t="s">
        <v>351</v>
      </c>
      <c r="C121" s="9" t="s">
        <v>129</v>
      </c>
      <c r="D121" s="10">
        <v>1</v>
      </c>
      <c r="E121" s="25">
        <v>0</v>
      </c>
      <c r="F121" s="107">
        <f>D121*E121</f>
        <v>0</v>
      </c>
      <c r="G121" s="9" t="s">
        <v>129</v>
      </c>
      <c r="H121" s="10">
        <v>1</v>
      </c>
      <c r="I121" s="129">
        <f t="shared" si="83"/>
        <v>0</v>
      </c>
      <c r="J121" s="107">
        <f t="shared" ref="J121:J128" si="93">H121*I121</f>
        <v>0</v>
      </c>
      <c r="K121" s="9" t="s">
        <v>129</v>
      </c>
      <c r="L121" s="10">
        <v>1</v>
      </c>
      <c r="M121" s="129">
        <f t="shared" si="84"/>
        <v>0</v>
      </c>
      <c r="N121" s="107">
        <f t="shared" ref="N121:N128" si="94">L121*M121</f>
        <v>0</v>
      </c>
      <c r="O121" s="9" t="s">
        <v>129</v>
      </c>
      <c r="P121" s="10">
        <v>1</v>
      </c>
      <c r="Q121" s="129">
        <f t="shared" si="85"/>
        <v>0</v>
      </c>
      <c r="R121" s="107">
        <f t="shared" ref="R121:R128" si="95">P121*Q121</f>
        <v>0</v>
      </c>
      <c r="S121" s="9" t="s">
        <v>129</v>
      </c>
      <c r="T121" s="10">
        <v>1</v>
      </c>
      <c r="U121" s="129">
        <f t="shared" si="86"/>
        <v>0</v>
      </c>
      <c r="V121" s="107">
        <f t="shared" ref="V121:V128" si="96">T121*U121</f>
        <v>0</v>
      </c>
      <c r="W121" s="165">
        <f t="shared" si="92"/>
        <v>0</v>
      </c>
    </row>
    <row r="122" spans="1:23" x14ac:dyDescent="0.35">
      <c r="A122" s="13" t="s">
        <v>352</v>
      </c>
      <c r="B122" s="14" t="s">
        <v>353</v>
      </c>
      <c r="C122" s="9" t="s">
        <v>129</v>
      </c>
      <c r="D122" s="10">
        <v>1</v>
      </c>
      <c r="E122" s="25">
        <v>0</v>
      </c>
      <c r="F122" s="107">
        <f t="shared" ref="F122:F124" si="97">D122*E122</f>
        <v>0</v>
      </c>
      <c r="G122" s="9" t="s">
        <v>129</v>
      </c>
      <c r="H122" s="10">
        <v>1</v>
      </c>
      <c r="I122" s="129">
        <f t="shared" si="83"/>
        <v>0</v>
      </c>
      <c r="J122" s="107">
        <f t="shared" si="93"/>
        <v>0</v>
      </c>
      <c r="K122" s="9" t="s">
        <v>129</v>
      </c>
      <c r="L122" s="10">
        <v>1</v>
      </c>
      <c r="M122" s="129">
        <f t="shared" si="84"/>
        <v>0</v>
      </c>
      <c r="N122" s="107">
        <f t="shared" si="94"/>
        <v>0</v>
      </c>
      <c r="O122" s="9" t="s">
        <v>129</v>
      </c>
      <c r="P122" s="10">
        <v>1</v>
      </c>
      <c r="Q122" s="129">
        <f t="shared" si="85"/>
        <v>0</v>
      </c>
      <c r="R122" s="107">
        <f t="shared" si="95"/>
        <v>0</v>
      </c>
      <c r="S122" s="9" t="s">
        <v>129</v>
      </c>
      <c r="T122" s="10">
        <v>1</v>
      </c>
      <c r="U122" s="129">
        <f t="shared" si="86"/>
        <v>0</v>
      </c>
      <c r="V122" s="107">
        <f t="shared" si="96"/>
        <v>0</v>
      </c>
      <c r="W122" s="165">
        <f t="shared" si="92"/>
        <v>0</v>
      </c>
    </row>
    <row r="123" spans="1:23" x14ac:dyDescent="0.35">
      <c r="A123" s="13" t="s">
        <v>354</v>
      </c>
      <c r="B123" s="14" t="s">
        <v>355</v>
      </c>
      <c r="C123" s="9" t="s">
        <v>129</v>
      </c>
      <c r="D123" s="10">
        <v>1</v>
      </c>
      <c r="E123" s="25">
        <v>0</v>
      </c>
      <c r="F123" s="107">
        <f t="shared" si="97"/>
        <v>0</v>
      </c>
      <c r="G123" s="9" t="s">
        <v>129</v>
      </c>
      <c r="H123" s="10">
        <v>1</v>
      </c>
      <c r="I123" s="129">
        <f t="shared" si="83"/>
        <v>0</v>
      </c>
      <c r="J123" s="107">
        <f t="shared" si="93"/>
        <v>0</v>
      </c>
      <c r="K123" s="9" t="s">
        <v>129</v>
      </c>
      <c r="L123" s="10">
        <v>1</v>
      </c>
      <c r="M123" s="129">
        <f t="shared" si="84"/>
        <v>0</v>
      </c>
      <c r="N123" s="107">
        <f t="shared" si="94"/>
        <v>0</v>
      </c>
      <c r="O123" s="9" t="s">
        <v>129</v>
      </c>
      <c r="P123" s="10">
        <v>1</v>
      </c>
      <c r="Q123" s="129">
        <f t="shared" si="85"/>
        <v>0</v>
      </c>
      <c r="R123" s="107">
        <f t="shared" si="95"/>
        <v>0</v>
      </c>
      <c r="S123" s="9" t="s">
        <v>129</v>
      </c>
      <c r="T123" s="10">
        <v>1</v>
      </c>
      <c r="U123" s="129">
        <f t="shared" si="86"/>
        <v>0</v>
      </c>
      <c r="V123" s="107">
        <f t="shared" si="96"/>
        <v>0</v>
      </c>
      <c r="W123" s="165">
        <f t="shared" si="92"/>
        <v>0</v>
      </c>
    </row>
    <row r="124" spans="1:23" x14ac:dyDescent="0.35">
      <c r="A124" s="13" t="s">
        <v>356</v>
      </c>
      <c r="B124" s="14" t="s">
        <v>357</v>
      </c>
      <c r="C124" s="9" t="s">
        <v>129</v>
      </c>
      <c r="D124" s="10">
        <v>1</v>
      </c>
      <c r="E124" s="25">
        <v>0</v>
      </c>
      <c r="F124" s="107">
        <f t="shared" si="97"/>
        <v>0</v>
      </c>
      <c r="G124" s="9" t="s">
        <v>129</v>
      </c>
      <c r="H124" s="10">
        <v>1</v>
      </c>
      <c r="I124" s="129">
        <f t="shared" si="83"/>
        <v>0</v>
      </c>
      <c r="J124" s="107">
        <f t="shared" si="93"/>
        <v>0</v>
      </c>
      <c r="K124" s="9" t="s">
        <v>129</v>
      </c>
      <c r="L124" s="10">
        <v>1</v>
      </c>
      <c r="M124" s="129">
        <f t="shared" si="84"/>
        <v>0</v>
      </c>
      <c r="N124" s="107">
        <f t="shared" si="94"/>
        <v>0</v>
      </c>
      <c r="O124" s="9" t="s">
        <v>129</v>
      </c>
      <c r="P124" s="10">
        <v>1</v>
      </c>
      <c r="Q124" s="129">
        <f t="shared" si="85"/>
        <v>0</v>
      </c>
      <c r="R124" s="107">
        <f t="shared" si="95"/>
        <v>0</v>
      </c>
      <c r="S124" s="9" t="s">
        <v>129</v>
      </c>
      <c r="T124" s="10">
        <v>1</v>
      </c>
      <c r="U124" s="129">
        <f t="shared" si="86"/>
        <v>0</v>
      </c>
      <c r="V124" s="107">
        <f t="shared" si="96"/>
        <v>0</v>
      </c>
      <c r="W124" s="165">
        <f t="shared" si="92"/>
        <v>0</v>
      </c>
    </row>
    <row r="125" spans="1:23" x14ac:dyDescent="0.35">
      <c r="A125" s="13" t="s">
        <v>358</v>
      </c>
      <c r="B125" s="14" t="s">
        <v>359</v>
      </c>
      <c r="C125" s="9" t="s">
        <v>129</v>
      </c>
      <c r="D125" s="10">
        <v>1</v>
      </c>
      <c r="E125" s="25">
        <v>0</v>
      </c>
      <c r="F125" s="107">
        <f>D125*E125</f>
        <v>0</v>
      </c>
      <c r="G125" s="9" t="s">
        <v>129</v>
      </c>
      <c r="H125" s="10">
        <v>1</v>
      </c>
      <c r="I125" s="129">
        <f t="shared" si="83"/>
        <v>0</v>
      </c>
      <c r="J125" s="107">
        <f t="shared" si="93"/>
        <v>0</v>
      </c>
      <c r="K125" s="9" t="s">
        <v>129</v>
      </c>
      <c r="L125" s="10">
        <v>1</v>
      </c>
      <c r="M125" s="129">
        <f t="shared" si="84"/>
        <v>0</v>
      </c>
      <c r="N125" s="107">
        <f t="shared" si="94"/>
        <v>0</v>
      </c>
      <c r="O125" s="9" t="s">
        <v>129</v>
      </c>
      <c r="P125" s="10">
        <v>1</v>
      </c>
      <c r="Q125" s="129">
        <f t="shared" si="85"/>
        <v>0</v>
      </c>
      <c r="R125" s="107">
        <f t="shared" si="95"/>
        <v>0</v>
      </c>
      <c r="S125" s="9" t="s">
        <v>129</v>
      </c>
      <c r="T125" s="10">
        <v>1</v>
      </c>
      <c r="U125" s="129">
        <f t="shared" si="86"/>
        <v>0</v>
      </c>
      <c r="V125" s="107">
        <f t="shared" si="96"/>
        <v>0</v>
      </c>
      <c r="W125" s="165">
        <f t="shared" si="92"/>
        <v>0</v>
      </c>
    </row>
    <row r="126" spans="1:23" x14ac:dyDescent="0.35">
      <c r="A126" s="13" t="s">
        <v>360</v>
      </c>
      <c r="B126" s="14" t="s">
        <v>361</v>
      </c>
      <c r="C126" s="9" t="s">
        <v>129</v>
      </c>
      <c r="D126" s="10">
        <v>1</v>
      </c>
      <c r="E126" s="25">
        <v>0</v>
      </c>
      <c r="F126" s="107">
        <f t="shared" ref="F126:F128" si="98">D126*E126</f>
        <v>0</v>
      </c>
      <c r="G126" s="9" t="s">
        <v>129</v>
      </c>
      <c r="H126" s="10">
        <v>1</v>
      </c>
      <c r="I126" s="129">
        <f t="shared" si="83"/>
        <v>0</v>
      </c>
      <c r="J126" s="107">
        <f t="shared" si="93"/>
        <v>0</v>
      </c>
      <c r="K126" s="9" t="s">
        <v>129</v>
      </c>
      <c r="L126" s="10">
        <v>1</v>
      </c>
      <c r="M126" s="129">
        <f t="shared" si="84"/>
        <v>0</v>
      </c>
      <c r="N126" s="107">
        <f t="shared" si="94"/>
        <v>0</v>
      </c>
      <c r="O126" s="9" t="s">
        <v>129</v>
      </c>
      <c r="P126" s="10">
        <v>1</v>
      </c>
      <c r="Q126" s="129">
        <f t="shared" si="85"/>
        <v>0</v>
      </c>
      <c r="R126" s="107">
        <f t="shared" si="95"/>
        <v>0</v>
      </c>
      <c r="S126" s="9" t="s">
        <v>129</v>
      </c>
      <c r="T126" s="10">
        <v>1</v>
      </c>
      <c r="U126" s="129">
        <f t="shared" si="86"/>
        <v>0</v>
      </c>
      <c r="V126" s="107">
        <f t="shared" si="96"/>
        <v>0</v>
      </c>
      <c r="W126" s="165">
        <f t="shared" si="92"/>
        <v>0</v>
      </c>
    </row>
    <row r="127" spans="1:23" x14ac:dyDescent="0.35">
      <c r="A127" s="13" t="s">
        <v>362</v>
      </c>
      <c r="B127" s="14" t="s">
        <v>363</v>
      </c>
      <c r="C127" s="9" t="s">
        <v>129</v>
      </c>
      <c r="D127" s="10">
        <v>1</v>
      </c>
      <c r="E127" s="25">
        <v>0</v>
      </c>
      <c r="F127" s="107">
        <f t="shared" si="98"/>
        <v>0</v>
      </c>
      <c r="G127" s="9" t="s">
        <v>129</v>
      </c>
      <c r="H127" s="10">
        <v>1</v>
      </c>
      <c r="I127" s="129">
        <f t="shared" si="83"/>
        <v>0</v>
      </c>
      <c r="J127" s="107">
        <f t="shared" si="93"/>
        <v>0</v>
      </c>
      <c r="K127" s="9" t="s">
        <v>129</v>
      </c>
      <c r="L127" s="10">
        <v>1</v>
      </c>
      <c r="M127" s="129">
        <f t="shared" si="84"/>
        <v>0</v>
      </c>
      <c r="N127" s="107">
        <f t="shared" si="94"/>
        <v>0</v>
      </c>
      <c r="O127" s="9" t="s">
        <v>129</v>
      </c>
      <c r="P127" s="10">
        <v>1</v>
      </c>
      <c r="Q127" s="129">
        <f t="shared" si="85"/>
        <v>0</v>
      </c>
      <c r="R127" s="107">
        <f t="shared" si="95"/>
        <v>0</v>
      </c>
      <c r="S127" s="9" t="s">
        <v>129</v>
      </c>
      <c r="T127" s="10">
        <v>1</v>
      </c>
      <c r="U127" s="129">
        <f t="shared" si="86"/>
        <v>0</v>
      </c>
      <c r="V127" s="107">
        <f t="shared" si="96"/>
        <v>0</v>
      </c>
      <c r="W127" s="165">
        <f t="shared" si="92"/>
        <v>0</v>
      </c>
    </row>
    <row r="128" spans="1:23" x14ac:dyDescent="0.35">
      <c r="A128" s="13" t="s">
        <v>364</v>
      </c>
      <c r="B128" s="14" t="s">
        <v>365</v>
      </c>
      <c r="C128" s="9" t="s">
        <v>129</v>
      </c>
      <c r="D128" s="10">
        <v>1</v>
      </c>
      <c r="E128" s="25">
        <v>0</v>
      </c>
      <c r="F128" s="107">
        <f t="shared" si="98"/>
        <v>0</v>
      </c>
      <c r="G128" s="9" t="s">
        <v>129</v>
      </c>
      <c r="H128" s="10">
        <v>1</v>
      </c>
      <c r="I128" s="129">
        <f t="shared" si="83"/>
        <v>0</v>
      </c>
      <c r="J128" s="107">
        <f t="shared" si="93"/>
        <v>0</v>
      </c>
      <c r="K128" s="9" t="s">
        <v>129</v>
      </c>
      <c r="L128" s="10">
        <v>1</v>
      </c>
      <c r="M128" s="129">
        <f t="shared" si="84"/>
        <v>0</v>
      </c>
      <c r="N128" s="107">
        <f t="shared" si="94"/>
        <v>0</v>
      </c>
      <c r="O128" s="9" t="s">
        <v>129</v>
      </c>
      <c r="P128" s="10">
        <v>1</v>
      </c>
      <c r="Q128" s="129">
        <f t="shared" si="85"/>
        <v>0</v>
      </c>
      <c r="R128" s="107">
        <f t="shared" si="95"/>
        <v>0</v>
      </c>
      <c r="S128" s="9" t="s">
        <v>129</v>
      </c>
      <c r="T128" s="10">
        <v>1</v>
      </c>
      <c r="U128" s="129">
        <f t="shared" si="86"/>
        <v>0</v>
      </c>
      <c r="V128" s="107">
        <f t="shared" si="96"/>
        <v>0</v>
      </c>
      <c r="W128" s="165">
        <f t="shared" si="92"/>
        <v>0</v>
      </c>
    </row>
    <row r="129" spans="1:23" x14ac:dyDescent="0.35">
      <c r="A129" s="13" t="s">
        <v>265</v>
      </c>
      <c r="B129" s="3" t="s">
        <v>266</v>
      </c>
      <c r="C129" s="9" t="s">
        <v>129</v>
      </c>
      <c r="D129" s="10">
        <v>1</v>
      </c>
      <c r="E129" s="25">
        <v>0</v>
      </c>
      <c r="F129" s="107">
        <f>D129*E129</f>
        <v>0</v>
      </c>
      <c r="G129" s="9" t="s">
        <v>129</v>
      </c>
      <c r="H129" s="10">
        <v>0</v>
      </c>
      <c r="I129" s="129">
        <f t="shared" si="83"/>
        <v>0</v>
      </c>
      <c r="J129" s="107">
        <f>H129*I129</f>
        <v>0</v>
      </c>
      <c r="K129" s="9" t="s">
        <v>129</v>
      </c>
      <c r="L129" s="10">
        <v>0</v>
      </c>
      <c r="M129" s="129">
        <f t="shared" si="84"/>
        <v>0</v>
      </c>
      <c r="N129" s="107">
        <f>L129*M129</f>
        <v>0</v>
      </c>
      <c r="O129" s="9" t="s">
        <v>129</v>
      </c>
      <c r="P129" s="10">
        <v>0</v>
      </c>
      <c r="Q129" s="129">
        <f t="shared" si="85"/>
        <v>0</v>
      </c>
      <c r="R129" s="107">
        <f>P129*Q129</f>
        <v>0</v>
      </c>
      <c r="S129" s="9" t="s">
        <v>129</v>
      </c>
      <c r="T129" s="10">
        <v>0</v>
      </c>
      <c r="U129" s="129">
        <f t="shared" si="86"/>
        <v>0</v>
      </c>
      <c r="V129" s="107">
        <f>T129*U129</f>
        <v>0</v>
      </c>
      <c r="W129" s="165">
        <f t="shared" si="92"/>
        <v>0</v>
      </c>
    </row>
    <row r="130" spans="1:23" x14ac:dyDescent="0.35">
      <c r="A130" s="13" t="s">
        <v>366</v>
      </c>
      <c r="B130" s="14" t="s">
        <v>267</v>
      </c>
      <c r="C130" s="9" t="s">
        <v>129</v>
      </c>
      <c r="D130" s="10">
        <v>1</v>
      </c>
      <c r="E130" s="25">
        <v>0</v>
      </c>
      <c r="F130" s="107">
        <f t="shared" si="87"/>
        <v>0</v>
      </c>
      <c r="G130" s="9" t="s">
        <v>129</v>
      </c>
      <c r="H130" s="10">
        <v>1</v>
      </c>
      <c r="I130" s="129">
        <f t="shared" si="83"/>
        <v>0</v>
      </c>
      <c r="J130" s="107">
        <f t="shared" si="88"/>
        <v>0</v>
      </c>
      <c r="K130" s="9" t="s">
        <v>129</v>
      </c>
      <c r="L130" s="10">
        <v>1</v>
      </c>
      <c r="M130" s="129">
        <f t="shared" si="84"/>
        <v>0</v>
      </c>
      <c r="N130" s="107">
        <f t="shared" si="89"/>
        <v>0</v>
      </c>
      <c r="O130" s="9" t="s">
        <v>129</v>
      </c>
      <c r="P130" s="10">
        <v>1</v>
      </c>
      <c r="Q130" s="129">
        <f t="shared" si="85"/>
        <v>0</v>
      </c>
      <c r="R130" s="107">
        <f t="shared" si="90"/>
        <v>0</v>
      </c>
      <c r="S130" s="9" t="s">
        <v>129</v>
      </c>
      <c r="T130" s="10">
        <v>1</v>
      </c>
      <c r="U130" s="129">
        <f t="shared" si="86"/>
        <v>0</v>
      </c>
      <c r="V130" s="107">
        <f t="shared" si="91"/>
        <v>0</v>
      </c>
      <c r="W130" s="165">
        <f t="shared" si="92"/>
        <v>0</v>
      </c>
    </row>
    <row r="131" spans="1:23" x14ac:dyDescent="0.35">
      <c r="A131" s="13" t="s">
        <v>367</v>
      </c>
      <c r="B131" s="14" t="s">
        <v>269</v>
      </c>
      <c r="C131" s="9" t="s">
        <v>129</v>
      </c>
      <c r="D131" s="10">
        <v>1</v>
      </c>
      <c r="E131" s="25">
        <v>0</v>
      </c>
      <c r="F131" s="107">
        <f t="shared" si="87"/>
        <v>0</v>
      </c>
      <c r="G131" s="9" t="s">
        <v>129</v>
      </c>
      <c r="H131" s="10">
        <v>1</v>
      </c>
      <c r="I131" s="129">
        <f t="shared" si="83"/>
        <v>0</v>
      </c>
      <c r="J131" s="107">
        <f t="shared" si="88"/>
        <v>0</v>
      </c>
      <c r="K131" s="9" t="s">
        <v>129</v>
      </c>
      <c r="L131" s="10">
        <v>1</v>
      </c>
      <c r="M131" s="129">
        <f t="shared" si="84"/>
        <v>0</v>
      </c>
      <c r="N131" s="107">
        <f t="shared" si="89"/>
        <v>0</v>
      </c>
      <c r="O131" s="9" t="s">
        <v>129</v>
      </c>
      <c r="P131" s="10">
        <v>1</v>
      </c>
      <c r="Q131" s="129">
        <f t="shared" si="85"/>
        <v>0</v>
      </c>
      <c r="R131" s="107">
        <f t="shared" si="90"/>
        <v>0</v>
      </c>
      <c r="S131" s="9" t="s">
        <v>129</v>
      </c>
      <c r="T131" s="10">
        <v>1</v>
      </c>
      <c r="U131" s="129">
        <f t="shared" si="86"/>
        <v>0</v>
      </c>
      <c r="V131" s="107">
        <f t="shared" si="91"/>
        <v>0</v>
      </c>
      <c r="W131" s="165">
        <f t="shared" si="92"/>
        <v>0</v>
      </c>
    </row>
    <row r="132" spans="1:23" x14ac:dyDescent="0.35">
      <c r="A132" s="13" t="s">
        <v>368</v>
      </c>
      <c r="B132" s="14" t="s">
        <v>271</v>
      </c>
      <c r="C132" s="9" t="s">
        <v>129</v>
      </c>
      <c r="D132" s="10">
        <v>1</v>
      </c>
      <c r="E132" s="25">
        <v>0</v>
      </c>
      <c r="F132" s="107">
        <f t="shared" si="87"/>
        <v>0</v>
      </c>
      <c r="G132" s="9" t="s">
        <v>129</v>
      </c>
      <c r="H132" s="10">
        <v>1</v>
      </c>
      <c r="I132" s="129">
        <f t="shared" si="83"/>
        <v>0</v>
      </c>
      <c r="J132" s="107">
        <f t="shared" si="88"/>
        <v>0</v>
      </c>
      <c r="K132" s="9" t="s">
        <v>129</v>
      </c>
      <c r="L132" s="10">
        <v>1</v>
      </c>
      <c r="M132" s="129">
        <f t="shared" si="84"/>
        <v>0</v>
      </c>
      <c r="N132" s="107">
        <f t="shared" si="89"/>
        <v>0</v>
      </c>
      <c r="O132" s="9" t="s">
        <v>129</v>
      </c>
      <c r="P132" s="10">
        <v>1</v>
      </c>
      <c r="Q132" s="129">
        <f t="shared" si="85"/>
        <v>0</v>
      </c>
      <c r="R132" s="107">
        <f t="shared" si="90"/>
        <v>0</v>
      </c>
      <c r="S132" s="9" t="s">
        <v>129</v>
      </c>
      <c r="T132" s="10">
        <v>1</v>
      </c>
      <c r="U132" s="129">
        <f t="shared" si="86"/>
        <v>0</v>
      </c>
      <c r="V132" s="107">
        <f t="shared" si="91"/>
        <v>0</v>
      </c>
      <c r="W132" s="165">
        <f t="shared" si="92"/>
        <v>0</v>
      </c>
    </row>
    <row r="133" spans="1:23" x14ac:dyDescent="0.35">
      <c r="A133" s="13" t="s">
        <v>369</v>
      </c>
      <c r="B133" s="14" t="s">
        <v>273</v>
      </c>
      <c r="C133" s="9" t="s">
        <v>129</v>
      </c>
      <c r="D133" s="10">
        <v>1</v>
      </c>
      <c r="E133" s="25">
        <v>0</v>
      </c>
      <c r="F133" s="107">
        <f t="shared" si="87"/>
        <v>0</v>
      </c>
      <c r="G133" s="9" t="s">
        <v>129</v>
      </c>
      <c r="H133" s="10">
        <v>1</v>
      </c>
      <c r="I133" s="129">
        <f t="shared" si="83"/>
        <v>0</v>
      </c>
      <c r="J133" s="107">
        <f t="shared" si="88"/>
        <v>0</v>
      </c>
      <c r="K133" s="9" t="s">
        <v>129</v>
      </c>
      <c r="L133" s="10">
        <v>1</v>
      </c>
      <c r="M133" s="129">
        <f t="shared" si="84"/>
        <v>0</v>
      </c>
      <c r="N133" s="107">
        <f t="shared" si="89"/>
        <v>0</v>
      </c>
      <c r="O133" s="9" t="s">
        <v>129</v>
      </c>
      <c r="P133" s="10">
        <v>1</v>
      </c>
      <c r="Q133" s="129">
        <f t="shared" si="85"/>
        <v>0</v>
      </c>
      <c r="R133" s="107">
        <f t="shared" si="90"/>
        <v>0</v>
      </c>
      <c r="S133" s="9" t="s">
        <v>129</v>
      </c>
      <c r="T133" s="10">
        <v>1</v>
      </c>
      <c r="U133" s="129">
        <f t="shared" si="86"/>
        <v>0</v>
      </c>
      <c r="V133" s="107">
        <f t="shared" si="91"/>
        <v>0</v>
      </c>
      <c r="W133" s="165">
        <f t="shared" si="92"/>
        <v>0</v>
      </c>
    </row>
    <row r="134" spans="1:23" x14ac:dyDescent="0.35">
      <c r="A134" s="13"/>
      <c r="B134" s="127"/>
      <c r="C134" s="9"/>
      <c r="D134" s="10"/>
      <c r="E134" s="25"/>
      <c r="F134" s="11"/>
      <c r="G134" s="9"/>
      <c r="H134" s="10"/>
      <c r="I134" s="25"/>
      <c r="J134" s="11"/>
      <c r="K134" s="9"/>
      <c r="L134" s="10"/>
      <c r="M134" s="25"/>
      <c r="N134" s="11"/>
      <c r="O134" s="9"/>
      <c r="P134" s="10"/>
      <c r="Q134" s="25"/>
      <c r="R134" s="11"/>
      <c r="S134" s="9"/>
      <c r="T134" s="10"/>
      <c r="U134" s="25"/>
      <c r="V134" s="11"/>
      <c r="W134" s="44"/>
    </row>
    <row r="135" spans="1:23" x14ac:dyDescent="0.35">
      <c r="A135" s="22"/>
      <c r="B135" s="23"/>
      <c r="C135" s="16"/>
      <c r="D135" s="19"/>
      <c r="E135" s="24" t="s">
        <v>274</v>
      </c>
      <c r="F135" s="21">
        <f>SUM(F116:F134)</f>
        <v>0</v>
      </c>
      <c r="G135" s="16"/>
      <c r="H135" s="19"/>
      <c r="I135" s="24" t="s">
        <v>274</v>
      </c>
      <c r="J135" s="21">
        <f>SUM(J116:J134)</f>
        <v>0</v>
      </c>
      <c r="K135" s="16"/>
      <c r="L135" s="19"/>
      <c r="M135" s="24" t="s">
        <v>274</v>
      </c>
      <c r="N135" s="21">
        <f>SUM(N116:N134)</f>
        <v>0</v>
      </c>
      <c r="O135" s="16"/>
      <c r="P135" s="19"/>
      <c r="Q135" s="24" t="s">
        <v>274</v>
      </c>
      <c r="R135" s="21">
        <f>SUM(R116:R134)</f>
        <v>0</v>
      </c>
      <c r="S135" s="16"/>
      <c r="T135" s="19"/>
      <c r="U135" s="24" t="s">
        <v>274</v>
      </c>
      <c r="V135" s="21">
        <f>SUM(V116:V134)</f>
        <v>0</v>
      </c>
      <c r="W135" s="165">
        <f>SUM(V135,R135,N135,J135,F135)</f>
        <v>0</v>
      </c>
    </row>
    <row r="136" spans="1:23" x14ac:dyDescent="0.35">
      <c r="A136" s="134"/>
      <c r="B136" s="135"/>
      <c r="C136" s="136"/>
      <c r="D136" s="137"/>
      <c r="E136" s="137"/>
      <c r="F136" s="135"/>
      <c r="G136" s="136"/>
      <c r="H136" s="137"/>
      <c r="I136" s="137"/>
      <c r="J136" s="135"/>
      <c r="K136" s="136"/>
      <c r="L136" s="137"/>
      <c r="M136" s="137"/>
      <c r="N136" s="135"/>
      <c r="O136" s="136"/>
      <c r="P136" s="137"/>
      <c r="Q136" s="137"/>
      <c r="R136" s="135"/>
      <c r="S136" s="136"/>
      <c r="T136" s="137"/>
      <c r="U136" s="137"/>
      <c r="V136" s="135"/>
      <c r="W136" s="46"/>
    </row>
    <row r="137" spans="1:23" x14ac:dyDescent="0.35">
      <c r="C137" s="192" t="s">
        <v>86</v>
      </c>
      <c r="D137" s="192"/>
      <c r="E137" s="192"/>
      <c r="F137" s="192"/>
      <c r="G137" s="192" t="s">
        <v>87</v>
      </c>
      <c r="H137" s="192"/>
      <c r="I137" s="192"/>
      <c r="J137" s="192"/>
      <c r="K137" s="192" t="s">
        <v>88</v>
      </c>
      <c r="L137" s="192"/>
      <c r="M137" s="192"/>
      <c r="N137" s="192"/>
      <c r="O137" s="192" t="s">
        <v>89</v>
      </c>
      <c r="P137" s="192"/>
      <c r="Q137" s="192"/>
      <c r="R137" s="192"/>
      <c r="S137" s="192" t="s">
        <v>90</v>
      </c>
      <c r="T137" s="192"/>
      <c r="U137" s="192"/>
      <c r="V137" s="192"/>
      <c r="W137" s="45"/>
    </row>
    <row r="138" spans="1:23" s="148" customFormat="1" x14ac:dyDescent="0.35">
      <c r="A138" s="188" t="s">
        <v>275</v>
      </c>
      <c r="B138" s="188"/>
      <c r="C138" s="190" t="s">
        <v>276</v>
      </c>
      <c r="D138" s="190"/>
      <c r="E138" s="190"/>
      <c r="F138" s="190"/>
      <c r="G138" s="190" t="s">
        <v>277</v>
      </c>
      <c r="H138" s="190"/>
      <c r="I138" s="190"/>
      <c r="J138" s="190"/>
      <c r="K138" s="190" t="s">
        <v>278</v>
      </c>
      <c r="L138" s="190"/>
      <c r="M138" s="190"/>
      <c r="N138" s="190"/>
      <c r="O138" s="190" t="s">
        <v>279</v>
      </c>
      <c r="P138" s="190"/>
      <c r="Q138" s="190"/>
      <c r="R138" s="190"/>
      <c r="S138" s="190" t="s">
        <v>280</v>
      </c>
      <c r="T138" s="190"/>
      <c r="U138" s="190"/>
      <c r="V138" s="190"/>
      <c r="W138" s="147"/>
    </row>
    <row r="139" spans="1:23" x14ac:dyDescent="0.35">
      <c r="A139" s="8" t="s">
        <v>96</v>
      </c>
      <c r="B139" s="12" t="s">
        <v>12</v>
      </c>
      <c r="C139" s="4" t="s">
        <v>97</v>
      </c>
      <c r="D139" s="55" t="s">
        <v>98</v>
      </c>
      <c r="E139" s="5" t="s">
        <v>99</v>
      </c>
      <c r="F139" s="6" t="s">
        <v>100</v>
      </c>
      <c r="G139" s="4" t="s">
        <v>97</v>
      </c>
      <c r="H139" s="55" t="s">
        <v>98</v>
      </c>
      <c r="I139" s="5" t="s">
        <v>99</v>
      </c>
      <c r="J139" s="6" t="s">
        <v>100</v>
      </c>
      <c r="K139" s="4" t="s">
        <v>97</v>
      </c>
      <c r="L139" s="55" t="s">
        <v>98</v>
      </c>
      <c r="M139" s="5" t="s">
        <v>99</v>
      </c>
      <c r="N139" s="6" t="s">
        <v>100</v>
      </c>
      <c r="O139" s="4" t="s">
        <v>97</v>
      </c>
      <c r="P139" s="55" t="s">
        <v>98</v>
      </c>
      <c r="Q139" s="5" t="s">
        <v>99</v>
      </c>
      <c r="R139" s="6" t="s">
        <v>100</v>
      </c>
      <c r="S139" s="4" t="s">
        <v>97</v>
      </c>
      <c r="T139" s="55" t="s">
        <v>98</v>
      </c>
      <c r="U139" s="5" t="s">
        <v>99</v>
      </c>
      <c r="V139" s="6" t="s">
        <v>100</v>
      </c>
      <c r="W139" s="43" t="s">
        <v>101</v>
      </c>
    </row>
    <row r="140" spans="1:23" x14ac:dyDescent="0.35">
      <c r="A140" s="2" t="s">
        <v>281</v>
      </c>
      <c r="B140" s="3" t="s">
        <v>370</v>
      </c>
      <c r="C140" s="123" t="s">
        <v>129</v>
      </c>
      <c r="D140" s="10">
        <v>1</v>
      </c>
      <c r="E140" s="25">
        <v>0</v>
      </c>
      <c r="F140" s="107">
        <f t="shared" ref="F140:F151" si="99">D140*E140</f>
        <v>0</v>
      </c>
      <c r="G140" s="123" t="s">
        <v>129</v>
      </c>
      <c r="H140" s="10">
        <v>1</v>
      </c>
      <c r="I140" s="129">
        <f t="shared" ref="I140:I151" si="100">E140*1.05</f>
        <v>0</v>
      </c>
      <c r="J140" s="107">
        <f>H140*I140</f>
        <v>0</v>
      </c>
      <c r="K140" s="123" t="s">
        <v>129</v>
      </c>
      <c r="L140" s="10">
        <v>1</v>
      </c>
      <c r="M140" s="129">
        <f t="shared" ref="M140:M151" si="101">I140*1.05</f>
        <v>0</v>
      </c>
      <c r="N140" s="107">
        <f>L140*M140</f>
        <v>0</v>
      </c>
      <c r="O140" s="123" t="s">
        <v>129</v>
      </c>
      <c r="P140" s="10">
        <v>1</v>
      </c>
      <c r="Q140" s="129">
        <f t="shared" ref="Q140:Q151" si="102">M140*1.05</f>
        <v>0</v>
      </c>
      <c r="R140" s="107">
        <f>P140*Q140</f>
        <v>0</v>
      </c>
      <c r="S140" s="123" t="s">
        <v>129</v>
      </c>
      <c r="T140" s="10">
        <v>1</v>
      </c>
      <c r="U140" s="129">
        <f t="shared" ref="U140:U151" si="103">Q140*1.05</f>
        <v>0</v>
      </c>
      <c r="V140" s="107">
        <f>T140*U140</f>
        <v>0</v>
      </c>
      <c r="W140" s="165">
        <f t="shared" ref="W140:W151" si="104">SUM(V140,R140,N140,J140,F140)</f>
        <v>0</v>
      </c>
    </row>
    <row r="141" spans="1:23" x14ac:dyDescent="0.35">
      <c r="A141" s="2"/>
      <c r="B141" s="166" t="s">
        <v>283</v>
      </c>
      <c r="C141" s="123" t="s">
        <v>129</v>
      </c>
      <c r="D141" s="10">
        <v>1</v>
      </c>
      <c r="E141" s="25">
        <v>0</v>
      </c>
      <c r="F141" s="107">
        <f t="shared" si="99"/>
        <v>0</v>
      </c>
      <c r="G141" s="123" t="s">
        <v>129</v>
      </c>
      <c r="H141" s="10">
        <v>1</v>
      </c>
      <c r="I141" s="129">
        <f t="shared" si="100"/>
        <v>0</v>
      </c>
      <c r="J141" s="107">
        <f t="shared" ref="J141:J151" si="105">H141*I141</f>
        <v>0</v>
      </c>
      <c r="K141" s="123" t="s">
        <v>129</v>
      </c>
      <c r="L141" s="10">
        <v>1</v>
      </c>
      <c r="M141" s="129">
        <f t="shared" si="101"/>
        <v>0</v>
      </c>
      <c r="N141" s="107">
        <f t="shared" ref="N141:N151" si="106">L141*M141</f>
        <v>0</v>
      </c>
      <c r="O141" s="123" t="s">
        <v>129</v>
      </c>
      <c r="P141" s="10">
        <v>1</v>
      </c>
      <c r="Q141" s="129">
        <f t="shared" si="102"/>
        <v>0</v>
      </c>
      <c r="R141" s="107">
        <f t="shared" ref="R141:R151" si="107">P141*Q141</f>
        <v>0</v>
      </c>
      <c r="S141" s="123" t="s">
        <v>129</v>
      </c>
      <c r="T141" s="10">
        <v>1</v>
      </c>
      <c r="U141" s="129">
        <f t="shared" si="103"/>
        <v>0</v>
      </c>
      <c r="V141" s="107">
        <f t="shared" ref="V141:V151" si="108">T141*U141</f>
        <v>0</v>
      </c>
      <c r="W141" s="165">
        <f t="shared" si="104"/>
        <v>0</v>
      </c>
    </row>
    <row r="142" spans="1:23" x14ac:dyDescent="0.35">
      <c r="A142" s="2"/>
      <c r="B142" s="167" t="s">
        <v>284</v>
      </c>
      <c r="C142" s="123" t="s">
        <v>129</v>
      </c>
      <c r="D142" s="10">
        <v>1</v>
      </c>
      <c r="E142" s="25">
        <v>0</v>
      </c>
      <c r="F142" s="107">
        <f t="shared" si="99"/>
        <v>0</v>
      </c>
      <c r="G142" s="123" t="s">
        <v>129</v>
      </c>
      <c r="H142" s="10">
        <v>1</v>
      </c>
      <c r="I142" s="129">
        <f t="shared" si="100"/>
        <v>0</v>
      </c>
      <c r="J142" s="107">
        <f t="shared" si="105"/>
        <v>0</v>
      </c>
      <c r="K142" s="123" t="s">
        <v>129</v>
      </c>
      <c r="L142" s="10">
        <v>1</v>
      </c>
      <c r="M142" s="129">
        <f t="shared" si="101"/>
        <v>0</v>
      </c>
      <c r="N142" s="107">
        <f t="shared" si="106"/>
        <v>0</v>
      </c>
      <c r="O142" s="123" t="s">
        <v>129</v>
      </c>
      <c r="P142" s="10">
        <v>1</v>
      </c>
      <c r="Q142" s="129">
        <f t="shared" si="102"/>
        <v>0</v>
      </c>
      <c r="R142" s="107">
        <f t="shared" si="107"/>
        <v>0</v>
      </c>
      <c r="S142" s="123" t="s">
        <v>129</v>
      </c>
      <c r="T142" s="10">
        <v>1</v>
      </c>
      <c r="U142" s="129">
        <f t="shared" si="103"/>
        <v>0</v>
      </c>
      <c r="V142" s="107">
        <f t="shared" si="108"/>
        <v>0</v>
      </c>
      <c r="W142" s="165">
        <f t="shared" si="104"/>
        <v>0</v>
      </c>
    </row>
    <row r="143" spans="1:23" x14ac:dyDescent="0.35">
      <c r="A143" s="2"/>
      <c r="B143" s="167" t="s">
        <v>371</v>
      </c>
      <c r="C143" s="123" t="s">
        <v>129</v>
      </c>
      <c r="D143" s="10">
        <v>1</v>
      </c>
      <c r="E143" s="25">
        <v>0</v>
      </c>
      <c r="F143" s="107">
        <f t="shared" si="99"/>
        <v>0</v>
      </c>
      <c r="G143" s="123" t="s">
        <v>129</v>
      </c>
      <c r="H143" s="10">
        <v>1</v>
      </c>
      <c r="I143" s="129">
        <f t="shared" si="100"/>
        <v>0</v>
      </c>
      <c r="J143" s="107">
        <f t="shared" si="105"/>
        <v>0</v>
      </c>
      <c r="K143" s="123" t="s">
        <v>129</v>
      </c>
      <c r="L143" s="10">
        <v>1</v>
      </c>
      <c r="M143" s="129">
        <f t="shared" si="101"/>
        <v>0</v>
      </c>
      <c r="N143" s="107">
        <f t="shared" si="106"/>
        <v>0</v>
      </c>
      <c r="O143" s="123" t="s">
        <v>129</v>
      </c>
      <c r="P143" s="10">
        <v>1</v>
      </c>
      <c r="Q143" s="129">
        <f t="shared" si="102"/>
        <v>0</v>
      </c>
      <c r="R143" s="107">
        <f t="shared" si="107"/>
        <v>0</v>
      </c>
      <c r="S143" s="123" t="s">
        <v>129</v>
      </c>
      <c r="T143" s="10">
        <v>1</v>
      </c>
      <c r="U143" s="129">
        <f t="shared" si="103"/>
        <v>0</v>
      </c>
      <c r="V143" s="107">
        <f t="shared" si="108"/>
        <v>0</v>
      </c>
      <c r="W143" s="165">
        <f t="shared" si="104"/>
        <v>0</v>
      </c>
    </row>
    <row r="144" spans="1:23" x14ac:dyDescent="0.35">
      <c r="A144" s="2"/>
      <c r="B144" s="167" t="s">
        <v>286</v>
      </c>
      <c r="C144" s="123" t="s">
        <v>129</v>
      </c>
      <c r="D144" s="10">
        <v>1</v>
      </c>
      <c r="E144" s="25">
        <v>0</v>
      </c>
      <c r="F144" s="107">
        <f t="shared" si="99"/>
        <v>0</v>
      </c>
      <c r="G144" s="123" t="s">
        <v>129</v>
      </c>
      <c r="H144" s="10">
        <v>1</v>
      </c>
      <c r="I144" s="129">
        <f t="shared" si="100"/>
        <v>0</v>
      </c>
      <c r="J144" s="107">
        <f t="shared" si="105"/>
        <v>0</v>
      </c>
      <c r="K144" s="123" t="s">
        <v>129</v>
      </c>
      <c r="L144" s="10">
        <v>1</v>
      </c>
      <c r="M144" s="129">
        <f t="shared" si="101"/>
        <v>0</v>
      </c>
      <c r="N144" s="107">
        <f t="shared" si="106"/>
        <v>0</v>
      </c>
      <c r="O144" s="123" t="s">
        <v>129</v>
      </c>
      <c r="P144" s="10">
        <v>1</v>
      </c>
      <c r="Q144" s="129">
        <f t="shared" si="102"/>
        <v>0</v>
      </c>
      <c r="R144" s="107">
        <f t="shared" si="107"/>
        <v>0</v>
      </c>
      <c r="S144" s="123" t="s">
        <v>129</v>
      </c>
      <c r="T144" s="10">
        <v>1</v>
      </c>
      <c r="U144" s="129">
        <f t="shared" si="103"/>
        <v>0</v>
      </c>
      <c r="V144" s="107">
        <f t="shared" si="108"/>
        <v>0</v>
      </c>
      <c r="W144" s="165">
        <f t="shared" si="104"/>
        <v>0</v>
      </c>
    </row>
    <row r="145" spans="1:23" x14ac:dyDescent="0.35">
      <c r="A145" s="2"/>
      <c r="B145" s="167" t="s">
        <v>287</v>
      </c>
      <c r="C145" s="123" t="s">
        <v>129</v>
      </c>
      <c r="D145" s="10">
        <v>1</v>
      </c>
      <c r="E145" s="25">
        <v>0</v>
      </c>
      <c r="F145" s="107">
        <f t="shared" si="99"/>
        <v>0</v>
      </c>
      <c r="G145" s="123" t="s">
        <v>129</v>
      </c>
      <c r="H145" s="10">
        <v>1</v>
      </c>
      <c r="I145" s="129">
        <f t="shared" si="100"/>
        <v>0</v>
      </c>
      <c r="J145" s="107">
        <f t="shared" si="105"/>
        <v>0</v>
      </c>
      <c r="K145" s="123" t="s">
        <v>129</v>
      </c>
      <c r="L145" s="10">
        <v>1</v>
      </c>
      <c r="M145" s="129">
        <f t="shared" si="101"/>
        <v>0</v>
      </c>
      <c r="N145" s="107">
        <f t="shared" si="106"/>
        <v>0</v>
      </c>
      <c r="O145" s="123" t="s">
        <v>129</v>
      </c>
      <c r="P145" s="10">
        <v>1</v>
      </c>
      <c r="Q145" s="129">
        <f t="shared" si="102"/>
        <v>0</v>
      </c>
      <c r="R145" s="107">
        <f t="shared" si="107"/>
        <v>0</v>
      </c>
      <c r="S145" s="123" t="s">
        <v>129</v>
      </c>
      <c r="T145" s="10">
        <v>1</v>
      </c>
      <c r="U145" s="129">
        <f t="shared" si="103"/>
        <v>0</v>
      </c>
      <c r="V145" s="107">
        <f t="shared" si="108"/>
        <v>0</v>
      </c>
      <c r="W145" s="165">
        <f t="shared" si="104"/>
        <v>0</v>
      </c>
    </row>
    <row r="146" spans="1:23" x14ac:dyDescent="0.35">
      <c r="A146" s="2"/>
      <c r="B146" s="167" t="s">
        <v>288</v>
      </c>
      <c r="C146" s="123" t="s">
        <v>129</v>
      </c>
      <c r="D146" s="10">
        <v>1</v>
      </c>
      <c r="E146" s="25">
        <v>0</v>
      </c>
      <c r="F146" s="107">
        <f t="shared" si="99"/>
        <v>0</v>
      </c>
      <c r="G146" s="123" t="s">
        <v>129</v>
      </c>
      <c r="H146" s="10">
        <v>1</v>
      </c>
      <c r="I146" s="129">
        <f t="shared" si="100"/>
        <v>0</v>
      </c>
      <c r="J146" s="107">
        <f t="shared" si="105"/>
        <v>0</v>
      </c>
      <c r="K146" s="123" t="s">
        <v>129</v>
      </c>
      <c r="L146" s="10">
        <v>1</v>
      </c>
      <c r="M146" s="129">
        <f t="shared" si="101"/>
        <v>0</v>
      </c>
      <c r="N146" s="107">
        <f t="shared" si="106"/>
        <v>0</v>
      </c>
      <c r="O146" s="123" t="s">
        <v>129</v>
      </c>
      <c r="P146" s="10">
        <v>1</v>
      </c>
      <c r="Q146" s="129">
        <f t="shared" si="102"/>
        <v>0</v>
      </c>
      <c r="R146" s="107">
        <f t="shared" si="107"/>
        <v>0</v>
      </c>
      <c r="S146" s="123" t="s">
        <v>129</v>
      </c>
      <c r="T146" s="10">
        <v>1</v>
      </c>
      <c r="U146" s="129">
        <f t="shared" si="103"/>
        <v>0</v>
      </c>
      <c r="V146" s="107">
        <f t="shared" si="108"/>
        <v>0</v>
      </c>
      <c r="W146" s="165">
        <f t="shared" si="104"/>
        <v>0</v>
      </c>
    </row>
    <row r="147" spans="1:23" x14ac:dyDescent="0.35">
      <c r="A147" s="2"/>
      <c r="B147" s="167" t="s">
        <v>289</v>
      </c>
      <c r="C147" s="123" t="s">
        <v>129</v>
      </c>
      <c r="D147" s="10">
        <v>1</v>
      </c>
      <c r="E147" s="25">
        <v>0</v>
      </c>
      <c r="F147" s="107">
        <f t="shared" si="99"/>
        <v>0</v>
      </c>
      <c r="G147" s="123" t="s">
        <v>129</v>
      </c>
      <c r="H147" s="10">
        <v>1</v>
      </c>
      <c r="I147" s="129">
        <f t="shared" si="100"/>
        <v>0</v>
      </c>
      <c r="J147" s="107">
        <f t="shared" si="105"/>
        <v>0</v>
      </c>
      <c r="K147" s="123" t="s">
        <v>129</v>
      </c>
      <c r="L147" s="10">
        <v>1</v>
      </c>
      <c r="M147" s="129">
        <f t="shared" si="101"/>
        <v>0</v>
      </c>
      <c r="N147" s="107">
        <f t="shared" si="106"/>
        <v>0</v>
      </c>
      <c r="O147" s="123" t="s">
        <v>129</v>
      </c>
      <c r="P147" s="10">
        <v>1</v>
      </c>
      <c r="Q147" s="129">
        <f t="shared" si="102"/>
        <v>0</v>
      </c>
      <c r="R147" s="107">
        <f t="shared" si="107"/>
        <v>0</v>
      </c>
      <c r="S147" s="123" t="s">
        <v>129</v>
      </c>
      <c r="T147" s="10">
        <v>1</v>
      </c>
      <c r="U147" s="129">
        <f t="shared" si="103"/>
        <v>0</v>
      </c>
      <c r="V147" s="107">
        <f t="shared" si="108"/>
        <v>0</v>
      </c>
      <c r="W147" s="165">
        <f t="shared" si="104"/>
        <v>0</v>
      </c>
    </row>
    <row r="148" spans="1:23" x14ac:dyDescent="0.35">
      <c r="A148" s="2"/>
      <c r="B148" s="14" t="s">
        <v>290</v>
      </c>
      <c r="C148" s="123" t="s">
        <v>129</v>
      </c>
      <c r="D148" s="10">
        <v>1</v>
      </c>
      <c r="E148" s="25">
        <v>0</v>
      </c>
      <c r="F148" s="107">
        <f t="shared" si="99"/>
        <v>0</v>
      </c>
      <c r="G148" s="123" t="s">
        <v>129</v>
      </c>
      <c r="H148" s="10">
        <v>1</v>
      </c>
      <c r="I148" s="129">
        <f t="shared" si="100"/>
        <v>0</v>
      </c>
      <c r="J148" s="107">
        <f t="shared" si="105"/>
        <v>0</v>
      </c>
      <c r="K148" s="123" t="s">
        <v>129</v>
      </c>
      <c r="L148" s="10">
        <v>1</v>
      </c>
      <c r="M148" s="129">
        <f t="shared" si="101"/>
        <v>0</v>
      </c>
      <c r="N148" s="107">
        <f t="shared" si="106"/>
        <v>0</v>
      </c>
      <c r="O148" s="123" t="s">
        <v>129</v>
      </c>
      <c r="P148" s="10">
        <v>1</v>
      </c>
      <c r="Q148" s="129">
        <f t="shared" si="102"/>
        <v>0</v>
      </c>
      <c r="R148" s="107">
        <f t="shared" si="107"/>
        <v>0</v>
      </c>
      <c r="S148" s="123" t="s">
        <v>129</v>
      </c>
      <c r="T148" s="10">
        <v>1</v>
      </c>
      <c r="U148" s="129">
        <f t="shared" si="103"/>
        <v>0</v>
      </c>
      <c r="V148" s="107">
        <f t="shared" si="108"/>
        <v>0</v>
      </c>
      <c r="W148" s="165">
        <f t="shared" si="104"/>
        <v>0</v>
      </c>
    </row>
    <row r="149" spans="1:23" x14ac:dyDescent="0.35">
      <c r="A149" s="2"/>
      <c r="B149" s="14" t="s">
        <v>291</v>
      </c>
      <c r="C149" s="123" t="s">
        <v>129</v>
      </c>
      <c r="D149" s="10">
        <v>1</v>
      </c>
      <c r="E149" s="25">
        <v>0</v>
      </c>
      <c r="F149" s="107">
        <f t="shared" si="99"/>
        <v>0</v>
      </c>
      <c r="G149" s="123" t="s">
        <v>129</v>
      </c>
      <c r="H149" s="10">
        <v>1</v>
      </c>
      <c r="I149" s="129">
        <f t="shared" si="100"/>
        <v>0</v>
      </c>
      <c r="J149" s="107">
        <f t="shared" si="105"/>
        <v>0</v>
      </c>
      <c r="K149" s="123" t="s">
        <v>129</v>
      </c>
      <c r="L149" s="10">
        <v>1</v>
      </c>
      <c r="M149" s="129">
        <f t="shared" si="101"/>
        <v>0</v>
      </c>
      <c r="N149" s="107">
        <f t="shared" si="106"/>
        <v>0</v>
      </c>
      <c r="O149" s="123" t="s">
        <v>129</v>
      </c>
      <c r="P149" s="10">
        <v>1</v>
      </c>
      <c r="Q149" s="129">
        <f t="shared" si="102"/>
        <v>0</v>
      </c>
      <c r="R149" s="107">
        <f t="shared" si="107"/>
        <v>0</v>
      </c>
      <c r="S149" s="123" t="s">
        <v>129</v>
      </c>
      <c r="T149" s="10">
        <v>1</v>
      </c>
      <c r="U149" s="129">
        <f t="shared" si="103"/>
        <v>0</v>
      </c>
      <c r="V149" s="107">
        <f t="shared" si="108"/>
        <v>0</v>
      </c>
      <c r="W149" s="165">
        <f t="shared" si="104"/>
        <v>0</v>
      </c>
    </row>
    <row r="150" spans="1:23" x14ac:dyDescent="0.35">
      <c r="A150" s="2"/>
      <c r="B150" s="151" t="s">
        <v>292</v>
      </c>
      <c r="C150" s="123" t="s">
        <v>129</v>
      </c>
      <c r="D150" s="10">
        <v>1</v>
      </c>
      <c r="E150" s="25">
        <v>0</v>
      </c>
      <c r="F150" s="107">
        <f t="shared" si="99"/>
        <v>0</v>
      </c>
      <c r="G150" s="123" t="s">
        <v>129</v>
      </c>
      <c r="H150" s="10">
        <v>1</v>
      </c>
      <c r="I150" s="129">
        <f t="shared" si="100"/>
        <v>0</v>
      </c>
      <c r="J150" s="107">
        <f t="shared" si="105"/>
        <v>0</v>
      </c>
      <c r="K150" s="123" t="s">
        <v>129</v>
      </c>
      <c r="L150" s="10">
        <v>1</v>
      </c>
      <c r="M150" s="129">
        <f t="shared" si="101"/>
        <v>0</v>
      </c>
      <c r="N150" s="107">
        <f t="shared" si="106"/>
        <v>0</v>
      </c>
      <c r="O150" s="123" t="s">
        <v>129</v>
      </c>
      <c r="P150" s="10">
        <v>1</v>
      </c>
      <c r="Q150" s="129">
        <f t="shared" si="102"/>
        <v>0</v>
      </c>
      <c r="R150" s="107">
        <f t="shared" si="107"/>
        <v>0</v>
      </c>
      <c r="S150" s="123" t="s">
        <v>129</v>
      </c>
      <c r="T150" s="10">
        <v>1</v>
      </c>
      <c r="U150" s="129">
        <f t="shared" si="103"/>
        <v>0</v>
      </c>
      <c r="V150" s="107">
        <f t="shared" si="108"/>
        <v>0</v>
      </c>
      <c r="W150" s="165">
        <f t="shared" si="104"/>
        <v>0</v>
      </c>
    </row>
    <row r="151" spans="1:23" x14ac:dyDescent="0.35">
      <c r="A151" s="2"/>
      <c r="B151" s="127" t="s">
        <v>293</v>
      </c>
      <c r="C151" s="123" t="s">
        <v>129</v>
      </c>
      <c r="D151" s="10">
        <v>1</v>
      </c>
      <c r="E151" s="25">
        <v>0</v>
      </c>
      <c r="F151" s="107">
        <f t="shared" si="99"/>
        <v>0</v>
      </c>
      <c r="G151" s="123" t="s">
        <v>129</v>
      </c>
      <c r="H151" s="10">
        <v>1</v>
      </c>
      <c r="I151" s="129">
        <f t="shared" si="100"/>
        <v>0</v>
      </c>
      <c r="J151" s="107">
        <f t="shared" si="105"/>
        <v>0</v>
      </c>
      <c r="K151" s="123" t="s">
        <v>129</v>
      </c>
      <c r="L151" s="10">
        <v>1</v>
      </c>
      <c r="M151" s="129">
        <f t="shared" si="101"/>
        <v>0</v>
      </c>
      <c r="N151" s="107">
        <f t="shared" si="106"/>
        <v>0</v>
      </c>
      <c r="O151" s="123" t="s">
        <v>129</v>
      </c>
      <c r="P151" s="10">
        <v>1</v>
      </c>
      <c r="Q151" s="129">
        <f t="shared" si="102"/>
        <v>0</v>
      </c>
      <c r="R151" s="107">
        <f t="shared" si="107"/>
        <v>0</v>
      </c>
      <c r="S151" s="123" t="s">
        <v>129</v>
      </c>
      <c r="T151" s="10">
        <v>1</v>
      </c>
      <c r="U151" s="129">
        <f t="shared" si="103"/>
        <v>0</v>
      </c>
      <c r="V151" s="107">
        <f t="shared" si="108"/>
        <v>0</v>
      </c>
      <c r="W151" s="165">
        <f t="shared" si="104"/>
        <v>0</v>
      </c>
    </row>
    <row r="152" spans="1:23" x14ac:dyDescent="0.35">
      <c r="A152" s="22"/>
      <c r="B152" s="23"/>
      <c r="C152" s="16"/>
      <c r="D152" s="19"/>
      <c r="E152" s="24" t="s">
        <v>274</v>
      </c>
      <c r="F152" s="21">
        <f>SUM(F140:F151)</f>
        <v>0</v>
      </c>
      <c r="G152" s="16"/>
      <c r="H152" s="19"/>
      <c r="I152" s="24" t="s">
        <v>274</v>
      </c>
      <c r="J152" s="21">
        <f>SUM(J140:J151)</f>
        <v>0</v>
      </c>
      <c r="K152" s="16"/>
      <c r="L152" s="19"/>
      <c r="M152" s="24" t="s">
        <v>274</v>
      </c>
      <c r="N152" s="21">
        <f>SUM(N140:N151)</f>
        <v>0</v>
      </c>
      <c r="O152" s="16"/>
      <c r="P152" s="19"/>
      <c r="Q152" s="24" t="s">
        <v>274</v>
      </c>
      <c r="R152" s="21">
        <f>SUM(R140:R151)</f>
        <v>0</v>
      </c>
      <c r="S152" s="16"/>
      <c r="T152" s="19"/>
      <c r="U152" s="24" t="s">
        <v>274</v>
      </c>
      <c r="V152" s="21">
        <f>SUM(V140:V151)</f>
        <v>0</v>
      </c>
      <c r="W152" s="165">
        <f>SUM(V152,R152,N152,J152,F152)</f>
        <v>0</v>
      </c>
    </row>
    <row r="153" spans="1:23" x14ac:dyDescent="0.35">
      <c r="A153" s="35"/>
      <c r="B153" s="36"/>
      <c r="C153" s="37"/>
      <c r="D153" s="38"/>
      <c r="E153" s="38"/>
      <c r="F153" s="36"/>
      <c r="G153" s="37"/>
      <c r="H153" s="38"/>
      <c r="I153" s="38"/>
      <c r="J153" s="36"/>
      <c r="K153" s="37"/>
      <c r="L153" s="38"/>
      <c r="M153" s="38"/>
      <c r="N153" s="36"/>
      <c r="O153" s="37"/>
      <c r="P153" s="38"/>
      <c r="Q153" s="38"/>
      <c r="R153" s="36"/>
      <c r="S153" s="37"/>
      <c r="T153" s="38"/>
      <c r="U153" s="38"/>
      <c r="V153" s="36"/>
      <c r="W153" s="46"/>
    </row>
    <row r="154" spans="1:23" x14ac:dyDescent="0.35">
      <c r="C154" s="192" t="s">
        <v>86</v>
      </c>
      <c r="D154" s="192"/>
      <c r="E154" s="192"/>
      <c r="F154" s="192"/>
      <c r="G154" s="192" t="s">
        <v>87</v>
      </c>
      <c r="H154" s="192"/>
      <c r="I154" s="192"/>
      <c r="J154" s="192"/>
      <c r="K154" s="192" t="s">
        <v>88</v>
      </c>
      <c r="L154" s="192"/>
      <c r="M154" s="192"/>
      <c r="N154" s="192"/>
      <c r="O154" s="192" t="s">
        <v>89</v>
      </c>
      <c r="P154" s="192"/>
      <c r="Q154" s="192"/>
      <c r="R154" s="192"/>
      <c r="S154" s="192" t="s">
        <v>90</v>
      </c>
      <c r="T154" s="192"/>
      <c r="U154" s="192"/>
      <c r="V154" s="192"/>
      <c r="W154" s="45"/>
    </row>
    <row r="155" spans="1:23" s="148" customFormat="1" x14ac:dyDescent="0.35">
      <c r="A155" s="188" t="s">
        <v>294</v>
      </c>
      <c r="B155" s="188"/>
      <c r="C155" s="190" t="s">
        <v>276</v>
      </c>
      <c r="D155" s="190"/>
      <c r="E155" s="190"/>
      <c r="F155" s="190"/>
      <c r="G155" s="190" t="s">
        <v>277</v>
      </c>
      <c r="H155" s="190"/>
      <c r="I155" s="190"/>
      <c r="J155" s="190"/>
      <c r="K155" s="190" t="s">
        <v>278</v>
      </c>
      <c r="L155" s="190"/>
      <c r="M155" s="190"/>
      <c r="N155" s="190"/>
      <c r="O155" s="190" t="s">
        <v>279</v>
      </c>
      <c r="P155" s="190"/>
      <c r="Q155" s="190"/>
      <c r="R155" s="190"/>
      <c r="S155" s="190" t="s">
        <v>280</v>
      </c>
      <c r="T155" s="190"/>
      <c r="U155" s="190"/>
      <c r="V155" s="190"/>
      <c r="W155" s="147"/>
    </row>
    <row r="156" spans="1:23" x14ac:dyDescent="0.35">
      <c r="A156" s="8" t="s">
        <v>96</v>
      </c>
      <c r="B156" s="12" t="s">
        <v>12</v>
      </c>
      <c r="C156" s="4" t="s">
        <v>97</v>
      </c>
      <c r="D156" s="55" t="s">
        <v>98</v>
      </c>
      <c r="E156" s="56" t="s">
        <v>99</v>
      </c>
      <c r="F156" s="6" t="s">
        <v>100</v>
      </c>
      <c r="G156" s="4" t="s">
        <v>97</v>
      </c>
      <c r="H156" s="55" t="s">
        <v>98</v>
      </c>
      <c r="I156" s="56" t="s">
        <v>99</v>
      </c>
      <c r="J156" s="6" t="s">
        <v>100</v>
      </c>
      <c r="K156" s="4" t="s">
        <v>97</v>
      </c>
      <c r="L156" s="55" t="s">
        <v>98</v>
      </c>
      <c r="M156" s="56" t="s">
        <v>99</v>
      </c>
      <c r="N156" s="6" t="s">
        <v>100</v>
      </c>
      <c r="O156" s="4" t="s">
        <v>97</v>
      </c>
      <c r="P156" s="55" t="s">
        <v>98</v>
      </c>
      <c r="Q156" s="56" t="s">
        <v>99</v>
      </c>
      <c r="R156" s="6" t="s">
        <v>100</v>
      </c>
      <c r="S156" s="4" t="s">
        <v>97</v>
      </c>
      <c r="T156" s="55" t="s">
        <v>98</v>
      </c>
      <c r="U156" s="56" t="s">
        <v>99</v>
      </c>
      <c r="V156" s="6" t="s">
        <v>100</v>
      </c>
      <c r="W156" s="44"/>
    </row>
    <row r="157" spans="1:23" x14ac:dyDescent="0.35">
      <c r="A157" s="13" t="s">
        <v>300</v>
      </c>
      <c r="B157" s="12" t="s">
        <v>301</v>
      </c>
      <c r="C157" s="4"/>
      <c r="D157" s="55"/>
      <c r="E157" s="141"/>
      <c r="F157" s="6"/>
      <c r="G157" s="4"/>
      <c r="H157" s="55"/>
      <c r="I157" s="141"/>
      <c r="J157" s="6"/>
      <c r="K157" s="4"/>
      <c r="L157" s="55"/>
      <c r="M157" s="141"/>
      <c r="N157" s="6"/>
      <c r="O157" s="4"/>
      <c r="P157" s="55"/>
      <c r="Q157" s="141"/>
      <c r="R157" s="6"/>
      <c r="S157" s="4"/>
      <c r="T157" s="55"/>
      <c r="U157" s="56"/>
      <c r="V157" s="6"/>
      <c r="W157" s="142"/>
    </row>
    <row r="158" spans="1:23" x14ac:dyDescent="0.35">
      <c r="A158" s="13" t="s">
        <v>302</v>
      </c>
      <c r="B158" s="12" t="s">
        <v>123</v>
      </c>
      <c r="C158" s="4"/>
      <c r="D158" s="55"/>
      <c r="E158" s="141"/>
      <c r="F158" s="6"/>
      <c r="G158" s="4"/>
      <c r="H158" s="55"/>
      <c r="I158" s="141"/>
      <c r="J158" s="6"/>
      <c r="K158" s="4"/>
      <c r="L158" s="55"/>
      <c r="M158" s="141"/>
      <c r="N158" s="6"/>
      <c r="O158" s="4"/>
      <c r="P158" s="55"/>
      <c r="Q158" s="141"/>
      <c r="R158" s="6"/>
      <c r="S158" s="4"/>
      <c r="T158" s="55"/>
      <c r="U158" s="56"/>
      <c r="V158" s="6"/>
      <c r="W158" s="142"/>
    </row>
    <row r="159" spans="1:23" x14ac:dyDescent="0.35">
      <c r="A159" s="13" t="s">
        <v>303</v>
      </c>
      <c r="B159" s="12" t="s">
        <v>304</v>
      </c>
      <c r="C159" s="4"/>
      <c r="D159" s="55"/>
      <c r="E159" s="141"/>
      <c r="F159" s="6"/>
      <c r="G159" s="4"/>
      <c r="H159" s="55"/>
      <c r="I159" s="141"/>
      <c r="J159" s="6"/>
      <c r="K159" s="4"/>
      <c r="L159" s="55"/>
      <c r="M159" s="141"/>
      <c r="N159" s="6"/>
      <c r="O159" s="4"/>
      <c r="P159" s="55"/>
      <c r="Q159" s="141"/>
      <c r="R159" s="6"/>
      <c r="S159" s="4"/>
      <c r="T159" s="55"/>
      <c r="U159" s="56"/>
      <c r="V159" s="6"/>
      <c r="W159" s="142"/>
    </row>
    <row r="160" spans="1:23" x14ac:dyDescent="0.35">
      <c r="A160" s="8"/>
      <c r="B160" s="12"/>
      <c r="C160" s="9"/>
      <c r="D160" s="10"/>
      <c r="E160" s="121"/>
      <c r="F160" s="122"/>
      <c r="G160" s="123"/>
      <c r="H160" s="10"/>
      <c r="I160" s="121"/>
      <c r="J160" s="122"/>
      <c r="K160" s="123"/>
      <c r="L160" s="10"/>
      <c r="M160" s="121"/>
      <c r="N160" s="122"/>
      <c r="O160" s="123"/>
      <c r="P160" s="10"/>
      <c r="Q160" s="121"/>
      <c r="R160" s="6"/>
      <c r="S160" s="4"/>
      <c r="T160" s="55"/>
      <c r="U160" s="56"/>
      <c r="V160" s="6"/>
      <c r="W160" s="140"/>
    </row>
    <row r="161" spans="1:23" x14ac:dyDescent="0.35">
      <c r="A161" s="108"/>
      <c r="B161" s="12"/>
      <c r="C161" s="110"/>
      <c r="D161" s="111"/>
      <c r="E161" s="112"/>
      <c r="F161" s="113"/>
      <c r="G161" s="110"/>
      <c r="H161" s="111"/>
      <c r="I161" s="112"/>
      <c r="J161" s="113"/>
      <c r="K161" s="110"/>
      <c r="L161" s="111"/>
      <c r="M161" s="112"/>
      <c r="N161" s="113"/>
      <c r="O161" s="110"/>
      <c r="P161" s="111"/>
      <c r="Q161" s="112"/>
      <c r="R161" s="113"/>
      <c r="S161" s="110"/>
      <c r="T161" s="111"/>
      <c r="U161" s="112"/>
      <c r="V161" s="113"/>
      <c r="W161" s="140"/>
    </row>
    <row r="162" spans="1:23" ht="16" thickBot="1" x14ac:dyDescent="0.4">
      <c r="A162" s="35"/>
      <c r="B162" s="36"/>
      <c r="C162" s="37"/>
      <c r="D162" s="38"/>
      <c r="E162" s="38"/>
      <c r="F162" s="36"/>
      <c r="G162" s="37"/>
      <c r="H162" s="38"/>
      <c r="I162" s="38"/>
      <c r="J162" s="36"/>
      <c r="K162" s="37"/>
      <c r="L162" s="38"/>
      <c r="M162" s="38"/>
      <c r="N162" s="36"/>
      <c r="O162" s="37"/>
      <c r="P162" s="38"/>
      <c r="Q162" s="38"/>
      <c r="R162" s="36"/>
      <c r="S162" s="37"/>
      <c r="T162" s="38"/>
      <c r="U162" s="38"/>
      <c r="V162" s="36"/>
      <c r="W162" s="46"/>
    </row>
    <row r="163" spans="1:23" hidden="1" x14ac:dyDescent="0.35">
      <c r="C163" s="192" t="s">
        <v>86</v>
      </c>
      <c r="D163" s="192"/>
      <c r="E163" s="192"/>
      <c r="F163" s="192"/>
      <c r="G163" s="192" t="s">
        <v>87</v>
      </c>
      <c r="H163" s="192"/>
      <c r="I163" s="192"/>
      <c r="J163" s="192"/>
      <c r="K163" s="192" t="s">
        <v>88</v>
      </c>
      <c r="L163" s="192"/>
      <c r="M163" s="192"/>
      <c r="N163" s="192"/>
      <c r="O163" s="192" t="s">
        <v>89</v>
      </c>
      <c r="P163" s="192"/>
      <c r="Q163" s="192"/>
      <c r="R163" s="192"/>
      <c r="S163" s="192" t="s">
        <v>90</v>
      </c>
      <c r="T163" s="192"/>
      <c r="U163" s="192"/>
      <c r="V163" s="192"/>
      <c r="W163" s="45"/>
    </row>
    <row r="164" spans="1:23" s="148" customFormat="1" hidden="1" x14ac:dyDescent="0.35">
      <c r="A164" s="188" t="s">
        <v>305</v>
      </c>
      <c r="B164" s="188"/>
      <c r="C164" s="190" t="s">
        <v>295</v>
      </c>
      <c r="D164" s="190"/>
      <c r="E164" s="190"/>
      <c r="F164" s="190"/>
      <c r="G164" s="190" t="s">
        <v>296</v>
      </c>
      <c r="H164" s="190"/>
      <c r="I164" s="190"/>
      <c r="J164" s="190"/>
      <c r="K164" s="190" t="s">
        <v>297</v>
      </c>
      <c r="L164" s="190"/>
      <c r="M164" s="190"/>
      <c r="N164" s="190"/>
      <c r="O164" s="190" t="s">
        <v>298</v>
      </c>
      <c r="P164" s="190"/>
      <c r="Q164" s="190"/>
      <c r="R164" s="190"/>
      <c r="S164" s="190" t="s">
        <v>299</v>
      </c>
      <c r="T164" s="190"/>
      <c r="U164" s="190"/>
      <c r="V164" s="190"/>
      <c r="W164" s="147"/>
    </row>
    <row r="165" spans="1:23" hidden="1" x14ac:dyDescent="0.35">
      <c r="A165" s="8" t="s">
        <v>96</v>
      </c>
      <c r="B165" s="12" t="s">
        <v>311</v>
      </c>
      <c r="C165" s="4" t="s">
        <v>97</v>
      </c>
      <c r="D165" s="55" t="s">
        <v>98</v>
      </c>
      <c r="E165" s="56" t="s">
        <v>99</v>
      </c>
      <c r="F165" s="6" t="s">
        <v>100</v>
      </c>
      <c r="G165" s="4" t="s">
        <v>97</v>
      </c>
      <c r="H165" s="55" t="s">
        <v>98</v>
      </c>
      <c r="I165" s="56" t="s">
        <v>99</v>
      </c>
      <c r="J165" s="6" t="s">
        <v>100</v>
      </c>
      <c r="K165" s="4" t="s">
        <v>97</v>
      </c>
      <c r="L165" s="55" t="s">
        <v>98</v>
      </c>
      <c r="M165" s="56" t="s">
        <v>99</v>
      </c>
      <c r="N165" s="6" t="s">
        <v>100</v>
      </c>
      <c r="O165" s="4" t="s">
        <v>97</v>
      </c>
      <c r="P165" s="55" t="s">
        <v>98</v>
      </c>
      <c r="Q165" s="56" t="s">
        <v>99</v>
      </c>
      <c r="R165" s="6" t="s">
        <v>100</v>
      </c>
      <c r="S165" s="4" t="s">
        <v>97</v>
      </c>
      <c r="T165" s="55" t="s">
        <v>98</v>
      </c>
      <c r="U165" s="56" t="s">
        <v>99</v>
      </c>
      <c r="V165" s="6" t="s">
        <v>100</v>
      </c>
      <c r="W165" s="44"/>
    </row>
    <row r="166" spans="1:23" hidden="1" x14ac:dyDescent="0.35">
      <c r="A166" s="8"/>
      <c r="B166" s="3" t="s">
        <v>312</v>
      </c>
      <c r="C166" s="9"/>
      <c r="D166" s="10"/>
      <c r="E166" s="121"/>
      <c r="F166" s="170"/>
      <c r="G166" s="9"/>
      <c r="H166" s="10"/>
      <c r="I166" s="121"/>
      <c r="J166" s="170"/>
      <c r="K166" s="9"/>
      <c r="L166" s="10"/>
      <c r="M166" s="121"/>
      <c r="N166" s="170"/>
      <c r="O166" s="9"/>
      <c r="P166" s="10"/>
      <c r="Q166" s="121"/>
      <c r="R166" s="170"/>
      <c r="S166" s="9"/>
      <c r="T166" s="10"/>
      <c r="U166" s="121"/>
      <c r="V166" s="170"/>
      <c r="W166" s="165"/>
    </row>
    <row r="167" spans="1:23" hidden="1" x14ac:dyDescent="0.35">
      <c r="A167" s="146"/>
      <c r="B167" s="3" t="s">
        <v>313</v>
      </c>
      <c r="C167" s="9"/>
      <c r="D167" s="10"/>
      <c r="E167" s="121"/>
      <c r="F167" s="170"/>
      <c r="G167" s="9"/>
      <c r="H167" s="10"/>
      <c r="I167" s="121"/>
      <c r="J167" s="170"/>
      <c r="K167" s="9"/>
      <c r="L167" s="10"/>
      <c r="M167" s="121"/>
      <c r="N167" s="170"/>
      <c r="O167" s="9"/>
      <c r="P167" s="10"/>
      <c r="Q167" s="121"/>
      <c r="R167" s="170"/>
      <c r="S167" s="9"/>
      <c r="T167" s="10"/>
      <c r="U167" s="121"/>
      <c r="V167" s="170"/>
      <c r="W167" s="165"/>
    </row>
    <row r="168" spans="1:23" ht="16" hidden="1" thickBot="1" x14ac:dyDescent="0.4">
      <c r="A168" s="146"/>
      <c r="B168" s="169"/>
      <c r="C168" s="110"/>
      <c r="D168" s="111"/>
      <c r="E168" s="24" t="s">
        <v>274</v>
      </c>
      <c r="F168" s="171">
        <f>SUM(F166:F167)</f>
        <v>0</v>
      </c>
      <c r="G168" s="110"/>
      <c r="H168" s="111"/>
      <c r="I168" s="24" t="s">
        <v>274</v>
      </c>
      <c r="J168" s="171">
        <f>SUM(J166:J167)</f>
        <v>0</v>
      </c>
      <c r="K168" s="110"/>
      <c r="L168" s="111"/>
      <c r="M168" s="24" t="s">
        <v>274</v>
      </c>
      <c r="N168" s="171">
        <f>SUM(N166:N167)</f>
        <v>0</v>
      </c>
      <c r="O168" s="110"/>
      <c r="P168" s="111"/>
      <c r="Q168" s="24" t="s">
        <v>274</v>
      </c>
      <c r="R168" s="171">
        <f>SUM(R166:R167)</f>
        <v>0</v>
      </c>
      <c r="S168" s="110"/>
      <c r="T168" s="111"/>
      <c r="U168" s="24" t="s">
        <v>274</v>
      </c>
      <c r="V168" s="171">
        <f>SUM(V166:V167)</f>
        <v>0</v>
      </c>
      <c r="W168" s="165">
        <f>SUM(V168,R168,N168,J168,F168)</f>
        <v>0</v>
      </c>
    </row>
    <row r="169" spans="1:23" ht="18" thickBot="1" x14ac:dyDescent="0.4">
      <c r="A169" s="39" t="s">
        <v>314</v>
      </c>
      <c r="B169" s="40"/>
      <c r="C169" s="41"/>
      <c r="D169" s="40"/>
      <c r="E169" s="40"/>
      <c r="F169" s="172">
        <f>SUM(F168,F152,F111,F39,F104,F97,F90,F74,F57,F135,F27)</f>
        <v>0</v>
      </c>
      <c r="G169" s="41"/>
      <c r="H169" s="40"/>
      <c r="I169" s="40"/>
      <c r="J169" s="172">
        <f>SUM(J168,J152,J111,J39,J104,J97,J90,J74,J57,J135,J27)</f>
        <v>0</v>
      </c>
      <c r="K169" s="41"/>
      <c r="L169" s="40"/>
      <c r="M169" s="40"/>
      <c r="N169" s="172">
        <f>SUM(N168,N152,N111,N39,N104,N97,N90,N74,N57,N135,N27)</f>
        <v>0</v>
      </c>
      <c r="O169" s="41"/>
      <c r="P169" s="40"/>
      <c r="Q169" s="40"/>
      <c r="R169" s="172">
        <f>SUM(R168,R152,R111,R39,R104,R97,R90,R74,R57,R135,R27)</f>
        <v>0</v>
      </c>
      <c r="S169" s="41"/>
      <c r="T169" s="40"/>
      <c r="U169" s="40"/>
      <c r="V169" s="172">
        <f>SUM(V168,V152,V111,V39,V104,V97,V90,V74,V57,V135,V27)</f>
        <v>0</v>
      </c>
      <c r="W169" s="42">
        <f>SUM(V169,R169,N169,J169,F169)</f>
        <v>0</v>
      </c>
    </row>
    <row r="170" spans="1:23" x14ac:dyDescent="0.35">
      <c r="W170" s="50" t="s">
        <v>79</v>
      </c>
    </row>
    <row r="171" spans="1:23" x14ac:dyDescent="0.35">
      <c r="W171" s="51" t="e">
        <f>IF(W169=SUM(#REF!,#REF!,W135,W97,#REF!,W57,W74,W90),"Ok","Error")</f>
        <v>#REF!</v>
      </c>
    </row>
  </sheetData>
  <mergeCells count="133">
    <mergeCell ref="A10:B10"/>
    <mergeCell ref="C10:F10"/>
    <mergeCell ref="G10:J10"/>
    <mergeCell ref="K10:N10"/>
    <mergeCell ref="O10:R10"/>
    <mergeCell ref="S10:V10"/>
    <mergeCell ref="A11:B11"/>
    <mergeCell ref="C11:F11"/>
    <mergeCell ref="G11:J11"/>
    <mergeCell ref="K11:N11"/>
    <mergeCell ref="O11:R11"/>
    <mergeCell ref="S11:V11"/>
    <mergeCell ref="A114:B114"/>
    <mergeCell ref="C114:F114"/>
    <mergeCell ref="G114:J114"/>
    <mergeCell ref="K114:N114"/>
    <mergeCell ref="O114:R114"/>
    <mergeCell ref="S114:V114"/>
    <mergeCell ref="C113:F113"/>
    <mergeCell ref="G113:J113"/>
    <mergeCell ref="K113:N113"/>
    <mergeCell ref="O113:R113"/>
    <mergeCell ref="S113:V113"/>
    <mergeCell ref="C41:F41"/>
    <mergeCell ref="G41:J41"/>
    <mergeCell ref="K41:N41"/>
    <mergeCell ref="O41:R41"/>
    <mergeCell ref="S41:V41"/>
    <mergeCell ref="A42:B42"/>
    <mergeCell ref="C42:F42"/>
    <mergeCell ref="G42:J42"/>
    <mergeCell ref="K42:N42"/>
    <mergeCell ref="O42:R42"/>
    <mergeCell ref="C59:F59"/>
    <mergeCell ref="G59:J59"/>
    <mergeCell ref="K59:N59"/>
    <mergeCell ref="O59:R59"/>
    <mergeCell ref="S59:V59"/>
    <mergeCell ref="S42:V42"/>
    <mergeCell ref="A60:B60"/>
    <mergeCell ref="C60:F60"/>
    <mergeCell ref="G60:J60"/>
    <mergeCell ref="K60:N60"/>
    <mergeCell ref="O60:R60"/>
    <mergeCell ref="S60:V60"/>
    <mergeCell ref="C76:F76"/>
    <mergeCell ref="G76:J76"/>
    <mergeCell ref="K76:N76"/>
    <mergeCell ref="O76:R76"/>
    <mergeCell ref="S76:V76"/>
    <mergeCell ref="A77:B77"/>
    <mergeCell ref="C77:F77"/>
    <mergeCell ref="G77:J77"/>
    <mergeCell ref="K77:N77"/>
    <mergeCell ref="O77:R77"/>
    <mergeCell ref="C92:F92"/>
    <mergeCell ref="G92:J92"/>
    <mergeCell ref="K92:N92"/>
    <mergeCell ref="O92:R92"/>
    <mergeCell ref="S92:V92"/>
    <mergeCell ref="S77:V77"/>
    <mergeCell ref="A93:B93"/>
    <mergeCell ref="C93:F93"/>
    <mergeCell ref="G93:J93"/>
    <mergeCell ref="K93:N93"/>
    <mergeCell ref="O93:R93"/>
    <mergeCell ref="S93:V93"/>
    <mergeCell ref="A100:B100"/>
    <mergeCell ref="C100:F100"/>
    <mergeCell ref="G100:J100"/>
    <mergeCell ref="K100:N100"/>
    <mergeCell ref="O100:R100"/>
    <mergeCell ref="S100:V100"/>
    <mergeCell ref="C99:F99"/>
    <mergeCell ref="G99:J99"/>
    <mergeCell ref="K99:N99"/>
    <mergeCell ref="O99:R99"/>
    <mergeCell ref="S99:V99"/>
    <mergeCell ref="A107:B107"/>
    <mergeCell ref="C107:F107"/>
    <mergeCell ref="G107:J107"/>
    <mergeCell ref="K107:N107"/>
    <mergeCell ref="O107:R107"/>
    <mergeCell ref="S107:V107"/>
    <mergeCell ref="C106:F106"/>
    <mergeCell ref="G106:J106"/>
    <mergeCell ref="K106:N106"/>
    <mergeCell ref="O106:R106"/>
    <mergeCell ref="S106:V106"/>
    <mergeCell ref="S163:V163"/>
    <mergeCell ref="S164:V164"/>
    <mergeCell ref="A155:B155"/>
    <mergeCell ref="C155:F155"/>
    <mergeCell ref="G155:J155"/>
    <mergeCell ref="K155:N155"/>
    <mergeCell ref="O155:R155"/>
    <mergeCell ref="S155:V155"/>
    <mergeCell ref="C154:F154"/>
    <mergeCell ref="G154:J154"/>
    <mergeCell ref="K154:N154"/>
    <mergeCell ref="O154:R154"/>
    <mergeCell ref="S154:V154"/>
    <mergeCell ref="A164:B164"/>
    <mergeCell ref="C164:F164"/>
    <mergeCell ref="G164:J164"/>
    <mergeCell ref="K164:N164"/>
    <mergeCell ref="O164:R164"/>
    <mergeCell ref="C163:F163"/>
    <mergeCell ref="G163:J163"/>
    <mergeCell ref="K163:N163"/>
    <mergeCell ref="O163:R163"/>
    <mergeCell ref="A30:B30"/>
    <mergeCell ref="C30:F30"/>
    <mergeCell ref="G30:J30"/>
    <mergeCell ref="K30:N30"/>
    <mergeCell ref="O30:R30"/>
    <mergeCell ref="S30:V30"/>
    <mergeCell ref="C29:F29"/>
    <mergeCell ref="G29:J29"/>
    <mergeCell ref="K29:N29"/>
    <mergeCell ref="O29:R29"/>
    <mergeCell ref="S29:V29"/>
    <mergeCell ref="A138:B138"/>
    <mergeCell ref="C138:F138"/>
    <mergeCell ref="G138:J138"/>
    <mergeCell ref="K138:N138"/>
    <mergeCell ref="O138:R138"/>
    <mergeCell ref="S138:V138"/>
    <mergeCell ref="C137:F137"/>
    <mergeCell ref="G137:J137"/>
    <mergeCell ref="K137:N137"/>
    <mergeCell ref="O137:R137"/>
    <mergeCell ref="S137:V137"/>
  </mergeCells>
  <phoneticPr fontId="17" type="noConversion"/>
  <printOptions horizontalCentered="1"/>
  <pageMargins left="0.2" right="0.2" top="0.25" bottom="0.25" header="0.05" footer="0.05"/>
  <pageSetup paperSize="9" scale="22" fitToHeight="0" orientation="landscape" r:id="rId1"/>
  <headerFooter>
    <oddFooter>&amp;C&amp;1#&amp;"Times New Roman"&amp;10&amp;K000000SENSITIVE BUT UNCLASSIFIED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73AA-97DF-4B10-8B31-6DCBFB27F285}">
  <dimension ref="A1:H42757"/>
  <sheetViews>
    <sheetView topLeftCell="A42757" zoomScale="90" zoomScaleNormal="90" workbookViewId="0">
      <selection activeCell="A42757" sqref="A42757"/>
    </sheetView>
  </sheetViews>
  <sheetFormatPr defaultRowHeight="14.5" x14ac:dyDescent="0.35"/>
  <cols>
    <col min="1" max="1" width="12.26953125" customWidth="1"/>
    <col min="3" max="3" width="13.81640625" customWidth="1"/>
    <col min="8" max="8" width="38.453125" customWidth="1"/>
  </cols>
  <sheetData>
    <row r="1" spans="1:8" ht="24" customHeight="1" x14ac:dyDescent="0.4">
      <c r="A1" s="197" t="s">
        <v>372</v>
      </c>
      <c r="B1" s="197"/>
      <c r="C1" s="197"/>
      <c r="D1" s="197"/>
      <c r="E1" s="197"/>
      <c r="F1" s="197"/>
      <c r="G1" s="197"/>
      <c r="H1" s="197"/>
    </row>
    <row r="2" spans="1:8" ht="409" customHeight="1" x14ac:dyDescent="0.35">
      <c r="A2" s="198"/>
      <c r="B2" s="199"/>
      <c r="C2" s="199"/>
      <c r="D2" s="199"/>
      <c r="E2" s="199"/>
      <c r="F2" s="199"/>
      <c r="G2" s="199"/>
      <c r="H2" s="200"/>
    </row>
    <row r="3" spans="1:8" ht="65.150000000000006" customHeight="1" x14ac:dyDescent="0.35"/>
    <row r="4" spans="1:8" ht="92.15" customHeight="1" x14ac:dyDescent="0.35"/>
    <row r="5" spans="1:8" ht="197.15" customHeight="1" x14ac:dyDescent="0.35"/>
    <row r="6" spans="1:8" ht="54.75" customHeight="1" x14ac:dyDescent="0.35"/>
    <row r="42757" spans="1:1" x14ac:dyDescent="0.35"/>
  </sheetData>
  <mergeCells count="2">
    <mergeCell ref="A1:H1"/>
    <mergeCell ref="A2:H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78C5B-8CF8-4335-9BA4-A0F1EDB6061B}">
  <dimension ref="A1:L17"/>
  <sheetViews>
    <sheetView workbookViewId="0">
      <selection activeCell="A4" sqref="A4"/>
    </sheetView>
  </sheetViews>
  <sheetFormatPr defaultRowHeight="14.5" x14ac:dyDescent="0.35"/>
  <sheetData>
    <row r="1" spans="1:12" ht="20" x14ac:dyDescent="0.4">
      <c r="A1" s="197" t="s">
        <v>373</v>
      </c>
      <c r="B1" s="197"/>
      <c r="C1" s="197"/>
      <c r="D1" s="197"/>
      <c r="E1" s="197"/>
      <c r="F1" s="197"/>
      <c r="G1" s="197"/>
      <c r="H1" s="197"/>
      <c r="I1" s="197"/>
      <c r="J1" s="197"/>
      <c r="K1" s="197"/>
      <c r="L1" s="197"/>
    </row>
    <row r="3" spans="1:12" ht="20.25" customHeight="1" thickBot="1" x14ac:dyDescent="0.4">
      <c r="A3" s="201" t="s">
        <v>374</v>
      </c>
      <c r="B3" s="202"/>
      <c r="C3" s="202"/>
      <c r="D3" s="202"/>
      <c r="E3" s="202"/>
      <c r="F3" s="202"/>
      <c r="G3" s="202"/>
      <c r="H3" s="202"/>
      <c r="I3" s="202"/>
      <c r="J3" s="202"/>
      <c r="K3" s="202"/>
      <c r="L3" s="202"/>
    </row>
    <row r="4" spans="1:12" x14ac:dyDescent="0.35">
      <c r="A4" s="203"/>
      <c r="B4" s="204"/>
      <c r="C4" s="204"/>
      <c r="D4" s="204"/>
      <c r="E4" s="204"/>
      <c r="F4" s="204"/>
      <c r="G4" s="204"/>
      <c r="H4" s="204"/>
      <c r="I4" s="204"/>
      <c r="J4" s="204"/>
      <c r="K4" s="204"/>
      <c r="L4" s="205"/>
    </row>
    <row r="5" spans="1:12" x14ac:dyDescent="0.35">
      <c r="A5" s="206"/>
      <c r="B5" s="207"/>
      <c r="C5" s="207"/>
      <c r="D5" s="207"/>
      <c r="E5" s="207"/>
      <c r="F5" s="207"/>
      <c r="G5" s="207"/>
      <c r="H5" s="207"/>
      <c r="I5" s="207"/>
      <c r="J5" s="207"/>
      <c r="K5" s="207"/>
      <c r="L5" s="208"/>
    </row>
    <row r="6" spans="1:12" x14ac:dyDescent="0.35">
      <c r="A6" s="206"/>
      <c r="B6" s="207"/>
      <c r="C6" s="207"/>
      <c r="D6" s="207"/>
      <c r="E6" s="207"/>
      <c r="F6" s="207"/>
      <c r="G6" s="207"/>
      <c r="H6" s="207"/>
      <c r="I6" s="207"/>
      <c r="J6" s="207"/>
      <c r="K6" s="207"/>
      <c r="L6" s="208"/>
    </row>
    <row r="7" spans="1:12" x14ac:dyDescent="0.35">
      <c r="A7" s="206"/>
      <c r="B7" s="207"/>
      <c r="C7" s="207"/>
      <c r="D7" s="207"/>
      <c r="E7" s="207"/>
      <c r="F7" s="207"/>
      <c r="G7" s="207"/>
      <c r="H7" s="207"/>
      <c r="I7" s="207"/>
      <c r="J7" s="207"/>
      <c r="K7" s="207"/>
      <c r="L7" s="208"/>
    </row>
    <row r="8" spans="1:12" x14ac:dyDescent="0.35">
      <c r="A8" s="206"/>
      <c r="B8" s="207"/>
      <c r="C8" s="207"/>
      <c r="D8" s="207"/>
      <c r="E8" s="207"/>
      <c r="F8" s="207"/>
      <c r="G8" s="207"/>
      <c r="H8" s="207"/>
      <c r="I8" s="207"/>
      <c r="J8" s="207"/>
      <c r="K8" s="207"/>
      <c r="L8" s="208"/>
    </row>
    <row r="9" spans="1:12" x14ac:dyDescent="0.35">
      <c r="A9" s="206"/>
      <c r="B9" s="207"/>
      <c r="C9" s="207"/>
      <c r="D9" s="207"/>
      <c r="E9" s="207"/>
      <c r="F9" s="207"/>
      <c r="G9" s="207"/>
      <c r="H9" s="207"/>
      <c r="I9" s="207"/>
      <c r="J9" s="207"/>
      <c r="K9" s="207"/>
      <c r="L9" s="208"/>
    </row>
    <row r="10" spans="1:12" x14ac:dyDescent="0.35">
      <c r="A10" s="206"/>
      <c r="B10" s="207"/>
      <c r="C10" s="207"/>
      <c r="D10" s="207"/>
      <c r="E10" s="207"/>
      <c r="F10" s="207"/>
      <c r="G10" s="207"/>
      <c r="H10" s="207"/>
      <c r="I10" s="207"/>
      <c r="J10" s="207"/>
      <c r="K10" s="207"/>
      <c r="L10" s="208"/>
    </row>
    <row r="11" spans="1:12" x14ac:dyDescent="0.35">
      <c r="A11" s="209"/>
      <c r="B11" s="210"/>
      <c r="C11" s="210"/>
      <c r="D11" s="210"/>
      <c r="E11" s="210"/>
      <c r="F11" s="210"/>
      <c r="G11" s="210"/>
      <c r="H11" s="210"/>
      <c r="I11" s="210"/>
      <c r="J11" s="210"/>
      <c r="K11" s="210"/>
      <c r="L11" s="211"/>
    </row>
    <row r="12" spans="1:12" x14ac:dyDescent="0.35">
      <c r="A12" s="209"/>
      <c r="B12" s="210"/>
      <c r="C12" s="210"/>
      <c r="D12" s="210"/>
      <c r="E12" s="210"/>
      <c r="F12" s="210"/>
      <c r="G12" s="210"/>
      <c r="H12" s="210"/>
      <c r="I12" s="210"/>
      <c r="J12" s="210"/>
      <c r="K12" s="210"/>
      <c r="L12" s="211"/>
    </row>
    <row r="13" spans="1:12" x14ac:dyDescent="0.35">
      <c r="A13" s="209"/>
      <c r="B13" s="210"/>
      <c r="C13" s="210"/>
      <c r="D13" s="210"/>
      <c r="E13" s="210"/>
      <c r="F13" s="210"/>
      <c r="G13" s="210"/>
      <c r="H13" s="210"/>
      <c r="I13" s="210"/>
      <c r="J13" s="210"/>
      <c r="K13" s="210"/>
      <c r="L13" s="211"/>
    </row>
    <row r="14" spans="1:12" x14ac:dyDescent="0.35">
      <c r="A14" s="209"/>
      <c r="B14" s="210"/>
      <c r="C14" s="210"/>
      <c r="D14" s="210"/>
      <c r="E14" s="210"/>
      <c r="F14" s="210"/>
      <c r="G14" s="210"/>
      <c r="H14" s="210"/>
      <c r="I14" s="210"/>
      <c r="J14" s="210"/>
      <c r="K14" s="210"/>
      <c r="L14" s="211"/>
    </row>
    <row r="15" spans="1:12" x14ac:dyDescent="0.35">
      <c r="A15" s="209"/>
      <c r="B15" s="210"/>
      <c r="C15" s="210"/>
      <c r="D15" s="210"/>
      <c r="E15" s="210"/>
      <c r="F15" s="210"/>
      <c r="G15" s="210"/>
      <c r="H15" s="210"/>
      <c r="I15" s="210"/>
      <c r="J15" s="210"/>
      <c r="K15" s="210"/>
      <c r="L15" s="211"/>
    </row>
    <row r="16" spans="1:12" x14ac:dyDescent="0.35">
      <c r="A16" s="209"/>
      <c r="B16" s="210"/>
      <c r="C16" s="210"/>
      <c r="D16" s="210"/>
      <c r="E16" s="210"/>
      <c r="F16" s="210"/>
      <c r="G16" s="210"/>
      <c r="H16" s="210"/>
      <c r="I16" s="210"/>
      <c r="J16" s="210"/>
      <c r="K16" s="210"/>
      <c r="L16" s="211"/>
    </row>
    <row r="17" spans="1:12" ht="15" thickBot="1" x14ac:dyDescent="0.4">
      <c r="A17" s="212"/>
      <c r="B17" s="213"/>
      <c r="C17" s="213"/>
      <c r="D17" s="213"/>
      <c r="E17" s="213"/>
      <c r="F17" s="213"/>
      <c r="G17" s="213"/>
      <c r="H17" s="213"/>
      <c r="I17" s="213"/>
      <c r="J17" s="213"/>
      <c r="K17" s="213"/>
      <c r="L17" s="214"/>
    </row>
  </sheetData>
  <mergeCells count="3">
    <mergeCell ref="A1:L1"/>
    <mergeCell ref="A3:L3"/>
    <mergeCell ref="A4:L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C673DBE9FE46439D67E4E4843ED097" ma:contentTypeVersion="6" ma:contentTypeDescription="Create a new document." ma:contentTypeScope="" ma:versionID="63bac64f9a5697f109beae1d22321f2a">
  <xsd:schema xmlns:xsd="http://www.w3.org/2001/XMLSchema" xmlns:xs="http://www.w3.org/2001/XMLSchema" xmlns:p="http://schemas.microsoft.com/office/2006/metadata/properties" xmlns:ns2="7184ec62-6a3c-427c-92b2-7bbd68fe0499" targetNamespace="http://schemas.microsoft.com/office/2006/metadata/properties" ma:root="true" ma:fieldsID="5b64547428b0c759d7fea357d711a297" ns2:_="">
    <xsd:import namespace="7184ec62-6a3c-427c-92b2-7bbd68fe0499"/>
    <xsd:element name="properties">
      <xsd:complexType>
        <xsd:sequence>
          <xsd:element name="documentManagement">
            <xsd:complexType>
              <xsd:all>
                <xsd:element ref="ns2:AssignedTo_x003a_" minOccurs="0"/>
                <xsd:element ref="ns2:MediaServiceMetadata" minOccurs="0"/>
                <xsd:element ref="ns2:MediaServiceFastMetadata" minOccurs="0"/>
                <xsd:element ref="ns2:MediaServiceSearchProperties" minOccurs="0"/>
                <xsd:element ref="ns2:DocumentStatus"/>
                <xsd:element ref="ns2:AMDRe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84ec62-6a3c-427c-92b2-7bbd68fe0499" elementFormDefault="qualified">
    <xsd:import namespace="http://schemas.microsoft.com/office/2006/documentManagement/types"/>
    <xsd:import namespace="http://schemas.microsoft.com/office/infopath/2007/PartnerControls"/>
    <xsd:element name="AssignedTo_x003a_" ma:index="8" nillable="true" ma:displayName="Assigned To:" ma:description="Team/document lead" ma:format="Dropdown" ma:list="UserInfo" ma:SharePointGroup="0" ma:internalName="AssignedTo_x003a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DocumentStatus" ma:index="12" ma:displayName="Document Status" ma:default="Not Started" ma:description="Please provide the current status of the document" ma:format="Dropdown" ma:internalName="DocumentStatus">
      <xsd:simpleType>
        <xsd:restriction base="dms:Choice">
          <xsd:enumeration value="Not Started"/>
          <xsd:enumeration value="In Progress"/>
          <xsd:enumeration value="In Review"/>
          <xsd:enumeration value="Final Adjudication"/>
          <xsd:enumeration value="Complete"/>
        </xsd:restriction>
      </xsd:simpleType>
    </xsd:element>
    <xsd:element name="AMDReview" ma:index="13" nillable="true" ma:displayName="AMD Review" ma:format="Dropdown" ma:internalName="AMDReview">
      <xsd:simpleType>
        <xsd:restriction base="dms:Choice">
          <xsd:enumeration value="Pending Review"/>
          <xsd:enumeration value="In Progress"/>
          <xsd:enumeration value="Complet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ssignedTo_x003a_ xmlns="7184ec62-6a3c-427c-92b2-7bbd68fe0499">
      <UserInfo>
        <DisplayName/>
        <AccountId xsi:nil="true"/>
        <AccountType/>
      </UserInfo>
    </AssignedTo_x003a_>
    <DocumentStatus xmlns="7184ec62-6a3c-427c-92b2-7bbd68fe0499">Complete</DocumentStatus>
    <AMDReview xmlns="7184ec62-6a3c-427c-92b2-7bbd68fe0499">Complete</AMDReview>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C1CE86-CF30-48AB-91BA-EA9E5AFB04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84ec62-6a3c-427c-92b2-7bbd68fe04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DE96F-5A7F-4C79-B0B4-23BACB628CB0}">
  <ds:schemaRefs>
    <ds:schemaRef ds:uri="http://schemas.microsoft.com/office/2006/metadata/properties"/>
    <ds:schemaRef ds:uri="http://schemas.microsoft.com/office/infopath/2007/PartnerControls"/>
    <ds:schemaRef ds:uri="7184ec62-6a3c-427c-92b2-7bbd68fe0499"/>
  </ds:schemaRefs>
</ds:datastoreItem>
</file>

<file path=customXml/itemProps3.xml><?xml version="1.0" encoding="utf-8"?>
<ds:datastoreItem xmlns:ds="http://schemas.openxmlformats.org/officeDocument/2006/customXml" ds:itemID="{0B1397CE-069C-412F-8F79-DA848FA9DE56}">
  <ds:schemaRefs>
    <ds:schemaRef ds:uri="http://schemas.microsoft.com/sharepoint/v3/contenttype/form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Table 1 Summary (2)</vt:lpstr>
      <vt:lpstr>Table 1 Summary</vt:lpstr>
      <vt:lpstr>Instructions</vt:lpstr>
      <vt:lpstr>MEP CLINs</vt:lpstr>
      <vt:lpstr>LEP CLINs</vt:lpstr>
      <vt:lpstr>Price Justification</vt:lpstr>
      <vt:lpstr>Assumptions</vt:lpstr>
      <vt:lpstr>'Table 1 Summary'!Print_Titles</vt:lpstr>
      <vt:lpstr>'Table 1 Summary (2)'!Print_Titles</vt:lpstr>
    </vt:vector>
  </TitlesOfParts>
  <Manager/>
  <Company>U.S.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DelaneyLA</dc:creator>
  <cp:keywords/>
  <dc:description/>
  <cp:lastModifiedBy>HEMPE, MAX</cp:lastModifiedBy>
  <cp:revision/>
  <dcterms:created xsi:type="dcterms:W3CDTF">2020-01-13T16:04:22Z</dcterms:created>
  <dcterms:modified xsi:type="dcterms:W3CDTF">2026-05-07T18:55:38Z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0x01010013C673DBE9FE46439D67E4E4843ED097</vt:lpwstr>
  </property>
  <property fmtid="{D5CDD505-2E9C-101B-9397-08002B2CF9AE}" pid="3" name="MSIP_Label_0d3cdd76-ed86-4455-8be3-c27733367ace_Enabled">
    <vt:lpwstr>true</vt:lpwstr>
  </property>
  <property fmtid="{D5CDD505-2E9C-101B-9397-08002B2CF9AE}" pid="4" name="MSIP_Label_0d3cdd76-ed86-4455-8be3-c27733367ace_SetDate">
    <vt:lpwstr>2022-03-09T22:36:07Z</vt:lpwstr>
  </property>
  <property fmtid="{D5CDD505-2E9C-101B-9397-08002B2CF9AE}" pid="5" name="MSIP_Label_0d3cdd76-ed86-4455-8be3-c27733367ace_Method">
    <vt:lpwstr>Privileged</vt:lpwstr>
  </property>
  <property fmtid="{D5CDD505-2E9C-101B-9397-08002B2CF9AE}" pid="6" name="MSIP_Label_0d3cdd76-ed86-4455-8be3-c27733367ace_Name">
    <vt:lpwstr>0d3cdd76-ed86-4455-8be3-c27733367ace</vt:lpwstr>
  </property>
  <property fmtid="{D5CDD505-2E9C-101B-9397-08002B2CF9AE}" pid="7" name="MSIP_Label_0d3cdd76-ed86-4455-8be3-c27733367ace_SiteId">
    <vt:lpwstr>66cf5074-5afe-48d1-a691-a12b2121f44b</vt:lpwstr>
  </property>
  <property fmtid="{D5CDD505-2E9C-101B-9397-08002B2CF9AE}" pid="8" name="MSIP_Label_0d3cdd76-ed86-4455-8be3-c27733367ace_ActionId">
    <vt:lpwstr>dad090fe-6bcd-4eb7-9e03-504443779d58</vt:lpwstr>
  </property>
  <property fmtid="{D5CDD505-2E9C-101B-9397-08002B2CF9AE}" pid="9" name="MSIP_Label_0d3cdd76-ed86-4455-8be3-c27733367ace_ContentBits">
    <vt:lpwstr>2</vt:lpwstr>
  </property>
  <property fmtid="{D5CDD505-2E9C-101B-9397-08002B2CF9AE}" pid="10" name="Order">
    <vt:r8>205200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ies>
</file>