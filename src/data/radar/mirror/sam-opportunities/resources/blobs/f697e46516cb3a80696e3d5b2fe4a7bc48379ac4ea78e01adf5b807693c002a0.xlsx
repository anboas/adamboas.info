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iel_goodale_1_us_af_mil/Documents/Documents/JBLE/PKBA/NWS Rotary - Source Selection/3. Presolicitation/FINAL Presolication Docs/"/>
    </mc:Choice>
  </mc:AlternateContent>
  <xr:revisionPtr revIDLastSave="0" documentId="8_{CE0FFC6D-3DA7-4175-B2F6-8306CFE3BBC6}" xr6:coauthVersionLast="47" xr6:coauthVersionMax="47" xr10:uidLastSave="{00000000-0000-0000-0000-000000000000}"/>
  <bookViews>
    <workbookView xWindow="30705" yWindow="2160" windowWidth="21600" windowHeight="11145" xr2:uid="{00000000-000D-0000-FFFF-FFFF00000000}"/>
  </bookViews>
  <sheets>
    <sheet name=" " sheetId="2" r:id="rId1"/>
  </sheets>
  <definedNames>
    <definedName name="_xlnm.Print_Area" localSheetId="0">' '!$A$1:$I$30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G17" i="2" l="1"/>
  <c r="G18" i="2"/>
  <c r="G19" i="2"/>
  <c r="G20" i="2"/>
  <c r="E21" i="2"/>
  <c r="G16" i="2"/>
  <c r="H16" i="2" s="1"/>
  <c r="D11" i="2" l="1"/>
  <c r="G21" i="2" l="1"/>
  <c r="H21" i="2" l="1"/>
  <c r="H22" i="2" s="1"/>
  <c r="D8" i="2"/>
  <c r="D30" i="2" s="1"/>
</calcChain>
</file>

<file path=xl/sharedStrings.xml><?xml version="1.0" encoding="utf-8"?>
<sst xmlns="http://schemas.openxmlformats.org/spreadsheetml/2006/main" count="70" uniqueCount="36">
  <si>
    <t>Actual Hours Flown</t>
  </si>
  <si>
    <t>% Used</t>
  </si>
  <si>
    <t>To Date</t>
  </si>
  <si>
    <t>TOTALS</t>
  </si>
  <si>
    <t>REIMBURSABLE EXPENSES</t>
  </si>
  <si>
    <t>MAIN BASE FEE</t>
  </si>
  <si>
    <t>ROTARY WING FLYING</t>
  </si>
  <si>
    <t>Monthly</t>
  </si>
  <si>
    <t>Actual $ Value</t>
  </si>
  <si>
    <t>SUPPLEMENTAL BASE FEE</t>
  </si>
  <si>
    <t>BULK FUEL TRANSFER</t>
  </si>
  <si>
    <t>Actual Liters Moved</t>
  </si>
  <si>
    <t>(Months)</t>
  </si>
  <si>
    <t>Qty</t>
  </si>
  <si>
    <t>Funding</t>
  </si>
  <si>
    <t>SUB-TOTALS</t>
  </si>
  <si>
    <t>GRAND TOTAL</t>
  </si>
  <si>
    <t>(Hrs)</t>
  </si>
  <si>
    <t>Actual $ Value (USD)</t>
  </si>
  <si>
    <t>Actual $ Value (CAD)</t>
  </si>
  <si>
    <t>Monthly 
Rate</t>
  </si>
  <si>
    <t>Exchange Rate*</t>
  </si>
  <si>
    <t>* Bank of Canada Monthly Average Exchange Rate - US Dollar Noon</t>
  </si>
  <si>
    <t>http://www.bankofcanada.ca/rates/exchange/monthly-average-lookup/</t>
  </si>
  <si>
    <t>Litres</t>
  </si>
  <si>
    <t xml:space="preserve">Unit </t>
  </si>
  <si>
    <t>Price</t>
  </si>
  <si>
    <t>Fuel Expenses</t>
  </si>
  <si>
    <t>Per Diem</t>
  </si>
  <si>
    <t>Landing Fees</t>
  </si>
  <si>
    <t>Contingency Flying Hours</t>
  </si>
  <si>
    <t>Contingency Fuel Transfer</t>
  </si>
  <si>
    <t>CLIN #</t>
  </si>
  <si>
    <t>Report as of</t>
  </si>
  <si>
    <t xml:space="preserve">CUMULATIVE TOTALS FOR THE PERIOD OF </t>
  </si>
  <si>
    <t xml:space="preserve">Carrier's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</si>
</sst>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3" borderId="5" xfId="1" applyFont="1" applyFill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44" fontId="1" fillId="0" borderId="1" xfId="1" applyNumberFormat="1" applyBorder="1"/>
    <xf numFmtId="0" fontId="2" fillId="0" borderId="10" xfId="1" applyFont="1" applyBorder="1" applyAlignment="1">
      <alignment horizontal="left" vertical="center" wrapText="1"/>
    </xf>
    <xf numFmtId="0" fontId="1" fillId="0" borderId="10" xfId="1" applyBorder="1"/>
    <xf numFmtId="0" fontId="1" fillId="0" borderId="10" xfId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44" fontId="5" fillId="0" borderId="1" xfId="0" applyNumberFormat="1" applyFont="1" applyBorder="1"/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4" fontId="1" fillId="0" borderId="1" xfId="2" applyFont="1" applyBorder="1" applyAlignment="1"/>
    <xf numFmtId="0" fontId="4" fillId="0" borderId="1" xfId="1" applyFont="1" applyBorder="1" applyAlignment="1">
      <alignment horizontal="center"/>
    </xf>
    <xf numFmtId="0" fontId="1" fillId="2" borderId="5" xfId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10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4" fontId="1" fillId="0" borderId="10" xfId="2" applyFont="1" applyBorder="1" applyAlignment="1"/>
    <xf numFmtId="0" fontId="0" fillId="0" borderId="0" xfId="0" applyAlignment="1">
      <alignment vertical="center"/>
    </xf>
    <xf numFmtId="0" fontId="1" fillId="0" borderId="4" xfId="1" applyBorder="1" applyAlignment="1">
      <alignment horizontal="center"/>
    </xf>
    <xf numFmtId="44" fontId="1" fillId="0" borderId="11" xfId="2" applyFont="1" applyBorder="1" applyAlignment="1"/>
    <xf numFmtId="44" fontId="1" fillId="0" borderId="11" xfId="1" applyNumberFormat="1" applyBorder="1"/>
    <xf numFmtId="0" fontId="1" fillId="0" borderId="11" xfId="1" applyBorder="1" applyAlignment="1">
      <alignment horizontal="center" vertical="center"/>
    </xf>
    <xf numFmtId="44" fontId="1" fillId="0" borderId="11" xfId="1" applyNumberFormat="1" applyBorder="1" applyAlignment="1">
      <alignment horizontal="center" vertical="center"/>
    </xf>
    <xf numFmtId="0" fontId="2" fillId="2" borderId="10" xfId="1" applyFont="1" applyFill="1" applyBorder="1" applyAlignment="1">
      <alignment horizontal="left" vertical="center" wrapText="1"/>
    </xf>
    <xf numFmtId="0" fontId="1" fillId="2" borderId="10" xfId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left" vertical="center" wrapText="1"/>
    </xf>
    <xf numFmtId="37" fontId="0" fillId="0" borderId="0" xfId="4" applyNumberFormat="1" applyFont="1" applyAlignment="1">
      <alignment horizontal="center"/>
    </xf>
    <xf numFmtId="164" fontId="1" fillId="0" borderId="1" xfId="1" applyNumberFormat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8" xfId="1" applyFill="1" applyBorder="1"/>
    <xf numFmtId="0" fontId="1" fillId="2" borderId="2" xfId="1" applyFill="1" applyBorder="1" applyAlignment="1">
      <alignment horizontal="center"/>
    </xf>
    <xf numFmtId="0" fontId="1" fillId="2" borderId="9" xfId="1" applyFill="1" applyBorder="1"/>
    <xf numFmtId="0" fontId="1" fillId="2" borderId="3" xfId="1" applyFill="1" applyBorder="1" applyAlignment="1">
      <alignment horizontal="center"/>
    </xf>
    <xf numFmtId="0" fontId="1" fillId="0" borderId="13" xfId="1" applyBorder="1"/>
    <xf numFmtId="0" fontId="5" fillId="3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44" fontId="1" fillId="0" borderId="1" xfId="1" applyNumberFormat="1" applyBorder="1" applyAlignment="1">
      <alignment vertical="center"/>
    </xf>
    <xf numFmtId="44" fontId="1" fillId="0" borderId="1" xfId="2" applyFont="1" applyBorder="1" applyAlignment="1">
      <alignment vertical="center"/>
    </xf>
    <xf numFmtId="44" fontId="1" fillId="0" borderId="10" xfId="2" applyFont="1" applyBorder="1" applyAlignment="1">
      <alignment vertical="center"/>
    </xf>
    <xf numFmtId="44" fontId="5" fillId="0" borderId="1" xfId="2" applyFont="1" applyBorder="1"/>
    <xf numFmtId="0" fontId="6" fillId="3" borderId="10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0" fillId="3" borderId="9" xfId="0" applyFill="1" applyBorder="1"/>
    <xf numFmtId="0" fontId="0" fillId="3" borderId="8" xfId="0" applyFill="1" applyBorder="1"/>
    <xf numFmtId="0" fontId="5" fillId="3" borderId="5" xfId="0" applyFont="1" applyFill="1" applyBorder="1" applyAlignment="1">
      <alignment horizontal="center"/>
    </xf>
    <xf numFmtId="43" fontId="5" fillId="0" borderId="1" xfId="4" applyFont="1" applyBorder="1" applyAlignment="1">
      <alignment horizontal="center"/>
    </xf>
    <xf numFmtId="0" fontId="1" fillId="2" borderId="5" xfId="1" applyFill="1" applyBorder="1"/>
    <xf numFmtId="0" fontId="4" fillId="2" borderId="2" xfId="1" applyFont="1" applyFill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43" fontId="5" fillId="0" borderId="1" xfId="4" applyFont="1" applyBorder="1" applyAlignment="1">
      <alignment horizontal="center" vertical="center"/>
    </xf>
    <xf numFmtId="0" fontId="1" fillId="0" borderId="1" xfId="1" applyBorder="1" applyAlignment="1">
      <alignment horizontal="left" vertical="center" wrapText="1" indent="2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44" fontId="5" fillId="0" borderId="5" xfId="0" applyNumberFormat="1" applyFont="1" applyBorder="1" applyAlignment="1">
      <alignment vertical="center"/>
    </xf>
    <xf numFmtId="44" fontId="5" fillId="0" borderId="5" xfId="2" applyFont="1" applyBorder="1" applyAlignment="1">
      <alignment vertical="center"/>
    </xf>
    <xf numFmtId="43" fontId="5" fillId="0" borderId="5" xfId="4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6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44" fontId="5" fillId="0" borderId="14" xfId="2" applyFont="1" applyBorder="1"/>
    <xf numFmtId="43" fontId="5" fillId="0" borderId="14" xfId="4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44" fontId="1" fillId="0" borderId="4" xfId="1" applyNumberFormat="1" applyBorder="1" applyAlignment="1">
      <alignment vertical="center"/>
    </xf>
    <xf numFmtId="44" fontId="1" fillId="0" borderId="4" xfId="1" applyNumberFormat="1" applyBorder="1"/>
    <xf numFmtId="44" fontId="1" fillId="0" borderId="4" xfId="2" applyFont="1" applyBorder="1" applyAlignment="1"/>
    <xf numFmtId="44" fontId="1" fillId="0" borderId="3" xfId="2" applyFont="1" applyBorder="1" applyAlignment="1">
      <alignment vertical="center"/>
    </xf>
    <xf numFmtId="44" fontId="5" fillId="0" borderId="4" xfId="0" applyNumberFormat="1" applyFont="1" applyBorder="1"/>
    <xf numFmtId="44" fontId="5" fillId="0" borderId="4" xfId="2" applyFont="1" applyBorder="1"/>
    <xf numFmtId="44" fontId="5" fillId="0" borderId="15" xfId="2" applyFont="1" applyBorder="1"/>
    <xf numFmtId="44" fontId="5" fillId="0" borderId="2" xfId="2" applyFont="1" applyBorder="1" applyAlignment="1">
      <alignment vertical="center"/>
    </xf>
    <xf numFmtId="9" fontId="1" fillId="0" borderId="1" xfId="3" applyFont="1" applyBorder="1" applyAlignment="1">
      <alignment horizontal="center" vertical="center"/>
    </xf>
    <xf numFmtId="2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/>
    </xf>
    <xf numFmtId="9" fontId="1" fillId="0" borderId="1" xfId="3" applyFont="1" applyBorder="1" applyAlignment="1">
      <alignment horizontal="center"/>
    </xf>
    <xf numFmtId="9" fontId="1" fillId="0" borderId="10" xfId="3" applyFont="1" applyBorder="1" applyAlignment="1">
      <alignment horizontal="center" vertical="center"/>
    </xf>
    <xf numFmtId="0" fontId="1" fillId="4" borderId="4" xfId="1" applyFill="1" applyBorder="1" applyAlignment="1">
      <alignment horizontal="center" vertical="center"/>
    </xf>
    <xf numFmtId="0" fontId="1" fillId="4" borderId="1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wrapText="1"/>
    </xf>
    <xf numFmtId="0" fontId="1" fillId="2" borderId="5" xfId="1" applyFill="1" applyBorder="1" applyAlignment="1">
      <alignment horizontal="center" wrapText="1"/>
    </xf>
    <xf numFmtId="0" fontId="1" fillId="2" borderId="8" xfId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" fillId="0" borderId="0" xfId="1"/>
    <xf numFmtId="0" fontId="1" fillId="2" borderId="10" xfId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2" borderId="10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5">
    <cellStyle name="Comma" xfId="4" builtinId="3"/>
    <cellStyle name="Currency" xfId="2" builtinId="4"/>
    <cellStyle name="Normal" xfId="0" builtinId="0"/>
    <cellStyle name="Normal 2" xfId="1" xr:uid="{00000000-0005-0000-0000-000003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2"/>
  <sheetViews>
    <sheetView tabSelected="1" zoomScale="85" zoomScaleNormal="85" workbookViewId="0">
      <selection activeCell="A4" sqref="A4:J4"/>
    </sheetView>
  </sheetViews>
  <sheetFormatPr defaultRowHeight="15" x14ac:dyDescent="0.25"/>
  <cols>
    <col min="1" max="1" width="25.85546875" customWidth="1"/>
    <col min="2" max="2" width="18.7109375" style="25" customWidth="1"/>
    <col min="3" max="3" width="18.7109375" customWidth="1"/>
    <col min="4" max="4" width="19.42578125" customWidth="1"/>
    <col min="5" max="8" width="16.7109375" customWidth="1"/>
    <col min="9" max="9" width="10.42578125" customWidth="1"/>
    <col min="10" max="10" width="11.42578125" customWidth="1"/>
  </cols>
  <sheetData>
    <row r="2" spans="1:10" x14ac:dyDescent="0.25">
      <c r="A2" s="99" t="s">
        <v>35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4.45" x14ac:dyDescent="0.3">
      <c r="A3" s="100"/>
      <c r="B3" s="100"/>
      <c r="C3" s="100"/>
      <c r="D3" s="100"/>
      <c r="E3" s="100"/>
      <c r="F3" s="100"/>
      <c r="G3" s="100"/>
      <c r="H3" s="100"/>
      <c r="I3" s="100"/>
      <c r="J3" s="100"/>
    </row>
    <row r="4" spans="1:10" x14ac:dyDescent="0.25">
      <c r="A4" s="97" t="s">
        <v>34</v>
      </c>
      <c r="B4" s="98"/>
      <c r="C4" s="98"/>
      <c r="D4" s="98"/>
      <c r="E4" s="98"/>
      <c r="F4" s="98"/>
      <c r="G4" s="98"/>
      <c r="H4" s="98"/>
      <c r="I4" s="98"/>
      <c r="J4" s="98"/>
    </row>
    <row r="5" spans="1:10" x14ac:dyDescent="0.25">
      <c r="A5" s="97" t="s">
        <v>33</v>
      </c>
      <c r="B5" s="98"/>
      <c r="C5" s="98"/>
      <c r="D5" s="98"/>
      <c r="E5" s="98"/>
      <c r="F5" s="98"/>
      <c r="G5" s="98"/>
      <c r="H5" s="98"/>
      <c r="I5" s="98"/>
      <c r="J5" s="98"/>
    </row>
    <row r="6" spans="1:10" x14ac:dyDescent="0.25">
      <c r="A6" s="53" t="s">
        <v>5</v>
      </c>
      <c r="B6" s="34" t="s">
        <v>13</v>
      </c>
      <c r="C6" s="103" t="s">
        <v>20</v>
      </c>
      <c r="D6" s="20" t="s">
        <v>14</v>
      </c>
      <c r="E6" s="92"/>
      <c r="F6" s="93"/>
      <c r="G6" s="92" t="s">
        <v>18</v>
      </c>
      <c r="H6" s="96"/>
      <c r="I6" s="101" t="s">
        <v>1</v>
      </c>
    </row>
    <row r="7" spans="1:10" x14ac:dyDescent="0.25">
      <c r="A7" s="54"/>
      <c r="B7" s="19" t="s">
        <v>12</v>
      </c>
      <c r="C7" s="104"/>
      <c r="D7" s="21"/>
      <c r="E7" s="105"/>
      <c r="F7" s="106"/>
      <c r="G7" s="38" t="s">
        <v>7</v>
      </c>
      <c r="H7" s="76" t="s">
        <v>2</v>
      </c>
      <c r="I7" s="102"/>
    </row>
    <row r="8" spans="1:10" ht="18" customHeight="1" x14ac:dyDescent="0.25">
      <c r="A8" s="3" t="s">
        <v>32</v>
      </c>
      <c r="B8" s="18"/>
      <c r="C8" s="17"/>
      <c r="D8" s="17">
        <f>5*C8</f>
        <v>0</v>
      </c>
      <c r="E8" s="90"/>
      <c r="F8" s="91"/>
      <c r="G8" s="47">
        <v>0</v>
      </c>
      <c r="H8" s="77">
        <v>0</v>
      </c>
      <c r="I8" s="85"/>
      <c r="J8" s="43"/>
    </row>
    <row r="9" spans="1:10" ht="14.45" customHeight="1" x14ac:dyDescent="0.25">
      <c r="A9" s="35" t="s">
        <v>6</v>
      </c>
      <c r="B9" s="34" t="s">
        <v>13</v>
      </c>
      <c r="C9" s="103" t="s">
        <v>20</v>
      </c>
      <c r="D9" s="20" t="s">
        <v>14</v>
      </c>
      <c r="E9" s="92" t="s">
        <v>0</v>
      </c>
      <c r="F9" s="93"/>
      <c r="G9" s="92" t="s">
        <v>18</v>
      </c>
      <c r="H9" s="96"/>
      <c r="I9" s="101" t="s">
        <v>1</v>
      </c>
      <c r="J9" s="43"/>
    </row>
    <row r="10" spans="1:10" ht="14.45" customHeight="1" x14ac:dyDescent="0.25">
      <c r="A10" s="4"/>
      <c r="B10" s="19" t="s">
        <v>17</v>
      </c>
      <c r="C10" s="104"/>
      <c r="D10" s="21"/>
      <c r="E10" s="60" t="s">
        <v>7</v>
      </c>
      <c r="F10" s="61" t="s">
        <v>2</v>
      </c>
      <c r="G10" s="38" t="s">
        <v>7</v>
      </c>
      <c r="H10" s="76" t="s">
        <v>2</v>
      </c>
      <c r="I10" s="102"/>
      <c r="J10" s="43"/>
    </row>
    <row r="11" spans="1:10" ht="18" customHeight="1" x14ac:dyDescent="0.25">
      <c r="A11" s="5" t="s">
        <v>32</v>
      </c>
      <c r="B11" s="36"/>
      <c r="C11" s="17"/>
      <c r="D11" s="7">
        <f>5*C11</f>
        <v>0</v>
      </c>
      <c r="E11" s="2">
        <v>0</v>
      </c>
      <c r="F11" s="2">
        <v>0</v>
      </c>
      <c r="G11" s="47">
        <v>0</v>
      </c>
      <c r="H11" s="77">
        <v>0</v>
      </c>
      <c r="I11" s="85"/>
      <c r="J11" s="43"/>
    </row>
    <row r="12" spans="1:10" ht="18" customHeight="1" x14ac:dyDescent="0.3">
      <c r="A12" s="3"/>
      <c r="B12" s="28"/>
      <c r="C12" s="29"/>
      <c r="D12" s="30"/>
      <c r="E12" s="31"/>
      <c r="F12" s="31"/>
      <c r="G12" s="32"/>
      <c r="H12" s="32"/>
      <c r="I12" s="86"/>
      <c r="J12" s="43"/>
    </row>
    <row r="13" spans="1:10" ht="14.45" customHeight="1" x14ac:dyDescent="0.25">
      <c r="A13" s="33" t="s">
        <v>4</v>
      </c>
      <c r="B13" s="42"/>
      <c r="C13" s="39"/>
      <c r="D13" s="20" t="s">
        <v>14</v>
      </c>
      <c r="E13" s="94" t="s">
        <v>19</v>
      </c>
      <c r="F13" s="94" t="s">
        <v>21</v>
      </c>
      <c r="G13" s="92" t="s">
        <v>18</v>
      </c>
      <c r="H13" s="96"/>
      <c r="I13" s="101" t="s">
        <v>1</v>
      </c>
      <c r="J13" s="43"/>
    </row>
    <row r="14" spans="1:10" ht="14.45" customHeight="1" x14ac:dyDescent="0.25">
      <c r="A14" s="6"/>
      <c r="B14" s="40"/>
      <c r="C14" s="41"/>
      <c r="D14" s="59"/>
      <c r="E14" s="95"/>
      <c r="F14" s="95"/>
      <c r="G14" s="38" t="s">
        <v>7</v>
      </c>
      <c r="H14" s="76" t="s">
        <v>2</v>
      </c>
      <c r="I14" s="102"/>
      <c r="J14" s="43"/>
    </row>
    <row r="15" spans="1:10" ht="18" customHeight="1" x14ac:dyDescent="0.25">
      <c r="A15" s="3" t="s">
        <v>32</v>
      </c>
      <c r="B15" s="22"/>
      <c r="C15" s="1"/>
      <c r="D15" s="26"/>
      <c r="E15" s="48"/>
      <c r="F15" s="22"/>
      <c r="G15" s="7"/>
      <c r="H15" s="78"/>
      <c r="I15" s="87"/>
      <c r="J15" s="43"/>
    </row>
    <row r="16" spans="1:10" ht="18" customHeight="1" x14ac:dyDescent="0.3">
      <c r="A16" s="63" t="s">
        <v>27</v>
      </c>
      <c r="B16" s="22"/>
      <c r="C16" s="1"/>
      <c r="D16" s="1"/>
      <c r="E16" s="48">
        <v>0</v>
      </c>
      <c r="F16" s="37"/>
      <c r="G16" s="17">
        <f>E16*F16</f>
        <v>0</v>
      </c>
      <c r="H16" s="79">
        <f>+G16</f>
        <v>0</v>
      </c>
      <c r="I16" s="88"/>
      <c r="J16" s="43"/>
    </row>
    <row r="17" spans="1:10" ht="18" customHeight="1" x14ac:dyDescent="0.3">
      <c r="A17" s="63" t="s">
        <v>28</v>
      </c>
      <c r="B17" s="22"/>
      <c r="C17" s="1"/>
      <c r="D17" s="1"/>
      <c r="E17" s="48">
        <v>0</v>
      </c>
      <c r="F17" s="37"/>
      <c r="G17" s="17">
        <f t="shared" ref="G17:G20" si="0">E17*F17</f>
        <v>0</v>
      </c>
      <c r="H17" s="79">
        <v>0</v>
      </c>
      <c r="I17" s="88"/>
      <c r="J17" s="43"/>
    </row>
    <row r="18" spans="1:10" ht="18" customHeight="1" x14ac:dyDescent="0.3">
      <c r="A18" s="63" t="s">
        <v>29</v>
      </c>
      <c r="B18" s="22"/>
      <c r="C18" s="1"/>
      <c r="D18" s="1"/>
      <c r="E18" s="48">
        <v>0</v>
      </c>
      <c r="F18" s="37"/>
      <c r="G18" s="17">
        <f t="shared" si="0"/>
        <v>0</v>
      </c>
      <c r="H18" s="79">
        <v>0</v>
      </c>
      <c r="I18" s="88"/>
      <c r="J18" s="43"/>
    </row>
    <row r="19" spans="1:10" ht="18" customHeight="1" x14ac:dyDescent="0.3">
      <c r="A19" s="63" t="s">
        <v>30</v>
      </c>
      <c r="B19" s="22"/>
      <c r="C19" s="1"/>
      <c r="D19" s="1"/>
      <c r="E19" s="48">
        <v>0</v>
      </c>
      <c r="F19" s="37"/>
      <c r="G19" s="17">
        <f t="shared" si="0"/>
        <v>0</v>
      </c>
      <c r="H19" s="79">
        <v>0</v>
      </c>
      <c r="I19" s="88"/>
      <c r="J19" s="43"/>
    </row>
    <row r="20" spans="1:10" ht="18" customHeight="1" x14ac:dyDescent="0.3">
      <c r="A20" s="63" t="s">
        <v>31</v>
      </c>
      <c r="B20" s="22"/>
      <c r="C20" s="1"/>
      <c r="D20" s="1"/>
      <c r="E20" s="48">
        <v>0</v>
      </c>
      <c r="F20" s="37"/>
      <c r="G20" s="17">
        <f t="shared" si="0"/>
        <v>0</v>
      </c>
      <c r="H20" s="79">
        <v>0</v>
      </c>
      <c r="I20" s="88"/>
      <c r="J20" s="43"/>
    </row>
    <row r="21" spans="1:10" ht="18" customHeight="1" x14ac:dyDescent="0.3">
      <c r="A21" s="3" t="s">
        <v>15</v>
      </c>
      <c r="B21" s="22"/>
      <c r="C21" s="1"/>
      <c r="D21" s="1"/>
      <c r="E21" s="48">
        <f>SUM(E16:E20)</f>
        <v>0</v>
      </c>
      <c r="F21" s="2"/>
      <c r="G21" s="17">
        <f>SUM(G16:G20)</f>
        <v>0</v>
      </c>
      <c r="H21" s="79">
        <f>SUM(H16:H20)</f>
        <v>0</v>
      </c>
      <c r="I21" s="88"/>
      <c r="J21" s="43"/>
    </row>
    <row r="22" spans="1:10" ht="18" customHeight="1" x14ac:dyDescent="0.3">
      <c r="A22" s="8" t="s">
        <v>3</v>
      </c>
      <c r="B22" s="23"/>
      <c r="C22" s="9"/>
      <c r="D22" s="26">
        <f>+D15</f>
        <v>0</v>
      </c>
      <c r="E22" s="49"/>
      <c r="F22" s="10"/>
      <c r="G22" s="49"/>
      <c r="H22" s="80">
        <f>+H21</f>
        <v>0</v>
      </c>
      <c r="I22" s="89"/>
      <c r="J22" s="43"/>
    </row>
    <row r="23" spans="1:10" ht="14.45" customHeight="1" x14ac:dyDescent="0.25">
      <c r="A23" s="51" t="s">
        <v>9</v>
      </c>
      <c r="B23" s="34" t="s">
        <v>13</v>
      </c>
      <c r="C23" s="16" t="s">
        <v>25</v>
      </c>
      <c r="D23" s="20" t="s">
        <v>14</v>
      </c>
      <c r="E23" s="56"/>
      <c r="F23" s="56"/>
      <c r="G23" s="92" t="s">
        <v>18</v>
      </c>
      <c r="H23" s="96"/>
      <c r="I23" s="101" t="s">
        <v>1</v>
      </c>
      <c r="J23" s="43"/>
    </row>
    <row r="24" spans="1:10" ht="14.45" customHeight="1" x14ac:dyDescent="0.25">
      <c r="A24" s="52"/>
      <c r="B24" s="19" t="s">
        <v>12</v>
      </c>
      <c r="C24" s="57" t="s">
        <v>26</v>
      </c>
      <c r="D24" s="59"/>
      <c r="E24" s="55"/>
      <c r="F24" s="55"/>
      <c r="G24" s="38" t="s">
        <v>7</v>
      </c>
      <c r="H24" s="76" t="s">
        <v>2</v>
      </c>
      <c r="I24" s="102"/>
      <c r="J24" s="43"/>
    </row>
    <row r="25" spans="1:10" ht="18" customHeight="1" x14ac:dyDescent="0.3">
      <c r="A25" s="12" t="s">
        <v>32</v>
      </c>
      <c r="B25" s="24">
        <v>0</v>
      </c>
      <c r="C25" s="50"/>
      <c r="D25" s="50">
        <v>0</v>
      </c>
      <c r="E25" s="90"/>
      <c r="F25" s="91"/>
      <c r="G25" s="13">
        <v>0</v>
      </c>
      <c r="H25" s="81">
        <v>0</v>
      </c>
      <c r="I25" s="11"/>
      <c r="J25" s="43"/>
    </row>
    <row r="26" spans="1:10" ht="15" customHeight="1" x14ac:dyDescent="0.25">
      <c r="A26" s="109" t="s">
        <v>10</v>
      </c>
      <c r="B26" s="16" t="s">
        <v>13</v>
      </c>
      <c r="C26" s="16" t="s">
        <v>25</v>
      </c>
      <c r="D26" s="20" t="s">
        <v>14</v>
      </c>
      <c r="E26" s="107" t="s">
        <v>11</v>
      </c>
      <c r="F26" s="108"/>
      <c r="G26" s="111" t="s">
        <v>8</v>
      </c>
      <c r="H26" s="112"/>
      <c r="I26" s="113" t="s">
        <v>1</v>
      </c>
      <c r="J26" s="43"/>
    </row>
    <row r="27" spans="1:10" x14ac:dyDescent="0.25">
      <c r="A27" s="110"/>
      <c r="B27" s="57" t="s">
        <v>24</v>
      </c>
      <c r="C27" s="57" t="s">
        <v>26</v>
      </c>
      <c r="D27" s="59"/>
      <c r="E27" s="44" t="s">
        <v>7</v>
      </c>
      <c r="F27" s="15" t="s">
        <v>2</v>
      </c>
      <c r="G27" s="14" t="s">
        <v>7</v>
      </c>
      <c r="H27" s="14" t="s">
        <v>2</v>
      </c>
      <c r="I27" s="114"/>
      <c r="J27" s="43"/>
    </row>
    <row r="28" spans="1:10" ht="18" customHeight="1" x14ac:dyDescent="0.25">
      <c r="A28" s="12" t="s">
        <v>32</v>
      </c>
      <c r="B28" s="58">
        <v>0</v>
      </c>
      <c r="C28" s="50">
        <v>0</v>
      </c>
      <c r="D28" s="50">
        <v>0</v>
      </c>
      <c r="E28" s="62">
        <v>0</v>
      </c>
      <c r="F28" s="62">
        <v>0</v>
      </c>
      <c r="G28" s="50">
        <v>0</v>
      </c>
      <c r="H28" s="82">
        <v>0</v>
      </c>
      <c r="I28" s="11"/>
      <c r="J28" s="45"/>
    </row>
    <row r="29" spans="1:10" ht="18" customHeight="1" thickBot="1" x14ac:dyDescent="0.3">
      <c r="A29" s="70"/>
      <c r="B29" s="71"/>
      <c r="C29" s="72"/>
      <c r="D29" s="73"/>
      <c r="E29" s="74"/>
      <c r="F29" s="74"/>
      <c r="G29" s="73"/>
      <c r="H29" s="83"/>
      <c r="I29" s="75"/>
      <c r="J29" s="45"/>
    </row>
    <row r="30" spans="1:10" s="27" customFormat="1" ht="24" customHeight="1" thickTop="1" x14ac:dyDescent="0.25">
      <c r="A30" s="64" t="s">
        <v>16</v>
      </c>
      <c r="B30" s="65"/>
      <c r="C30" s="66"/>
      <c r="D30" s="67">
        <f>D8+D11+D22+D25+D28</f>
        <v>0</v>
      </c>
      <c r="E30" s="68">
        <v>0</v>
      </c>
      <c r="F30" s="68">
        <v>0</v>
      </c>
      <c r="G30" s="67">
        <v>0</v>
      </c>
      <c r="H30" s="84">
        <v>0</v>
      </c>
      <c r="I30" s="69">
        <v>0</v>
      </c>
      <c r="J30" s="46"/>
    </row>
    <row r="31" spans="1:10" x14ac:dyDescent="0.25">
      <c r="A31" t="s">
        <v>22</v>
      </c>
    </row>
    <row r="32" spans="1:10" x14ac:dyDescent="0.25">
      <c r="A32" t="s">
        <v>23</v>
      </c>
    </row>
  </sheetData>
  <mergeCells count="24">
    <mergeCell ref="C9:C10"/>
    <mergeCell ref="E26:F26"/>
    <mergeCell ref="A26:A27"/>
    <mergeCell ref="G26:H26"/>
    <mergeCell ref="I26:I27"/>
    <mergeCell ref="G23:H23"/>
    <mergeCell ref="I23:I24"/>
    <mergeCell ref="I9:I10"/>
    <mergeCell ref="E25:F25"/>
    <mergeCell ref="G13:H13"/>
    <mergeCell ref="I13:I14"/>
    <mergeCell ref="A4:J4"/>
    <mergeCell ref="A2:J2"/>
    <mergeCell ref="A3:J3"/>
    <mergeCell ref="A5:J5"/>
    <mergeCell ref="G6:H6"/>
    <mergeCell ref="I6:I7"/>
    <mergeCell ref="C6:C7"/>
    <mergeCell ref="E6:F7"/>
    <mergeCell ref="E8:F8"/>
    <mergeCell ref="E9:F9"/>
    <mergeCell ref="E13:E14"/>
    <mergeCell ref="F13:F14"/>
    <mergeCell ref="G9:H9"/>
  </mergeCells>
  <pageMargins left="0.5" right="0.5" top="0.5" bottom="0.5" header="0" footer="0"/>
  <pageSetup scale="79" orientation="landscape" r:id="rId1"/>
  <headerFooter>
    <oddHeader>&amp;CATTACHMENT 6
Cost Summary Report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6EB256519CA9C74B87D54B350989DCC3000E3ECE9872CC1545945A460389EF40B2" ma:contentTypeVersion="3" ma:contentTypeDescription="Create a new document." ma:contentTypeScope="" ma:versionID="ad23858de4f45dc9f06560ec244d9f29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38fbcf6607677867bd77e0323858aa8d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9a3047-b771-4e14-b627-314bbbf6af45">ENYP3UNQTNDZ-468714900-144</_dlc_DocId>
    <_dlc_DocIdUrl xmlns="ac9a3047-b771-4e14-b627-314bbbf6af45">
      <Url>https://usaf.dps.mil/teams/ktfso11669/1252714/_layouts/15/DocIdRedir.aspx?ID=ENYP3UNQTNDZ-468714900-144</Url>
      <Description>ENYP3UNQTNDZ-468714900-144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</documentManagement>
</p:properties>
</file>

<file path=customXml/itemProps1.xml><?xml version="1.0" encoding="utf-8"?>
<ds:datastoreItem xmlns:ds="http://schemas.openxmlformats.org/officeDocument/2006/customXml" ds:itemID="{C021F16F-FB54-454F-B5D3-9C6A5E42EB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25AD3F-4ECB-4737-B4F0-3496C8E5E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6F290D-398E-42AB-AB6C-0B5169BA24B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75D6800-FD5F-49B8-80BE-94D256350227}">
  <ds:schemaRefs>
    <ds:schemaRef ds:uri="http://schemas.microsoft.com/sharepoint/v3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ac9a3047-b771-4e14-b627-314bbbf6af45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</vt:lpstr>
      <vt:lpstr>' '!Print_Area</vt:lpstr>
    </vt:vector>
  </TitlesOfParts>
  <Company>USTRANSCOM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tctikktj</dc:creator>
  <cp:lastModifiedBy>GOODALE, NATHANIEL R 1st Lt USAF ACC ACC AMIC/PKBA</cp:lastModifiedBy>
  <cp:lastPrinted>2015-11-10T16:05:03Z</cp:lastPrinted>
  <dcterms:created xsi:type="dcterms:W3CDTF">2009-11-17T13:47:01Z</dcterms:created>
  <dcterms:modified xsi:type="dcterms:W3CDTF">2026-04-14T14:50:31Z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0x0101006EB256519CA9C74B87D54B350989DCC3000E3ECE9872CC1545945A460389EF40B2</vt:lpwstr>
  </property>
  <property fmtid="{D5CDD505-2E9C-101B-9397-08002B2CF9AE}" pid="3" name="_dlc_DocIdItemGuid">
    <vt:lpwstr>7feadef3-98eb-4825-911c-855c051e6f60</vt:lpwstr>
  </property>
</Properties>
</file>