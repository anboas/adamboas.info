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lenny_flagg_va_gov/Documents/Desktop/"/>
    </mc:Choice>
  </mc:AlternateContent>
  <xr:revisionPtr revIDLastSave="0" documentId="8_{8F9B47CF-27D6-4435-A935-71AAB7C80329}" xr6:coauthVersionLast="47" xr6:coauthVersionMax="47" xr10:uidLastSave="{00000000-0000-0000-0000-000000000000}"/>
  <bookViews>
    <workbookView xWindow="22932" yWindow="-108" windowWidth="23256" windowHeight="12456" xr2:uid="{E9263187-FA74-4317-9778-4C25EF5E3CB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F85" i="1"/>
  <c r="F185" i="1"/>
  <c r="F184" i="1"/>
  <c r="F183" i="1"/>
  <c r="F182" i="1"/>
  <c r="F181" i="1"/>
  <c r="F179" i="1"/>
  <c r="F178" i="1"/>
  <c r="F177" i="1"/>
  <c r="F176" i="1"/>
  <c r="F175" i="1"/>
  <c r="F148" i="1"/>
  <c r="F147" i="1"/>
  <c r="F146" i="1"/>
  <c r="F145" i="1"/>
  <c r="F144" i="1"/>
  <c r="F142" i="1"/>
  <c r="F141" i="1"/>
  <c r="F140" i="1"/>
  <c r="F139" i="1"/>
  <c r="F138" i="1"/>
  <c r="F136" i="1"/>
  <c r="F135" i="1"/>
  <c r="F134" i="1"/>
  <c r="F133" i="1"/>
  <c r="F132" i="1"/>
  <c r="F130" i="1"/>
  <c r="F129" i="1"/>
  <c r="F128" i="1"/>
  <c r="F127" i="1"/>
  <c r="F126" i="1"/>
  <c r="F99" i="1"/>
  <c r="F98" i="1"/>
  <c r="F97" i="1"/>
  <c r="F96" i="1"/>
  <c r="F95" i="1"/>
  <c r="F93" i="1"/>
  <c r="F92" i="1"/>
  <c r="F91" i="1"/>
  <c r="F90" i="1"/>
  <c r="F89" i="1"/>
  <c r="F87" i="1"/>
  <c r="F84" i="1"/>
  <c r="F83" i="1"/>
  <c r="F81" i="1"/>
  <c r="F80" i="1"/>
  <c r="F79" i="1"/>
  <c r="F78" i="1"/>
  <c r="F77" i="1"/>
  <c r="C73" i="1"/>
  <c r="C122" i="1" s="1"/>
  <c r="C69" i="1"/>
  <c r="C118" i="1" s="1"/>
  <c r="C65" i="1"/>
  <c r="C114" i="1" s="1"/>
  <c r="C62" i="1"/>
  <c r="C111" i="1" s="1"/>
  <c r="C61" i="1"/>
  <c r="C110" i="1" s="1"/>
  <c r="C57" i="1"/>
  <c r="C106" i="1" s="1"/>
  <c r="C56" i="1"/>
  <c r="C105" i="1" s="1"/>
  <c r="F50" i="1"/>
  <c r="F49" i="1"/>
  <c r="F48" i="1"/>
  <c r="F47" i="1"/>
  <c r="F46" i="1"/>
  <c r="F44" i="1"/>
  <c r="F43" i="1"/>
  <c r="F42" i="1"/>
  <c r="F41" i="1"/>
  <c r="F40" i="1"/>
  <c r="F38" i="1"/>
  <c r="F37" i="1"/>
  <c r="F36" i="1"/>
  <c r="F35" i="1"/>
  <c r="F34" i="1"/>
  <c r="F32" i="1"/>
  <c r="F31" i="1"/>
  <c r="F30" i="1"/>
  <c r="F29" i="1"/>
  <c r="F28" i="1"/>
  <c r="F26" i="1"/>
  <c r="C26" i="1"/>
  <c r="C75" i="1" s="1"/>
  <c r="C25" i="1"/>
  <c r="C74" i="1" s="1"/>
  <c r="F24" i="1"/>
  <c r="C24" i="1"/>
  <c r="F23" i="1"/>
  <c r="C23" i="1"/>
  <c r="C72" i="1" s="1"/>
  <c r="F22" i="1"/>
  <c r="C22" i="1"/>
  <c r="C71" i="1" s="1"/>
  <c r="C21" i="1"/>
  <c r="C70" i="1" s="1"/>
  <c r="F20" i="1"/>
  <c r="C20" i="1"/>
  <c r="F19" i="1"/>
  <c r="C19" i="1"/>
  <c r="C68" i="1" s="1"/>
  <c r="F18" i="1"/>
  <c r="C18" i="1"/>
  <c r="C67" i="1" s="1"/>
  <c r="C17" i="1"/>
  <c r="C66" i="1" s="1"/>
  <c r="F16" i="1"/>
  <c r="C16" i="1"/>
  <c r="F15" i="1"/>
  <c r="C15" i="1"/>
  <c r="C64" i="1" s="1"/>
  <c r="F14" i="1"/>
  <c r="C14" i="1"/>
  <c r="C63" i="1" s="1"/>
  <c r="C12" i="1"/>
  <c r="F12" i="1" s="1"/>
  <c r="F11" i="1"/>
  <c r="C11" i="1"/>
  <c r="C60" i="1" s="1"/>
  <c r="F10" i="1"/>
  <c r="C10" i="1"/>
  <c r="C59" i="1" s="1"/>
  <c r="F9" i="1"/>
  <c r="C9" i="1"/>
  <c r="C58" i="1" s="1"/>
  <c r="C8" i="1"/>
  <c r="F8" i="1" s="1"/>
  <c r="F6" i="1"/>
  <c r="C6" i="1"/>
  <c r="C55" i="1" s="1"/>
  <c r="F5" i="1"/>
  <c r="C5" i="1"/>
  <c r="C54" i="1" s="1"/>
  <c r="C108" i="1" l="1"/>
  <c r="F59" i="1"/>
  <c r="C123" i="1"/>
  <c r="F74" i="1"/>
  <c r="C109" i="1"/>
  <c r="F60" i="1"/>
  <c r="C119" i="1"/>
  <c r="F70" i="1"/>
  <c r="C124" i="1"/>
  <c r="F75" i="1"/>
  <c r="C159" i="1"/>
  <c r="F110" i="1"/>
  <c r="C155" i="1"/>
  <c r="F106" i="1"/>
  <c r="C154" i="1"/>
  <c r="F105" i="1"/>
  <c r="C103" i="1"/>
  <c r="F54" i="1"/>
  <c r="C104" i="1"/>
  <c r="F55" i="1"/>
  <c r="C120" i="1"/>
  <c r="F71" i="1"/>
  <c r="C116" i="1"/>
  <c r="F67" i="1"/>
  <c r="C163" i="1"/>
  <c r="F114" i="1"/>
  <c r="C112" i="1"/>
  <c r="F63" i="1"/>
  <c r="C167" i="1"/>
  <c r="F118" i="1"/>
  <c r="C107" i="1"/>
  <c r="F58" i="1"/>
  <c r="C117" i="1"/>
  <c r="F68" i="1"/>
  <c r="C171" i="1"/>
  <c r="F122" i="1"/>
  <c r="C115" i="1"/>
  <c r="F66" i="1"/>
  <c r="C160" i="1"/>
  <c r="F111" i="1"/>
  <c r="C121" i="1"/>
  <c r="F72" i="1"/>
  <c r="C113" i="1"/>
  <c r="F64" i="1"/>
  <c r="F57" i="1"/>
  <c r="F61" i="1"/>
  <c r="F65" i="1"/>
  <c r="F69" i="1"/>
  <c r="F73" i="1"/>
  <c r="F17" i="1"/>
  <c r="G51" i="1" s="1"/>
  <c r="F21" i="1"/>
  <c r="F25" i="1"/>
  <c r="F62" i="1"/>
  <c r="F56" i="1"/>
  <c r="F171" i="1" l="1"/>
  <c r="C220" i="1"/>
  <c r="F220" i="1" s="1"/>
  <c r="C172" i="1"/>
  <c r="F123" i="1"/>
  <c r="F117" i="1"/>
  <c r="C166" i="1"/>
  <c r="F160" i="1"/>
  <c r="C209" i="1"/>
  <c r="F209" i="1" s="1"/>
  <c r="C156" i="1"/>
  <c r="F107" i="1"/>
  <c r="C165" i="1"/>
  <c r="F116" i="1"/>
  <c r="C203" i="1"/>
  <c r="F203" i="1" s="1"/>
  <c r="F154" i="1"/>
  <c r="C168" i="1"/>
  <c r="F119" i="1"/>
  <c r="F113" i="1"/>
  <c r="C162" i="1"/>
  <c r="C161" i="1"/>
  <c r="F112" i="1"/>
  <c r="F159" i="1"/>
  <c r="C208" i="1"/>
  <c r="F208" i="1" s="1"/>
  <c r="F163" i="1"/>
  <c r="C212" i="1"/>
  <c r="F212" i="1" s="1"/>
  <c r="C173" i="1"/>
  <c r="F124" i="1"/>
  <c r="C157" i="1"/>
  <c r="F108" i="1"/>
  <c r="C164" i="1"/>
  <c r="F115" i="1"/>
  <c r="F167" i="1"/>
  <c r="C216" i="1"/>
  <c r="F216" i="1" s="1"/>
  <c r="C169" i="1"/>
  <c r="F120" i="1"/>
  <c r="F155" i="1"/>
  <c r="C204" i="1"/>
  <c r="F204" i="1" s="1"/>
  <c r="C158" i="1"/>
  <c r="F109" i="1"/>
  <c r="C153" i="1"/>
  <c r="F104" i="1"/>
  <c r="G100" i="1"/>
  <c r="C170" i="1"/>
  <c r="F121" i="1"/>
  <c r="C152" i="1"/>
  <c r="F103" i="1"/>
  <c r="F165" i="1" l="1"/>
  <c r="C214" i="1"/>
  <c r="F214" i="1" s="1"/>
  <c r="F173" i="1"/>
  <c r="C222" i="1"/>
  <c r="F222" i="1" s="1"/>
  <c r="F156" i="1"/>
  <c r="C205" i="1"/>
  <c r="F205" i="1" s="1"/>
  <c r="F153" i="1"/>
  <c r="C202" i="1"/>
  <c r="F202" i="1" s="1"/>
  <c r="F168" i="1"/>
  <c r="C217" i="1"/>
  <c r="F217" i="1" s="1"/>
  <c r="F172" i="1"/>
  <c r="C221" i="1"/>
  <c r="F221" i="1" s="1"/>
  <c r="C219" i="1"/>
  <c r="F219" i="1" s="1"/>
  <c r="F170" i="1"/>
  <c r="C211" i="1"/>
  <c r="F211" i="1" s="1"/>
  <c r="F162" i="1"/>
  <c r="F169" i="1"/>
  <c r="C218" i="1"/>
  <c r="F218" i="1" s="1"/>
  <c r="G149" i="1"/>
  <c r="C207" i="1"/>
  <c r="F207" i="1" s="1"/>
  <c r="F158" i="1"/>
  <c r="F164" i="1"/>
  <c r="C213" i="1"/>
  <c r="F213" i="1" s="1"/>
  <c r="F157" i="1"/>
  <c r="C206" i="1"/>
  <c r="F206" i="1" s="1"/>
  <c r="F161" i="1"/>
  <c r="C210" i="1"/>
  <c r="F210" i="1" s="1"/>
  <c r="C215" i="1"/>
  <c r="F215" i="1" s="1"/>
  <c r="F166" i="1"/>
  <c r="F152" i="1"/>
  <c r="C201" i="1"/>
  <c r="F201" i="1" s="1"/>
  <c r="G247" i="1" l="1"/>
  <c r="G198" i="1"/>
</calcChain>
</file>

<file path=xl/sharedStrings.xml><?xml version="1.0" encoding="utf-8"?>
<sst xmlns="http://schemas.openxmlformats.org/spreadsheetml/2006/main" count="675" uniqueCount="120">
  <si>
    <t>Schedule of items</t>
  </si>
  <si>
    <t>QTY</t>
  </si>
  <si>
    <t>Unit</t>
  </si>
  <si>
    <t>Price</t>
  </si>
  <si>
    <t>Total</t>
  </si>
  <si>
    <t>CLIN</t>
  </si>
  <si>
    <t>Year 1/Base Year</t>
  </si>
  <si>
    <t>1001</t>
  </si>
  <si>
    <t>Court Reporting (per hour) Virtual</t>
  </si>
  <si>
    <t>Hour</t>
  </si>
  <si>
    <t>1002</t>
  </si>
  <si>
    <t>Overtime Court reporting (per hour) Virtual</t>
  </si>
  <si>
    <t>1003</t>
  </si>
  <si>
    <t>Court Reporting (per hour) on-site</t>
  </si>
  <si>
    <t>a</t>
  </si>
  <si>
    <t>Group A per List of Locations Attach A1</t>
  </si>
  <si>
    <t>b</t>
  </si>
  <si>
    <t>Group B per List of Locations Attach A1</t>
  </si>
  <si>
    <t>c</t>
  </si>
  <si>
    <t>Group C per List of Locations Attach A1</t>
  </si>
  <si>
    <t>d</t>
  </si>
  <si>
    <t>Group D per List of Locations Attach A1</t>
  </si>
  <si>
    <t>e</t>
  </si>
  <si>
    <t>Group E per List of Locations Attach A1</t>
  </si>
  <si>
    <t>1004</t>
  </si>
  <si>
    <t>Overtime Court reporting (per hour) on site</t>
  </si>
  <si>
    <t>1005</t>
  </si>
  <si>
    <t>Written Transcript (per page) 24 hr return</t>
  </si>
  <si>
    <t>Page</t>
  </si>
  <si>
    <t>1006</t>
  </si>
  <si>
    <t>Written Transcript (per page) 3 day return</t>
  </si>
  <si>
    <t>1007</t>
  </si>
  <si>
    <t>Written Transcript (per page) 7 day return</t>
  </si>
  <si>
    <t>1008</t>
  </si>
  <si>
    <t>Written Transcript (per page) 10 day return</t>
  </si>
  <si>
    <t>1009</t>
  </si>
  <si>
    <t>Written transcript 2nd copy (per page)</t>
  </si>
  <si>
    <t>1010</t>
  </si>
  <si>
    <t>Written transcript 3rd copy (per page)</t>
  </si>
  <si>
    <t>1011</t>
  </si>
  <si>
    <t>Exhibit Scanning (per page)</t>
  </si>
  <si>
    <t>1012</t>
  </si>
  <si>
    <t>Postage</t>
  </si>
  <si>
    <t>each</t>
  </si>
  <si>
    <t>1013</t>
  </si>
  <si>
    <t>Reimbursement of hotel fees not refundable after cancellation (Documentation required)</t>
  </si>
  <si>
    <t>1014</t>
  </si>
  <si>
    <t>Reimbursment of car rental fees not refundable after cancellation (Documentation required)</t>
  </si>
  <si>
    <t>1015</t>
  </si>
  <si>
    <t>Reimbursment of Per Diem costs after cancellation (Documentation required)</t>
  </si>
  <si>
    <t>1016</t>
  </si>
  <si>
    <t>Reimbursment of air fares not refundable after cancellation (Documentation required)</t>
  </si>
  <si>
    <t>Year 2/OY 1</t>
  </si>
  <si>
    <t>Year 3/OY 2</t>
  </si>
  <si>
    <t>Year 4/OY 3</t>
  </si>
  <si>
    <t>Year 5/OY 4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</si>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</sst>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4" fontId="0" fillId="3" borderId="1" xfId="1" applyFont="1" applyFill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1" fontId="0" fillId="0" borderId="1" xfId="0" applyNumberFormat="1" applyBorder="1" applyAlignment="1">
      <alignment horizontal="center"/>
    </xf>
    <xf numFmtId="49" fontId="0" fillId="4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44" fontId="0" fillId="4" borderId="1" xfId="1" applyFont="1" applyFill="1" applyBorder="1"/>
    <xf numFmtId="49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49" fontId="0" fillId="5" borderId="1" xfId="0" applyNumberFormat="1" applyFill="1" applyBorder="1"/>
    <xf numFmtId="0" fontId="0" fillId="5" borderId="1" xfId="0" applyFill="1" applyBorder="1"/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/>
    <xf numFmtId="0" fontId="0" fillId="6" borderId="1" xfId="0" applyFill="1" applyBorder="1"/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4" fontId="0" fillId="6" borderId="1" xfId="0" applyNumberFormat="1" applyFill="1" applyBorder="1"/>
    <xf numFmtId="49" fontId="0" fillId="6" borderId="1" xfId="0" applyNumberFormat="1" applyFill="1" applyBorder="1"/>
    <xf numFmtId="44" fontId="0" fillId="6" borderId="0" xfId="0" applyNumberFormat="1" applyFill="1"/>
    <xf numFmtId="44" fontId="0" fillId="5" borderId="0" xfId="0" applyNumberFormat="1" applyFill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imothy_daly2_va_gov/Documents/MIDCON%20ADMIN/Current%20Contracts/Court%20Reporting/Schedule%20of%20Items/Draft%20MidCon%20CLINs%20V2.xlsx" TargetMode="External"/><Relationship Id="rId2" Type="http://schemas.openxmlformats.org/officeDocument/2006/relationships/externalLinkPath" Target="https://dvagov-my.sharepoint.com/personal/timothy_daly2_va_gov/Documents/MIDCON%20ADMIN/Current%20Contracts/Court%20Reporting/Schedule%20of%20Items/Draft%20MidCon%20CLINs%20V2.xlsx" TargetMode="External"/><Relationship Id="rId1" Type="http://schemas.openxmlformats.org/officeDocument/2006/relationships/externalLinkPath" Target="/personal/timothy_daly2_va_gov/Documents/MIDCON%20ADMIN/Current%20Contracts/Court%20Reporting/Schedule%20of%20Items/Draft%20MidCon%20CLIN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Calculator"/>
      <sheetName val="Rates by VISN"/>
      <sheetName val="Hourly calc"/>
      <sheetName val="Sheet4"/>
      <sheetName val="Schedule of Items"/>
    </sheetNames>
    <sheetDataSet>
      <sheetData sheetId="0">
        <row r="4">
          <cell r="J4">
            <v>2776.25</v>
          </cell>
        </row>
        <row r="5">
          <cell r="E5">
            <v>20</v>
          </cell>
          <cell r="F5">
            <v>220</v>
          </cell>
          <cell r="G5">
            <v>25</v>
          </cell>
          <cell r="H5">
            <v>1158</v>
          </cell>
          <cell r="I5">
            <v>355.75</v>
          </cell>
        </row>
        <row r="6">
          <cell r="J6">
            <v>245</v>
          </cell>
        </row>
        <row r="7">
          <cell r="E7">
            <v>7</v>
          </cell>
          <cell r="F7">
            <v>20</v>
          </cell>
          <cell r="G7">
            <v>6</v>
          </cell>
          <cell r="H7">
            <v>0</v>
          </cell>
          <cell r="I7">
            <v>8.25</v>
          </cell>
        </row>
        <row r="8">
          <cell r="J8">
            <v>18865</v>
          </cell>
        </row>
        <row r="9">
          <cell r="J9">
            <v>26161.25</v>
          </cell>
        </row>
        <row r="10">
          <cell r="J10">
            <v>43317.5</v>
          </cell>
        </row>
        <row r="11">
          <cell r="J11">
            <v>61286.25</v>
          </cell>
        </row>
        <row r="12">
          <cell r="J12">
            <v>38396.25</v>
          </cell>
        </row>
        <row r="13">
          <cell r="J13">
            <v>17141.25</v>
          </cell>
        </row>
        <row r="14">
          <cell r="K14">
            <v>0</v>
          </cell>
        </row>
        <row r="15">
          <cell r="J15">
            <v>80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843F-D603-4B4D-B1E3-F3B129AC28F8}">
  <dimension ref="A1:G247"/>
  <sheetViews>
    <sheetView tabSelected="1" workbookViewId="0">
      <selection activeCell="B252" sqref="B252"/>
    </sheetView>
  </sheetViews>
  <sheetFormatPr defaultRowHeight="15" x14ac:dyDescent="0.25"/>
  <cols>
    <col min="2" max="2" width="47.7109375" customWidth="1"/>
    <col min="3" max="3" width="9.5703125" style="33" bestFit="1" customWidth="1"/>
    <col min="4" max="4" width="9.140625" style="33"/>
    <col min="6" max="6" width="13" customWidth="1"/>
    <col min="7" max="7" width="34.28515625" customWidth="1"/>
  </cols>
  <sheetData>
    <row r="1" spans="1:6" x14ac:dyDescent="0.25">
      <c r="A1" s="1"/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</row>
    <row r="3" spans="1:6" x14ac:dyDescent="0.25">
      <c r="A3" s="3" t="s">
        <v>5</v>
      </c>
      <c r="B3" s="4" t="s">
        <v>6</v>
      </c>
      <c r="C3" s="5"/>
      <c r="D3" s="5"/>
      <c r="E3" s="6"/>
      <c r="F3" s="4"/>
    </row>
    <row r="4" spans="1:6" x14ac:dyDescent="0.25">
      <c r="A4" s="7"/>
      <c r="B4" s="8"/>
      <c r="C4" s="9"/>
      <c r="D4" s="9"/>
      <c r="E4" s="10"/>
      <c r="F4" s="8"/>
    </row>
    <row r="5" spans="1:6" x14ac:dyDescent="0.25">
      <c r="A5" s="7" t="s">
        <v>7</v>
      </c>
      <c r="B5" s="8" t="s">
        <v>8</v>
      </c>
      <c r="C5" s="11">
        <f>'[1]Master Calculator'!J4</f>
        <v>2776.25</v>
      </c>
      <c r="D5" s="9" t="s">
        <v>9</v>
      </c>
      <c r="E5" s="10"/>
      <c r="F5" s="10">
        <f>C5*E5</f>
        <v>0</v>
      </c>
    </row>
    <row r="6" spans="1:6" x14ac:dyDescent="0.25">
      <c r="A6" s="7" t="s">
        <v>10</v>
      </c>
      <c r="B6" s="8" t="s">
        <v>11</v>
      </c>
      <c r="C6" s="9">
        <f>'[1]Master Calculator'!J6</f>
        <v>245</v>
      </c>
      <c r="D6" s="9" t="s">
        <v>9</v>
      </c>
      <c r="E6" s="10"/>
      <c r="F6" s="10">
        <f t="shared" ref="F6:F50" si="0">C6*E6</f>
        <v>0</v>
      </c>
    </row>
    <row r="7" spans="1:6" x14ac:dyDescent="0.25">
      <c r="A7" s="12" t="s">
        <v>12</v>
      </c>
      <c r="B7" s="13" t="s">
        <v>13</v>
      </c>
      <c r="C7" s="14"/>
      <c r="D7" s="14"/>
      <c r="E7" s="15"/>
      <c r="F7" s="15"/>
    </row>
    <row r="8" spans="1:6" x14ac:dyDescent="0.25">
      <c r="A8" s="16" t="s">
        <v>14</v>
      </c>
      <c r="B8" s="8" t="s">
        <v>15</v>
      </c>
      <c r="C8" s="9">
        <f>'[1]Master Calculator'!E5</f>
        <v>20</v>
      </c>
      <c r="D8" s="9" t="s">
        <v>9</v>
      </c>
      <c r="E8" s="10"/>
      <c r="F8" s="10">
        <f t="shared" si="0"/>
        <v>0</v>
      </c>
    </row>
    <row r="9" spans="1:6" x14ac:dyDescent="0.25">
      <c r="A9" s="16" t="s">
        <v>16</v>
      </c>
      <c r="B9" s="8" t="s">
        <v>17</v>
      </c>
      <c r="C9" s="9">
        <f>'[1]Master Calculator'!F5</f>
        <v>220</v>
      </c>
      <c r="D9" s="9" t="s">
        <v>9</v>
      </c>
      <c r="E9" s="10"/>
      <c r="F9" s="10">
        <f t="shared" si="0"/>
        <v>0</v>
      </c>
    </row>
    <row r="10" spans="1:6" x14ac:dyDescent="0.25">
      <c r="A10" s="16" t="s">
        <v>18</v>
      </c>
      <c r="B10" s="8" t="s">
        <v>19</v>
      </c>
      <c r="C10" s="9">
        <f>'[1]Master Calculator'!G5</f>
        <v>25</v>
      </c>
      <c r="D10" s="9" t="s">
        <v>9</v>
      </c>
      <c r="E10" s="10"/>
      <c r="F10" s="10">
        <f t="shared" si="0"/>
        <v>0</v>
      </c>
    </row>
    <row r="11" spans="1:6" x14ac:dyDescent="0.25">
      <c r="A11" s="16" t="s">
        <v>20</v>
      </c>
      <c r="B11" s="8" t="s">
        <v>21</v>
      </c>
      <c r="C11" s="9">
        <f>'[1]Master Calculator'!H5</f>
        <v>1158</v>
      </c>
      <c r="D11" s="9" t="s">
        <v>9</v>
      </c>
      <c r="E11" s="10"/>
      <c r="F11" s="10">
        <f t="shared" si="0"/>
        <v>0</v>
      </c>
    </row>
    <row r="12" spans="1:6" x14ac:dyDescent="0.25">
      <c r="A12" s="16" t="s">
        <v>22</v>
      </c>
      <c r="B12" s="8" t="s">
        <v>23</v>
      </c>
      <c r="C12" s="11">
        <f>'[1]Master Calculator'!I5</f>
        <v>355.75</v>
      </c>
      <c r="D12" s="9" t="s">
        <v>9</v>
      </c>
      <c r="E12" s="10"/>
      <c r="F12" s="10">
        <f t="shared" si="0"/>
        <v>0</v>
      </c>
    </row>
    <row r="13" spans="1:6" x14ac:dyDescent="0.25">
      <c r="A13" s="12" t="s">
        <v>24</v>
      </c>
      <c r="B13" s="13" t="s">
        <v>25</v>
      </c>
      <c r="C13" s="14"/>
      <c r="D13" s="14"/>
      <c r="E13" s="15"/>
      <c r="F13" s="15"/>
    </row>
    <row r="14" spans="1:6" x14ac:dyDescent="0.25">
      <c r="A14" s="16" t="s">
        <v>14</v>
      </c>
      <c r="B14" s="8" t="s">
        <v>15</v>
      </c>
      <c r="C14" s="9">
        <f>'[1]Master Calculator'!E7</f>
        <v>7</v>
      </c>
      <c r="D14" s="9" t="s">
        <v>9</v>
      </c>
      <c r="E14" s="10"/>
      <c r="F14" s="10">
        <f t="shared" si="0"/>
        <v>0</v>
      </c>
    </row>
    <row r="15" spans="1:6" x14ac:dyDescent="0.25">
      <c r="A15" s="16" t="s">
        <v>16</v>
      </c>
      <c r="B15" s="8" t="s">
        <v>17</v>
      </c>
      <c r="C15" s="9">
        <f>'[1]Master Calculator'!F7</f>
        <v>20</v>
      </c>
      <c r="D15" s="9" t="s">
        <v>9</v>
      </c>
      <c r="E15" s="10"/>
      <c r="F15" s="10">
        <f t="shared" si="0"/>
        <v>0</v>
      </c>
    </row>
    <row r="16" spans="1:6" x14ac:dyDescent="0.25">
      <c r="A16" s="16" t="s">
        <v>18</v>
      </c>
      <c r="B16" s="8" t="s">
        <v>19</v>
      </c>
      <c r="C16" s="9">
        <f>'[1]Master Calculator'!G7</f>
        <v>6</v>
      </c>
      <c r="D16" s="9" t="s">
        <v>9</v>
      </c>
      <c r="E16" s="10"/>
      <c r="F16" s="10">
        <f t="shared" si="0"/>
        <v>0</v>
      </c>
    </row>
    <row r="17" spans="1:6" x14ac:dyDescent="0.25">
      <c r="A17" s="16" t="s">
        <v>20</v>
      </c>
      <c r="B17" s="8" t="s">
        <v>21</v>
      </c>
      <c r="C17" s="9">
        <f>'[1]Master Calculator'!H7</f>
        <v>0</v>
      </c>
      <c r="D17" s="9" t="s">
        <v>9</v>
      </c>
      <c r="E17" s="10"/>
      <c r="F17" s="10">
        <f t="shared" si="0"/>
        <v>0</v>
      </c>
    </row>
    <row r="18" spans="1:6" x14ac:dyDescent="0.25">
      <c r="A18" s="16" t="s">
        <v>22</v>
      </c>
      <c r="B18" s="8" t="s">
        <v>23</v>
      </c>
      <c r="C18" s="11">
        <f>'[1]Master Calculator'!I7</f>
        <v>8.25</v>
      </c>
      <c r="D18" s="9" t="s">
        <v>9</v>
      </c>
      <c r="E18" s="10"/>
      <c r="F18" s="10">
        <f t="shared" si="0"/>
        <v>0</v>
      </c>
    </row>
    <row r="19" spans="1:6" x14ac:dyDescent="0.25">
      <c r="A19" s="7" t="s">
        <v>26</v>
      </c>
      <c r="B19" s="8" t="s">
        <v>27</v>
      </c>
      <c r="C19" s="11">
        <f>'[1]Master Calculator'!J8</f>
        <v>18865</v>
      </c>
      <c r="D19" s="17" t="s">
        <v>28</v>
      </c>
      <c r="E19" s="10"/>
      <c r="F19" s="10">
        <f t="shared" si="0"/>
        <v>0</v>
      </c>
    </row>
    <row r="20" spans="1:6" x14ac:dyDescent="0.25">
      <c r="A20" s="7" t="s">
        <v>29</v>
      </c>
      <c r="B20" s="8" t="s">
        <v>30</v>
      </c>
      <c r="C20" s="11">
        <f>'[1]Master Calculator'!J9</f>
        <v>26161.25</v>
      </c>
      <c r="D20" s="17" t="s">
        <v>28</v>
      </c>
      <c r="E20" s="10"/>
      <c r="F20" s="10">
        <f t="shared" si="0"/>
        <v>0</v>
      </c>
    </row>
    <row r="21" spans="1:6" x14ac:dyDescent="0.25">
      <c r="A21" s="7" t="s">
        <v>31</v>
      </c>
      <c r="B21" s="8" t="s">
        <v>32</v>
      </c>
      <c r="C21" s="11">
        <f>'[1]Master Calculator'!J10</f>
        <v>43317.5</v>
      </c>
      <c r="D21" s="17" t="s">
        <v>28</v>
      </c>
      <c r="E21" s="10"/>
      <c r="F21" s="10">
        <f t="shared" si="0"/>
        <v>0</v>
      </c>
    </row>
    <row r="22" spans="1:6" x14ac:dyDescent="0.25">
      <c r="A22" s="7" t="s">
        <v>33</v>
      </c>
      <c r="B22" s="8" t="s">
        <v>34</v>
      </c>
      <c r="C22" s="11">
        <f>'[1]Master Calculator'!J11</f>
        <v>61286.25</v>
      </c>
      <c r="D22" s="17" t="s">
        <v>28</v>
      </c>
      <c r="E22" s="10"/>
      <c r="F22" s="10">
        <f t="shared" si="0"/>
        <v>0</v>
      </c>
    </row>
    <row r="23" spans="1:6" x14ac:dyDescent="0.25">
      <c r="A23" s="7" t="s">
        <v>35</v>
      </c>
      <c r="B23" s="8" t="s">
        <v>36</v>
      </c>
      <c r="C23" s="11">
        <f>'[1]Master Calculator'!J12</f>
        <v>38396.25</v>
      </c>
      <c r="D23" s="17" t="s">
        <v>28</v>
      </c>
      <c r="E23" s="10"/>
      <c r="F23" s="10">
        <f t="shared" si="0"/>
        <v>0</v>
      </c>
    </row>
    <row r="24" spans="1:6" x14ac:dyDescent="0.25">
      <c r="A24" s="7" t="s">
        <v>37</v>
      </c>
      <c r="B24" s="8" t="s">
        <v>38</v>
      </c>
      <c r="C24" s="11">
        <f>'[1]Master Calculator'!J13</f>
        <v>17141.25</v>
      </c>
      <c r="D24" s="17" t="s">
        <v>28</v>
      </c>
      <c r="E24" s="10"/>
      <c r="F24" s="10">
        <f t="shared" si="0"/>
        <v>0</v>
      </c>
    </row>
    <row r="25" spans="1:6" x14ac:dyDescent="0.25">
      <c r="A25" s="7" t="s">
        <v>39</v>
      </c>
      <c r="B25" s="8" t="s">
        <v>40</v>
      </c>
      <c r="C25" s="11">
        <f>'[1]Master Calculator'!K14</f>
        <v>0</v>
      </c>
      <c r="D25" s="17" t="s">
        <v>28</v>
      </c>
      <c r="E25" s="10"/>
      <c r="F25" s="10">
        <f t="shared" si="0"/>
        <v>0</v>
      </c>
    </row>
    <row r="26" spans="1:6" x14ac:dyDescent="0.25">
      <c r="A26" s="7" t="s">
        <v>41</v>
      </c>
      <c r="B26" s="8" t="s">
        <v>42</v>
      </c>
      <c r="C26" s="11">
        <f>'[1]Master Calculator'!J15</f>
        <v>80</v>
      </c>
      <c r="D26" s="9" t="s">
        <v>43</v>
      </c>
      <c r="E26" s="10"/>
      <c r="F26" s="10">
        <f t="shared" si="0"/>
        <v>0</v>
      </c>
    </row>
    <row r="27" spans="1:6" ht="30" x14ac:dyDescent="0.25">
      <c r="A27" s="7" t="s">
        <v>44</v>
      </c>
      <c r="B27" s="18" t="s">
        <v>45</v>
      </c>
      <c r="C27" s="11"/>
      <c r="D27" s="9"/>
      <c r="E27" s="10"/>
      <c r="F27" s="10"/>
    </row>
    <row r="28" spans="1:6" x14ac:dyDescent="0.25">
      <c r="A28" s="16" t="s">
        <v>14</v>
      </c>
      <c r="B28" s="18" t="s">
        <v>15</v>
      </c>
      <c r="C28" s="11">
        <v>1</v>
      </c>
      <c r="D28" s="9" t="s">
        <v>43</v>
      </c>
      <c r="E28" s="10"/>
      <c r="F28" s="10">
        <f t="shared" si="0"/>
        <v>0</v>
      </c>
    </row>
    <row r="29" spans="1:6" x14ac:dyDescent="0.25">
      <c r="A29" s="16" t="s">
        <v>16</v>
      </c>
      <c r="B29" s="8" t="s">
        <v>17</v>
      </c>
      <c r="C29" s="11">
        <v>2</v>
      </c>
      <c r="D29" s="9" t="s">
        <v>43</v>
      </c>
      <c r="E29" s="10"/>
      <c r="F29" s="10">
        <f t="shared" si="0"/>
        <v>0</v>
      </c>
    </row>
    <row r="30" spans="1:6" x14ac:dyDescent="0.25">
      <c r="A30" s="16" t="s">
        <v>18</v>
      </c>
      <c r="B30" s="8" t="s">
        <v>19</v>
      </c>
      <c r="C30" s="11">
        <v>1</v>
      </c>
      <c r="D30" s="9" t="s">
        <v>43</v>
      </c>
      <c r="E30" s="10"/>
      <c r="F30" s="10">
        <f t="shared" si="0"/>
        <v>0</v>
      </c>
    </row>
    <row r="31" spans="1:6" x14ac:dyDescent="0.25">
      <c r="A31" s="16" t="s">
        <v>20</v>
      </c>
      <c r="B31" s="8" t="s">
        <v>21</v>
      </c>
      <c r="C31" s="11">
        <v>1</v>
      </c>
      <c r="D31" s="9" t="s">
        <v>43</v>
      </c>
      <c r="E31" s="10"/>
      <c r="F31" s="10">
        <f t="shared" si="0"/>
        <v>0</v>
      </c>
    </row>
    <row r="32" spans="1:6" x14ac:dyDescent="0.25">
      <c r="A32" s="16" t="s">
        <v>22</v>
      </c>
      <c r="B32" s="8" t="s">
        <v>23</v>
      </c>
      <c r="C32" s="11">
        <v>1</v>
      </c>
      <c r="D32" s="9" t="s">
        <v>43</v>
      </c>
      <c r="E32" s="10"/>
      <c r="F32" s="10">
        <f t="shared" si="0"/>
        <v>0</v>
      </c>
    </row>
    <row r="33" spans="1:6" ht="30" x14ac:dyDescent="0.25">
      <c r="A33" s="7" t="s">
        <v>46</v>
      </c>
      <c r="B33" s="18" t="s">
        <v>47</v>
      </c>
      <c r="C33" s="11"/>
      <c r="D33" s="9"/>
      <c r="E33" s="10"/>
      <c r="F33" s="10"/>
    </row>
    <row r="34" spans="1:6" x14ac:dyDescent="0.25">
      <c r="A34" s="16" t="s">
        <v>14</v>
      </c>
      <c r="B34" s="18" t="s">
        <v>15</v>
      </c>
      <c r="C34" s="11">
        <v>1</v>
      </c>
      <c r="D34" s="9" t="s">
        <v>43</v>
      </c>
      <c r="E34" s="10"/>
      <c r="F34" s="10">
        <f t="shared" si="0"/>
        <v>0</v>
      </c>
    </row>
    <row r="35" spans="1:6" x14ac:dyDescent="0.25">
      <c r="A35" s="16" t="s">
        <v>16</v>
      </c>
      <c r="B35" s="8" t="s">
        <v>17</v>
      </c>
      <c r="C35" s="11">
        <v>1</v>
      </c>
      <c r="D35" s="9" t="s">
        <v>43</v>
      </c>
      <c r="E35" s="10"/>
      <c r="F35" s="10">
        <f t="shared" si="0"/>
        <v>0</v>
      </c>
    </row>
    <row r="36" spans="1:6" x14ac:dyDescent="0.25">
      <c r="A36" s="16" t="s">
        <v>18</v>
      </c>
      <c r="B36" s="8" t="s">
        <v>19</v>
      </c>
      <c r="C36" s="11">
        <v>1</v>
      </c>
      <c r="D36" s="9" t="s">
        <v>43</v>
      </c>
      <c r="E36" s="10"/>
      <c r="F36" s="10">
        <f t="shared" si="0"/>
        <v>0</v>
      </c>
    </row>
    <row r="37" spans="1:6" x14ac:dyDescent="0.25">
      <c r="A37" s="16" t="s">
        <v>20</v>
      </c>
      <c r="B37" s="8" t="s">
        <v>21</v>
      </c>
      <c r="C37" s="11">
        <v>1</v>
      </c>
      <c r="D37" s="9" t="s">
        <v>43</v>
      </c>
      <c r="E37" s="10"/>
      <c r="F37" s="10">
        <f t="shared" si="0"/>
        <v>0</v>
      </c>
    </row>
    <row r="38" spans="1:6" x14ac:dyDescent="0.25">
      <c r="A38" s="16" t="s">
        <v>22</v>
      </c>
      <c r="B38" s="8" t="s">
        <v>23</v>
      </c>
      <c r="C38" s="11">
        <v>1</v>
      </c>
      <c r="D38" s="9" t="s">
        <v>43</v>
      </c>
      <c r="E38" s="10"/>
      <c r="F38" s="10">
        <f t="shared" si="0"/>
        <v>0</v>
      </c>
    </row>
    <row r="39" spans="1:6" ht="30" x14ac:dyDescent="0.25">
      <c r="A39" s="7" t="s">
        <v>48</v>
      </c>
      <c r="B39" s="18" t="s">
        <v>49</v>
      </c>
      <c r="C39" s="11"/>
      <c r="D39" s="9"/>
      <c r="E39" s="10"/>
      <c r="F39" s="10"/>
    </row>
    <row r="40" spans="1:6" x14ac:dyDescent="0.25">
      <c r="A40" s="7" t="s">
        <v>14</v>
      </c>
      <c r="B40" s="18" t="s">
        <v>15</v>
      </c>
      <c r="C40" s="11">
        <v>2</v>
      </c>
      <c r="D40" s="9" t="s">
        <v>43</v>
      </c>
      <c r="E40" s="10"/>
      <c r="F40" s="10">
        <f t="shared" si="0"/>
        <v>0</v>
      </c>
    </row>
    <row r="41" spans="1:6" x14ac:dyDescent="0.25">
      <c r="A41" s="7" t="s">
        <v>16</v>
      </c>
      <c r="B41" s="18" t="s">
        <v>17</v>
      </c>
      <c r="C41" s="11">
        <v>3</v>
      </c>
      <c r="D41" s="9" t="s">
        <v>43</v>
      </c>
      <c r="E41" s="10"/>
      <c r="F41" s="10">
        <f t="shared" si="0"/>
        <v>0</v>
      </c>
    </row>
    <row r="42" spans="1:6" x14ac:dyDescent="0.25">
      <c r="A42" s="7" t="s">
        <v>18</v>
      </c>
      <c r="B42" s="18" t="s">
        <v>19</v>
      </c>
      <c r="C42" s="11">
        <v>2</v>
      </c>
      <c r="D42" s="9" t="s">
        <v>43</v>
      </c>
      <c r="E42" s="10"/>
      <c r="F42" s="10">
        <f t="shared" si="0"/>
        <v>0</v>
      </c>
    </row>
    <row r="43" spans="1:6" x14ac:dyDescent="0.25">
      <c r="A43" s="7" t="s">
        <v>20</v>
      </c>
      <c r="B43" s="18" t="s">
        <v>21</v>
      </c>
      <c r="C43" s="11">
        <v>2</v>
      </c>
      <c r="D43" s="9" t="s">
        <v>43</v>
      </c>
      <c r="E43" s="10"/>
      <c r="F43" s="10">
        <f t="shared" si="0"/>
        <v>0</v>
      </c>
    </row>
    <row r="44" spans="1:6" x14ac:dyDescent="0.25">
      <c r="A44" s="7" t="s">
        <v>22</v>
      </c>
      <c r="B44" s="18" t="s">
        <v>23</v>
      </c>
      <c r="C44" s="11">
        <v>2</v>
      </c>
      <c r="D44" s="9" t="s">
        <v>43</v>
      </c>
      <c r="E44" s="10"/>
      <c r="F44" s="10">
        <f t="shared" si="0"/>
        <v>0</v>
      </c>
    </row>
    <row r="45" spans="1:6" ht="30" x14ac:dyDescent="0.25">
      <c r="A45" s="7" t="s">
        <v>50</v>
      </c>
      <c r="B45" s="18" t="s">
        <v>51</v>
      </c>
      <c r="C45" s="11"/>
      <c r="D45" s="9"/>
      <c r="E45" s="10"/>
      <c r="F45" s="10"/>
    </row>
    <row r="46" spans="1:6" x14ac:dyDescent="0.25">
      <c r="A46" s="7" t="s">
        <v>14</v>
      </c>
      <c r="B46" s="18" t="s">
        <v>15</v>
      </c>
      <c r="C46" s="11">
        <v>4</v>
      </c>
      <c r="D46" s="9" t="s">
        <v>43</v>
      </c>
      <c r="E46" s="10"/>
      <c r="F46" s="10">
        <f t="shared" si="0"/>
        <v>0</v>
      </c>
    </row>
    <row r="47" spans="1:6" x14ac:dyDescent="0.25">
      <c r="A47" s="7" t="s">
        <v>16</v>
      </c>
      <c r="B47" s="18" t="s">
        <v>17</v>
      </c>
      <c r="C47" s="11">
        <v>4</v>
      </c>
      <c r="D47" s="9" t="s">
        <v>43</v>
      </c>
      <c r="E47" s="10"/>
      <c r="F47" s="10">
        <f t="shared" si="0"/>
        <v>0</v>
      </c>
    </row>
    <row r="48" spans="1:6" x14ac:dyDescent="0.25">
      <c r="A48" s="7" t="s">
        <v>18</v>
      </c>
      <c r="B48" s="18" t="s">
        <v>19</v>
      </c>
      <c r="C48" s="11">
        <v>3</v>
      </c>
      <c r="D48" s="9" t="s">
        <v>43</v>
      </c>
      <c r="E48" s="10"/>
      <c r="F48" s="10">
        <f t="shared" si="0"/>
        <v>0</v>
      </c>
    </row>
    <row r="49" spans="1:7" x14ac:dyDescent="0.25">
      <c r="A49" s="7" t="s">
        <v>20</v>
      </c>
      <c r="B49" s="18" t="s">
        <v>21</v>
      </c>
      <c r="C49" s="11">
        <v>4</v>
      </c>
      <c r="D49" s="9" t="s">
        <v>43</v>
      </c>
      <c r="E49" s="10"/>
      <c r="F49" s="10">
        <f t="shared" si="0"/>
        <v>0</v>
      </c>
    </row>
    <row r="50" spans="1:7" x14ac:dyDescent="0.25">
      <c r="A50" s="19" t="s">
        <v>22</v>
      </c>
      <c r="B50" s="20" t="s">
        <v>23</v>
      </c>
      <c r="C50" s="21">
        <v>3</v>
      </c>
      <c r="D50" s="22" t="s">
        <v>43</v>
      </c>
      <c r="E50" s="10"/>
      <c r="F50" s="10">
        <f t="shared" si="0"/>
        <v>0</v>
      </c>
    </row>
    <row r="51" spans="1:7" x14ac:dyDescent="0.25">
      <c r="A51" s="23"/>
      <c r="B51" s="23"/>
      <c r="C51" s="24"/>
      <c r="D51" s="24"/>
      <c r="E51" s="25"/>
      <c r="F51" s="25"/>
      <c r="G51" s="25">
        <f>SUM(F5:F50)</f>
        <v>0</v>
      </c>
    </row>
    <row r="52" spans="1:7" x14ac:dyDescent="0.25">
      <c r="A52" s="3" t="s">
        <v>5</v>
      </c>
      <c r="B52" s="4" t="s">
        <v>52</v>
      </c>
      <c r="C52" s="5"/>
      <c r="D52" s="5"/>
      <c r="E52" s="6"/>
      <c r="F52" s="4"/>
    </row>
    <row r="53" spans="1:7" x14ac:dyDescent="0.25">
      <c r="A53" s="7"/>
      <c r="B53" s="8"/>
      <c r="C53" s="9"/>
      <c r="D53" s="9"/>
      <c r="E53" s="10"/>
      <c r="F53" s="8"/>
    </row>
    <row r="54" spans="1:7" x14ac:dyDescent="0.25">
      <c r="A54" s="7" t="s">
        <v>56</v>
      </c>
      <c r="B54" s="8" t="s">
        <v>8</v>
      </c>
      <c r="C54" s="11">
        <f t="shared" ref="C54:C75" si="1">C5</f>
        <v>2776.25</v>
      </c>
      <c r="D54" s="9" t="s">
        <v>9</v>
      </c>
      <c r="E54" s="10"/>
      <c r="F54" s="10">
        <f>C54*E54</f>
        <v>0</v>
      </c>
    </row>
    <row r="55" spans="1:7" x14ac:dyDescent="0.25">
      <c r="A55" s="7" t="s">
        <v>57</v>
      </c>
      <c r="B55" s="8" t="s">
        <v>11</v>
      </c>
      <c r="C55" s="11">
        <f t="shared" si="1"/>
        <v>245</v>
      </c>
      <c r="D55" s="9" t="s">
        <v>9</v>
      </c>
      <c r="E55" s="10"/>
      <c r="F55" s="10">
        <f t="shared" ref="F55:F75" si="2">C55*E55</f>
        <v>0</v>
      </c>
    </row>
    <row r="56" spans="1:7" x14ac:dyDescent="0.25">
      <c r="A56" s="12" t="s">
        <v>58</v>
      </c>
      <c r="B56" s="13" t="s">
        <v>13</v>
      </c>
      <c r="C56" s="11">
        <f t="shared" si="1"/>
        <v>0</v>
      </c>
      <c r="D56" s="14"/>
      <c r="E56" s="15"/>
      <c r="F56" s="15">
        <f t="shared" si="2"/>
        <v>0</v>
      </c>
    </row>
    <row r="57" spans="1:7" x14ac:dyDescent="0.25">
      <c r="A57" s="16" t="s">
        <v>14</v>
      </c>
      <c r="B57" s="8" t="s">
        <v>15</v>
      </c>
      <c r="C57" s="11">
        <f t="shared" si="1"/>
        <v>20</v>
      </c>
      <c r="D57" s="9" t="s">
        <v>9</v>
      </c>
      <c r="E57" s="10"/>
      <c r="F57" s="10">
        <f t="shared" si="2"/>
        <v>0</v>
      </c>
    </row>
    <row r="58" spans="1:7" x14ac:dyDescent="0.25">
      <c r="A58" s="16" t="s">
        <v>16</v>
      </c>
      <c r="B58" s="8" t="s">
        <v>17</v>
      </c>
      <c r="C58" s="11">
        <f t="shared" si="1"/>
        <v>220</v>
      </c>
      <c r="D58" s="9" t="s">
        <v>9</v>
      </c>
      <c r="E58" s="10"/>
      <c r="F58" s="10">
        <f t="shared" si="2"/>
        <v>0</v>
      </c>
    </row>
    <row r="59" spans="1:7" x14ac:dyDescent="0.25">
      <c r="A59" s="16" t="s">
        <v>18</v>
      </c>
      <c r="B59" s="8" t="s">
        <v>19</v>
      </c>
      <c r="C59" s="11">
        <f t="shared" si="1"/>
        <v>25</v>
      </c>
      <c r="D59" s="9" t="s">
        <v>9</v>
      </c>
      <c r="E59" s="10"/>
      <c r="F59" s="10">
        <f t="shared" si="2"/>
        <v>0</v>
      </c>
    </row>
    <row r="60" spans="1:7" x14ac:dyDescent="0.25">
      <c r="A60" s="16" t="s">
        <v>20</v>
      </c>
      <c r="B60" s="8" t="s">
        <v>21</v>
      </c>
      <c r="C60" s="11">
        <f t="shared" si="1"/>
        <v>1158</v>
      </c>
      <c r="D60" s="9" t="s">
        <v>9</v>
      </c>
      <c r="E60" s="10"/>
      <c r="F60" s="10">
        <f t="shared" si="2"/>
        <v>0</v>
      </c>
    </row>
    <row r="61" spans="1:7" x14ac:dyDescent="0.25">
      <c r="A61" s="16" t="s">
        <v>22</v>
      </c>
      <c r="B61" s="8" t="s">
        <v>23</v>
      </c>
      <c r="C61" s="11">
        <f t="shared" si="1"/>
        <v>355.75</v>
      </c>
      <c r="D61" s="9" t="s">
        <v>9</v>
      </c>
      <c r="E61" s="10"/>
      <c r="F61" s="10">
        <f t="shared" si="2"/>
        <v>0</v>
      </c>
    </row>
    <row r="62" spans="1:7" x14ac:dyDescent="0.25">
      <c r="A62" s="12" t="s">
        <v>59</v>
      </c>
      <c r="B62" s="13" t="s">
        <v>25</v>
      </c>
      <c r="C62" s="11">
        <f t="shared" si="1"/>
        <v>0</v>
      </c>
      <c r="D62" s="14"/>
      <c r="E62" s="15"/>
      <c r="F62" s="15">
        <f t="shared" si="2"/>
        <v>0</v>
      </c>
    </row>
    <row r="63" spans="1:7" x14ac:dyDescent="0.25">
      <c r="A63" s="16" t="s">
        <v>14</v>
      </c>
      <c r="B63" s="8" t="s">
        <v>15</v>
      </c>
      <c r="C63" s="11">
        <f t="shared" si="1"/>
        <v>7</v>
      </c>
      <c r="D63" s="9" t="s">
        <v>9</v>
      </c>
      <c r="E63" s="10"/>
      <c r="F63" s="10">
        <f t="shared" si="2"/>
        <v>0</v>
      </c>
    </row>
    <row r="64" spans="1:7" x14ac:dyDescent="0.25">
      <c r="A64" s="16" t="s">
        <v>16</v>
      </c>
      <c r="B64" s="8" t="s">
        <v>17</v>
      </c>
      <c r="C64" s="11">
        <f t="shared" si="1"/>
        <v>20</v>
      </c>
      <c r="D64" s="9" t="s">
        <v>9</v>
      </c>
      <c r="E64" s="10"/>
      <c r="F64" s="10">
        <f t="shared" si="2"/>
        <v>0</v>
      </c>
    </row>
    <row r="65" spans="1:6" x14ac:dyDescent="0.25">
      <c r="A65" s="16" t="s">
        <v>18</v>
      </c>
      <c r="B65" s="8" t="s">
        <v>19</v>
      </c>
      <c r="C65" s="11">
        <f t="shared" si="1"/>
        <v>6</v>
      </c>
      <c r="D65" s="9" t="s">
        <v>9</v>
      </c>
      <c r="E65" s="10"/>
      <c r="F65" s="10">
        <f t="shared" si="2"/>
        <v>0</v>
      </c>
    </row>
    <row r="66" spans="1:6" x14ac:dyDescent="0.25">
      <c r="A66" s="16" t="s">
        <v>20</v>
      </c>
      <c r="B66" s="8" t="s">
        <v>21</v>
      </c>
      <c r="C66" s="11">
        <f t="shared" si="1"/>
        <v>0</v>
      </c>
      <c r="D66" s="9" t="s">
        <v>9</v>
      </c>
      <c r="E66" s="10"/>
      <c r="F66" s="10">
        <f t="shared" si="2"/>
        <v>0</v>
      </c>
    </row>
    <row r="67" spans="1:6" x14ac:dyDescent="0.25">
      <c r="A67" s="16" t="s">
        <v>22</v>
      </c>
      <c r="B67" s="8" t="s">
        <v>23</v>
      </c>
      <c r="C67" s="11">
        <f t="shared" si="1"/>
        <v>8.25</v>
      </c>
      <c r="D67" s="9" t="s">
        <v>9</v>
      </c>
      <c r="E67" s="10"/>
      <c r="F67" s="10">
        <f t="shared" si="2"/>
        <v>0</v>
      </c>
    </row>
    <row r="68" spans="1:6" x14ac:dyDescent="0.25">
      <c r="A68" s="7" t="s">
        <v>60</v>
      </c>
      <c r="B68" s="8" t="s">
        <v>27</v>
      </c>
      <c r="C68" s="11">
        <f t="shared" si="1"/>
        <v>18865</v>
      </c>
      <c r="D68" s="17" t="s">
        <v>28</v>
      </c>
      <c r="E68" s="10"/>
      <c r="F68" s="10">
        <f t="shared" si="2"/>
        <v>0</v>
      </c>
    </row>
    <row r="69" spans="1:6" x14ac:dyDescent="0.25">
      <c r="A69" s="7" t="s">
        <v>61</v>
      </c>
      <c r="B69" s="8" t="s">
        <v>30</v>
      </c>
      <c r="C69" s="11">
        <f t="shared" si="1"/>
        <v>26161.25</v>
      </c>
      <c r="D69" s="17" t="s">
        <v>28</v>
      </c>
      <c r="E69" s="10"/>
      <c r="F69" s="10">
        <f t="shared" si="2"/>
        <v>0</v>
      </c>
    </row>
    <row r="70" spans="1:6" x14ac:dyDescent="0.25">
      <c r="A70" s="7" t="s">
        <v>62</v>
      </c>
      <c r="B70" s="8" t="s">
        <v>32</v>
      </c>
      <c r="C70" s="11">
        <f t="shared" si="1"/>
        <v>43317.5</v>
      </c>
      <c r="D70" s="17" t="s">
        <v>28</v>
      </c>
      <c r="E70" s="10"/>
      <c r="F70" s="10">
        <f t="shared" si="2"/>
        <v>0</v>
      </c>
    </row>
    <row r="71" spans="1:6" x14ac:dyDescent="0.25">
      <c r="A71" s="7" t="s">
        <v>63</v>
      </c>
      <c r="B71" s="8" t="s">
        <v>34</v>
      </c>
      <c r="C71" s="11">
        <f t="shared" si="1"/>
        <v>61286.25</v>
      </c>
      <c r="D71" s="17" t="s">
        <v>28</v>
      </c>
      <c r="E71" s="10"/>
      <c r="F71" s="10">
        <f t="shared" si="2"/>
        <v>0</v>
      </c>
    </row>
    <row r="72" spans="1:6" x14ac:dyDescent="0.25">
      <c r="A72" s="7" t="s">
        <v>64</v>
      </c>
      <c r="B72" s="8" t="s">
        <v>36</v>
      </c>
      <c r="C72" s="11">
        <f t="shared" si="1"/>
        <v>38396.25</v>
      </c>
      <c r="D72" s="17" t="s">
        <v>28</v>
      </c>
      <c r="E72" s="10"/>
      <c r="F72" s="10">
        <f t="shared" si="2"/>
        <v>0</v>
      </c>
    </row>
    <row r="73" spans="1:6" x14ac:dyDescent="0.25">
      <c r="A73" s="7" t="s">
        <v>65</v>
      </c>
      <c r="B73" s="8" t="s">
        <v>38</v>
      </c>
      <c r="C73" s="11">
        <f t="shared" si="1"/>
        <v>17141.25</v>
      </c>
      <c r="D73" s="17" t="s">
        <v>28</v>
      </c>
      <c r="E73" s="10"/>
      <c r="F73" s="10">
        <f t="shared" si="2"/>
        <v>0</v>
      </c>
    </row>
    <row r="74" spans="1:6" x14ac:dyDescent="0.25">
      <c r="A74" s="7" t="s">
        <v>66</v>
      </c>
      <c r="B74" s="8" t="s">
        <v>40</v>
      </c>
      <c r="C74" s="11">
        <f t="shared" si="1"/>
        <v>0</v>
      </c>
      <c r="D74" s="17" t="s">
        <v>28</v>
      </c>
      <c r="E74" s="10"/>
      <c r="F74" s="10">
        <f t="shared" si="2"/>
        <v>0</v>
      </c>
    </row>
    <row r="75" spans="1:6" x14ac:dyDescent="0.25">
      <c r="A75" s="7" t="s">
        <v>67</v>
      </c>
      <c r="B75" s="8" t="s">
        <v>42</v>
      </c>
      <c r="C75" s="11">
        <f t="shared" si="1"/>
        <v>80</v>
      </c>
      <c r="D75" s="9" t="s">
        <v>43</v>
      </c>
      <c r="E75" s="10"/>
      <c r="F75" s="10">
        <f t="shared" si="2"/>
        <v>0</v>
      </c>
    </row>
    <row r="76" spans="1:6" ht="30" x14ac:dyDescent="0.25">
      <c r="A76" s="7" t="s">
        <v>68</v>
      </c>
      <c r="B76" s="18" t="s">
        <v>45</v>
      </c>
      <c r="C76" s="11"/>
      <c r="D76" s="9"/>
      <c r="E76" s="10"/>
      <c r="F76" s="10"/>
    </row>
    <row r="77" spans="1:6" x14ac:dyDescent="0.25">
      <c r="A77" s="7" t="s">
        <v>14</v>
      </c>
      <c r="B77" s="18" t="s">
        <v>15</v>
      </c>
      <c r="C77" s="11">
        <v>1</v>
      </c>
      <c r="D77" s="9" t="s">
        <v>43</v>
      </c>
      <c r="E77" s="10"/>
      <c r="F77" s="10">
        <f t="shared" ref="F77:F81" si="3">C77*E77</f>
        <v>0</v>
      </c>
    </row>
    <row r="78" spans="1:6" x14ac:dyDescent="0.25">
      <c r="A78" s="7" t="s">
        <v>16</v>
      </c>
      <c r="B78" s="18" t="s">
        <v>17</v>
      </c>
      <c r="C78" s="11">
        <v>2</v>
      </c>
      <c r="D78" s="9" t="s">
        <v>43</v>
      </c>
      <c r="E78" s="10"/>
      <c r="F78" s="10">
        <f t="shared" si="3"/>
        <v>0</v>
      </c>
    </row>
    <row r="79" spans="1:6" x14ac:dyDescent="0.25">
      <c r="A79" s="7" t="s">
        <v>18</v>
      </c>
      <c r="B79" s="18" t="s">
        <v>19</v>
      </c>
      <c r="C79" s="11">
        <v>1</v>
      </c>
      <c r="D79" s="9" t="s">
        <v>43</v>
      </c>
      <c r="E79" s="10"/>
      <c r="F79" s="10">
        <f t="shared" si="3"/>
        <v>0</v>
      </c>
    </row>
    <row r="80" spans="1:6" x14ac:dyDescent="0.25">
      <c r="A80" s="7" t="s">
        <v>20</v>
      </c>
      <c r="B80" s="18" t="s">
        <v>21</v>
      </c>
      <c r="C80" s="11">
        <v>1</v>
      </c>
      <c r="D80" s="9" t="s">
        <v>43</v>
      </c>
      <c r="E80" s="10"/>
      <c r="F80" s="10">
        <f t="shared" si="3"/>
        <v>0</v>
      </c>
    </row>
    <row r="81" spans="1:6" x14ac:dyDescent="0.25">
      <c r="A81" s="7" t="s">
        <v>22</v>
      </c>
      <c r="B81" s="18" t="s">
        <v>23</v>
      </c>
      <c r="C81" s="11">
        <v>1</v>
      </c>
      <c r="D81" s="9" t="s">
        <v>43</v>
      </c>
      <c r="E81" s="10"/>
      <c r="F81" s="10">
        <f t="shared" si="3"/>
        <v>0</v>
      </c>
    </row>
    <row r="82" spans="1:6" ht="30" x14ac:dyDescent="0.25">
      <c r="A82" s="7" t="s">
        <v>69</v>
      </c>
      <c r="B82" s="18" t="s">
        <v>47</v>
      </c>
      <c r="C82" s="11"/>
      <c r="D82" s="9"/>
      <c r="E82" s="10"/>
      <c r="F82" s="10"/>
    </row>
    <row r="83" spans="1:6" x14ac:dyDescent="0.25">
      <c r="A83" s="7" t="s">
        <v>14</v>
      </c>
      <c r="B83" s="18" t="s">
        <v>15</v>
      </c>
      <c r="C83" s="11">
        <v>1</v>
      </c>
      <c r="D83" s="9" t="s">
        <v>43</v>
      </c>
      <c r="E83" s="10"/>
      <c r="F83" s="10">
        <f t="shared" ref="F83:F87" si="4">C83*E83</f>
        <v>0</v>
      </c>
    </row>
    <row r="84" spans="1:6" x14ac:dyDescent="0.25">
      <c r="A84" s="7" t="s">
        <v>16</v>
      </c>
      <c r="B84" s="18" t="s">
        <v>17</v>
      </c>
      <c r="C84" s="11">
        <v>1</v>
      </c>
      <c r="D84" s="9" t="s">
        <v>43</v>
      </c>
      <c r="E84" s="10"/>
      <c r="F84" s="10">
        <f t="shared" si="4"/>
        <v>0</v>
      </c>
    </row>
    <row r="85" spans="1:6" x14ac:dyDescent="0.25">
      <c r="A85" s="7" t="s">
        <v>18</v>
      </c>
      <c r="B85" s="18" t="s">
        <v>19</v>
      </c>
      <c r="C85" s="11">
        <v>1</v>
      </c>
      <c r="D85" s="9" t="s">
        <v>43</v>
      </c>
      <c r="E85" s="10"/>
      <c r="F85" s="10">
        <f>C85*E85</f>
        <v>0</v>
      </c>
    </row>
    <row r="86" spans="1:6" x14ac:dyDescent="0.25">
      <c r="A86" s="7" t="s">
        <v>20</v>
      </c>
      <c r="B86" s="18" t="s">
        <v>21</v>
      </c>
      <c r="C86" s="11">
        <v>1</v>
      </c>
      <c r="D86" s="9" t="s">
        <v>43</v>
      </c>
      <c r="E86" s="10"/>
      <c r="F86" s="10">
        <f>C86*E86</f>
        <v>0</v>
      </c>
    </row>
    <row r="87" spans="1:6" x14ac:dyDescent="0.25">
      <c r="A87" s="7" t="s">
        <v>22</v>
      </c>
      <c r="B87" s="18" t="s">
        <v>23</v>
      </c>
      <c r="C87" s="11">
        <v>1</v>
      </c>
      <c r="D87" s="9" t="s">
        <v>43</v>
      </c>
      <c r="E87" s="10"/>
      <c r="F87" s="10">
        <f t="shared" si="4"/>
        <v>0</v>
      </c>
    </row>
    <row r="88" spans="1:6" ht="30" x14ac:dyDescent="0.25">
      <c r="A88" s="7" t="s">
        <v>70</v>
      </c>
      <c r="B88" s="18" t="s">
        <v>49</v>
      </c>
      <c r="C88" s="11"/>
      <c r="D88" s="9"/>
      <c r="E88" s="10"/>
      <c r="F88" s="10"/>
    </row>
    <row r="89" spans="1:6" x14ac:dyDescent="0.25">
      <c r="A89" s="7" t="s">
        <v>14</v>
      </c>
      <c r="B89" s="18" t="s">
        <v>15</v>
      </c>
      <c r="C89" s="11">
        <v>2</v>
      </c>
      <c r="D89" s="9" t="s">
        <v>43</v>
      </c>
      <c r="E89" s="10"/>
      <c r="F89" s="10">
        <f t="shared" ref="F89:F93" si="5">C89*E89</f>
        <v>0</v>
      </c>
    </row>
    <row r="90" spans="1:6" x14ac:dyDescent="0.25">
      <c r="A90" s="7" t="s">
        <v>16</v>
      </c>
      <c r="B90" s="18" t="s">
        <v>17</v>
      </c>
      <c r="C90" s="11">
        <v>3</v>
      </c>
      <c r="D90" s="9" t="s">
        <v>43</v>
      </c>
      <c r="E90" s="10"/>
      <c r="F90" s="10">
        <f t="shared" si="5"/>
        <v>0</v>
      </c>
    </row>
    <row r="91" spans="1:6" x14ac:dyDescent="0.25">
      <c r="A91" s="7" t="s">
        <v>18</v>
      </c>
      <c r="B91" s="18" t="s">
        <v>19</v>
      </c>
      <c r="C91" s="11">
        <v>2</v>
      </c>
      <c r="D91" s="9" t="s">
        <v>43</v>
      </c>
      <c r="E91" s="10"/>
      <c r="F91" s="10">
        <f t="shared" si="5"/>
        <v>0</v>
      </c>
    </row>
    <row r="92" spans="1:6" x14ac:dyDescent="0.25">
      <c r="A92" s="7" t="s">
        <v>20</v>
      </c>
      <c r="B92" s="18" t="s">
        <v>21</v>
      </c>
      <c r="C92" s="11">
        <v>2</v>
      </c>
      <c r="D92" s="9" t="s">
        <v>43</v>
      </c>
      <c r="E92" s="10"/>
      <c r="F92" s="10">
        <f t="shared" si="5"/>
        <v>0</v>
      </c>
    </row>
    <row r="93" spans="1:6" x14ac:dyDescent="0.25">
      <c r="A93" s="7" t="s">
        <v>22</v>
      </c>
      <c r="B93" s="18" t="s">
        <v>23</v>
      </c>
      <c r="C93" s="11">
        <v>2</v>
      </c>
      <c r="D93" s="9" t="s">
        <v>43</v>
      </c>
      <c r="E93" s="10"/>
      <c r="F93" s="10">
        <f t="shared" si="5"/>
        <v>0</v>
      </c>
    </row>
    <row r="94" spans="1:6" ht="30" x14ac:dyDescent="0.25">
      <c r="A94" s="7" t="s">
        <v>71</v>
      </c>
      <c r="B94" s="18" t="s">
        <v>51</v>
      </c>
      <c r="C94" s="11"/>
      <c r="D94" s="9"/>
      <c r="E94" s="10"/>
      <c r="F94" s="10"/>
    </row>
    <row r="95" spans="1:6" x14ac:dyDescent="0.25">
      <c r="A95" s="7" t="s">
        <v>14</v>
      </c>
      <c r="B95" s="18" t="s">
        <v>15</v>
      </c>
      <c r="C95" s="11">
        <v>4</v>
      </c>
      <c r="D95" s="9" t="s">
        <v>43</v>
      </c>
      <c r="E95" s="10"/>
      <c r="F95" s="10">
        <f t="shared" ref="F95:F99" si="6">C95*E95</f>
        <v>0</v>
      </c>
    </row>
    <row r="96" spans="1:6" x14ac:dyDescent="0.25">
      <c r="A96" s="7" t="s">
        <v>16</v>
      </c>
      <c r="B96" s="18" t="s">
        <v>17</v>
      </c>
      <c r="C96" s="11">
        <v>4</v>
      </c>
      <c r="D96" s="9" t="s">
        <v>43</v>
      </c>
      <c r="E96" s="10"/>
      <c r="F96" s="10">
        <f t="shared" si="6"/>
        <v>0</v>
      </c>
    </row>
    <row r="97" spans="1:7" x14ac:dyDescent="0.25">
      <c r="A97" s="7" t="s">
        <v>18</v>
      </c>
      <c r="B97" s="18" t="s">
        <v>19</v>
      </c>
      <c r="C97" s="11">
        <v>3</v>
      </c>
      <c r="D97" s="9" t="s">
        <v>43</v>
      </c>
      <c r="E97" s="10"/>
      <c r="F97" s="10">
        <f t="shared" si="6"/>
        <v>0</v>
      </c>
    </row>
    <row r="98" spans="1:7" x14ac:dyDescent="0.25">
      <c r="A98" s="7" t="s">
        <v>20</v>
      </c>
      <c r="B98" s="18" t="s">
        <v>21</v>
      </c>
      <c r="C98" s="11">
        <v>4</v>
      </c>
      <c r="D98" s="9" t="s">
        <v>43</v>
      </c>
      <c r="E98" s="10"/>
      <c r="F98" s="10">
        <f t="shared" si="6"/>
        <v>0</v>
      </c>
    </row>
    <row r="99" spans="1:7" x14ac:dyDescent="0.25">
      <c r="A99" s="7" t="s">
        <v>22</v>
      </c>
      <c r="B99" s="8" t="s">
        <v>23</v>
      </c>
      <c r="C99" s="21">
        <v>3</v>
      </c>
      <c r="D99" s="9" t="s">
        <v>43</v>
      </c>
      <c r="E99" s="10"/>
      <c r="F99" s="10">
        <f t="shared" si="6"/>
        <v>0</v>
      </c>
    </row>
    <row r="100" spans="1:7" x14ac:dyDescent="0.25">
      <c r="A100" s="7"/>
      <c r="B100" s="26"/>
      <c r="C100" s="27"/>
      <c r="D100" s="28"/>
      <c r="E100" s="25"/>
      <c r="F100" s="25"/>
      <c r="G100" s="29">
        <f>SUM(F54:F99)</f>
        <v>0</v>
      </c>
    </row>
    <row r="101" spans="1:7" x14ac:dyDescent="0.25">
      <c r="A101" s="3" t="s">
        <v>5</v>
      </c>
      <c r="B101" s="4" t="s">
        <v>53</v>
      </c>
      <c r="C101" s="5"/>
      <c r="D101" s="5"/>
      <c r="E101" s="6"/>
      <c r="F101" s="4"/>
    </row>
    <row r="102" spans="1:7" x14ac:dyDescent="0.25">
      <c r="A102" s="7"/>
      <c r="B102" s="8"/>
      <c r="C102" s="9"/>
      <c r="D102" s="9"/>
      <c r="E102" s="10"/>
      <c r="F102" s="8"/>
    </row>
    <row r="103" spans="1:7" x14ac:dyDescent="0.25">
      <c r="A103" s="7" t="s">
        <v>72</v>
      </c>
      <c r="B103" s="8" t="s">
        <v>8</v>
      </c>
      <c r="C103" s="11">
        <f t="shared" ref="C103:C124" si="7">C54</f>
        <v>2776.25</v>
      </c>
      <c r="D103" s="9" t="s">
        <v>9</v>
      </c>
      <c r="E103" s="10"/>
      <c r="F103" s="10">
        <f>C103*E103</f>
        <v>0</v>
      </c>
    </row>
    <row r="104" spans="1:7" x14ac:dyDescent="0.25">
      <c r="A104" s="7" t="s">
        <v>73</v>
      </c>
      <c r="B104" s="8" t="s">
        <v>11</v>
      </c>
      <c r="C104" s="11">
        <f t="shared" si="7"/>
        <v>245</v>
      </c>
      <c r="D104" s="9" t="s">
        <v>9</v>
      </c>
      <c r="E104" s="10"/>
      <c r="F104" s="10">
        <f t="shared" ref="F104:F124" si="8">C104*E104</f>
        <v>0</v>
      </c>
    </row>
    <row r="105" spans="1:7" x14ac:dyDescent="0.25">
      <c r="A105" s="12" t="s">
        <v>74</v>
      </c>
      <c r="B105" s="13" t="s">
        <v>13</v>
      </c>
      <c r="C105" s="14">
        <f t="shared" si="7"/>
        <v>0</v>
      </c>
      <c r="D105" s="14"/>
      <c r="E105" s="15"/>
      <c r="F105" s="15">
        <f t="shared" si="8"/>
        <v>0</v>
      </c>
    </row>
    <row r="106" spans="1:7" x14ac:dyDescent="0.25">
      <c r="A106" s="16" t="s">
        <v>14</v>
      </c>
      <c r="B106" s="8" t="s">
        <v>15</v>
      </c>
      <c r="C106" s="9">
        <f t="shared" si="7"/>
        <v>20</v>
      </c>
      <c r="D106" s="9" t="s">
        <v>9</v>
      </c>
      <c r="E106" s="10"/>
      <c r="F106" s="10">
        <f t="shared" si="8"/>
        <v>0</v>
      </c>
    </row>
    <row r="107" spans="1:7" x14ac:dyDescent="0.25">
      <c r="A107" s="16" t="s">
        <v>16</v>
      </c>
      <c r="B107" s="8" t="s">
        <v>17</v>
      </c>
      <c r="C107" s="9">
        <f t="shared" si="7"/>
        <v>220</v>
      </c>
      <c r="D107" s="9" t="s">
        <v>9</v>
      </c>
      <c r="E107" s="10"/>
      <c r="F107" s="10">
        <f t="shared" si="8"/>
        <v>0</v>
      </c>
    </row>
    <row r="108" spans="1:7" x14ac:dyDescent="0.25">
      <c r="A108" s="16" t="s">
        <v>18</v>
      </c>
      <c r="B108" s="8" t="s">
        <v>19</v>
      </c>
      <c r="C108" s="9">
        <f t="shared" si="7"/>
        <v>25</v>
      </c>
      <c r="D108" s="9" t="s">
        <v>9</v>
      </c>
      <c r="E108" s="10"/>
      <c r="F108" s="10">
        <f t="shared" si="8"/>
        <v>0</v>
      </c>
    </row>
    <row r="109" spans="1:7" x14ac:dyDescent="0.25">
      <c r="A109" s="16" t="s">
        <v>20</v>
      </c>
      <c r="B109" s="8" t="s">
        <v>21</v>
      </c>
      <c r="C109" s="9">
        <f t="shared" si="7"/>
        <v>1158</v>
      </c>
      <c r="D109" s="9" t="s">
        <v>9</v>
      </c>
      <c r="E109" s="10"/>
      <c r="F109" s="10">
        <f t="shared" si="8"/>
        <v>0</v>
      </c>
    </row>
    <row r="110" spans="1:7" x14ac:dyDescent="0.25">
      <c r="A110" s="16" t="s">
        <v>22</v>
      </c>
      <c r="B110" s="8" t="s">
        <v>23</v>
      </c>
      <c r="C110" s="11">
        <f t="shared" si="7"/>
        <v>355.75</v>
      </c>
      <c r="D110" s="9" t="s">
        <v>9</v>
      </c>
      <c r="E110" s="10"/>
      <c r="F110" s="10">
        <f t="shared" si="8"/>
        <v>0</v>
      </c>
    </row>
    <row r="111" spans="1:7" x14ac:dyDescent="0.25">
      <c r="A111" s="12" t="s">
        <v>75</v>
      </c>
      <c r="B111" s="13" t="s">
        <v>25</v>
      </c>
      <c r="C111" s="14">
        <f t="shared" si="7"/>
        <v>0</v>
      </c>
      <c r="D111" s="14"/>
      <c r="E111" s="15"/>
      <c r="F111" s="15">
        <f t="shared" si="8"/>
        <v>0</v>
      </c>
    </row>
    <row r="112" spans="1:7" x14ac:dyDescent="0.25">
      <c r="A112" s="16" t="s">
        <v>14</v>
      </c>
      <c r="B112" s="8" t="s">
        <v>15</v>
      </c>
      <c r="C112" s="9">
        <f t="shared" si="7"/>
        <v>7</v>
      </c>
      <c r="D112" s="9" t="s">
        <v>9</v>
      </c>
      <c r="E112" s="10"/>
      <c r="F112" s="10">
        <f t="shared" si="8"/>
        <v>0</v>
      </c>
    </row>
    <row r="113" spans="1:6" x14ac:dyDescent="0.25">
      <c r="A113" s="16" t="s">
        <v>16</v>
      </c>
      <c r="B113" s="8" t="s">
        <v>17</v>
      </c>
      <c r="C113" s="9">
        <f t="shared" si="7"/>
        <v>20</v>
      </c>
      <c r="D113" s="9" t="s">
        <v>9</v>
      </c>
      <c r="E113" s="10"/>
      <c r="F113" s="10">
        <f t="shared" si="8"/>
        <v>0</v>
      </c>
    </row>
    <row r="114" spans="1:6" x14ac:dyDescent="0.25">
      <c r="A114" s="16" t="s">
        <v>18</v>
      </c>
      <c r="B114" s="8" t="s">
        <v>19</v>
      </c>
      <c r="C114" s="9">
        <f t="shared" si="7"/>
        <v>6</v>
      </c>
      <c r="D114" s="9" t="s">
        <v>9</v>
      </c>
      <c r="E114" s="10"/>
      <c r="F114" s="10">
        <f t="shared" si="8"/>
        <v>0</v>
      </c>
    </row>
    <row r="115" spans="1:6" x14ac:dyDescent="0.25">
      <c r="A115" s="16" t="s">
        <v>20</v>
      </c>
      <c r="B115" s="8" t="s">
        <v>21</v>
      </c>
      <c r="C115" s="9">
        <f t="shared" si="7"/>
        <v>0</v>
      </c>
      <c r="D115" s="9" t="s">
        <v>9</v>
      </c>
      <c r="E115" s="10"/>
      <c r="F115" s="10">
        <f t="shared" si="8"/>
        <v>0</v>
      </c>
    </row>
    <row r="116" spans="1:6" x14ac:dyDescent="0.25">
      <c r="A116" s="16" t="s">
        <v>22</v>
      </c>
      <c r="B116" s="8" t="s">
        <v>23</v>
      </c>
      <c r="C116" s="11">
        <f t="shared" si="7"/>
        <v>8.25</v>
      </c>
      <c r="D116" s="9" t="s">
        <v>9</v>
      </c>
      <c r="E116" s="10"/>
      <c r="F116" s="10">
        <f t="shared" si="8"/>
        <v>0</v>
      </c>
    </row>
    <row r="117" spans="1:6" x14ac:dyDescent="0.25">
      <c r="A117" s="7" t="s">
        <v>76</v>
      </c>
      <c r="B117" s="8" t="s">
        <v>27</v>
      </c>
      <c r="C117" s="11">
        <f t="shared" si="7"/>
        <v>18865</v>
      </c>
      <c r="D117" s="17" t="s">
        <v>28</v>
      </c>
      <c r="E117" s="10"/>
      <c r="F117" s="10">
        <f t="shared" si="8"/>
        <v>0</v>
      </c>
    </row>
    <row r="118" spans="1:6" x14ac:dyDescent="0.25">
      <c r="A118" s="7" t="s">
        <v>77</v>
      </c>
      <c r="B118" s="8" t="s">
        <v>30</v>
      </c>
      <c r="C118" s="11">
        <f t="shared" si="7"/>
        <v>26161.25</v>
      </c>
      <c r="D118" s="17" t="s">
        <v>28</v>
      </c>
      <c r="E118" s="10"/>
      <c r="F118" s="10">
        <f t="shared" si="8"/>
        <v>0</v>
      </c>
    </row>
    <row r="119" spans="1:6" x14ac:dyDescent="0.25">
      <c r="A119" s="7" t="s">
        <v>78</v>
      </c>
      <c r="B119" s="8" t="s">
        <v>32</v>
      </c>
      <c r="C119" s="11">
        <f t="shared" si="7"/>
        <v>43317.5</v>
      </c>
      <c r="D119" s="17" t="s">
        <v>28</v>
      </c>
      <c r="E119" s="10"/>
      <c r="F119" s="10">
        <f t="shared" si="8"/>
        <v>0</v>
      </c>
    </row>
    <row r="120" spans="1:6" x14ac:dyDescent="0.25">
      <c r="A120" s="7" t="s">
        <v>79</v>
      </c>
      <c r="B120" s="8" t="s">
        <v>34</v>
      </c>
      <c r="C120" s="11">
        <f t="shared" si="7"/>
        <v>61286.25</v>
      </c>
      <c r="D120" s="17" t="s">
        <v>28</v>
      </c>
      <c r="E120" s="10"/>
      <c r="F120" s="10">
        <f t="shared" si="8"/>
        <v>0</v>
      </c>
    </row>
    <row r="121" spans="1:6" x14ac:dyDescent="0.25">
      <c r="A121" s="7" t="s">
        <v>80</v>
      </c>
      <c r="B121" s="8" t="s">
        <v>36</v>
      </c>
      <c r="C121" s="11">
        <f t="shared" si="7"/>
        <v>38396.25</v>
      </c>
      <c r="D121" s="17" t="s">
        <v>28</v>
      </c>
      <c r="E121" s="10"/>
      <c r="F121" s="10">
        <f t="shared" si="8"/>
        <v>0</v>
      </c>
    </row>
    <row r="122" spans="1:6" x14ac:dyDescent="0.25">
      <c r="A122" s="7" t="s">
        <v>81</v>
      </c>
      <c r="B122" s="8" t="s">
        <v>38</v>
      </c>
      <c r="C122" s="11">
        <f t="shared" si="7"/>
        <v>17141.25</v>
      </c>
      <c r="D122" s="17" t="s">
        <v>28</v>
      </c>
      <c r="E122" s="10"/>
      <c r="F122" s="10">
        <f t="shared" si="8"/>
        <v>0</v>
      </c>
    </row>
    <row r="123" spans="1:6" x14ac:dyDescent="0.25">
      <c r="A123" s="7" t="s">
        <v>82</v>
      </c>
      <c r="B123" s="8" t="s">
        <v>40</v>
      </c>
      <c r="C123" s="11">
        <f t="shared" si="7"/>
        <v>0</v>
      </c>
      <c r="D123" s="17" t="s">
        <v>28</v>
      </c>
      <c r="E123" s="10"/>
      <c r="F123" s="10">
        <f t="shared" si="8"/>
        <v>0</v>
      </c>
    </row>
    <row r="124" spans="1:6" x14ac:dyDescent="0.25">
      <c r="A124" s="7" t="s">
        <v>83</v>
      </c>
      <c r="B124" s="8" t="s">
        <v>42</v>
      </c>
      <c r="C124" s="11">
        <f t="shared" si="7"/>
        <v>80</v>
      </c>
      <c r="D124" s="9" t="s">
        <v>43</v>
      </c>
      <c r="E124" s="10"/>
      <c r="F124" s="10">
        <f t="shared" si="8"/>
        <v>0</v>
      </c>
    </row>
    <row r="125" spans="1:6" ht="30" x14ac:dyDescent="0.25">
      <c r="A125" s="7" t="s">
        <v>84</v>
      </c>
      <c r="B125" s="18" t="s">
        <v>45</v>
      </c>
      <c r="C125" s="11"/>
      <c r="D125" s="9"/>
      <c r="E125" s="10"/>
      <c r="F125" s="10"/>
    </row>
    <row r="126" spans="1:6" x14ac:dyDescent="0.25">
      <c r="A126" s="7" t="s">
        <v>14</v>
      </c>
      <c r="B126" s="18" t="s">
        <v>15</v>
      </c>
      <c r="C126" s="11">
        <v>1</v>
      </c>
      <c r="D126" s="9" t="s">
        <v>43</v>
      </c>
      <c r="E126" s="10"/>
      <c r="F126" s="10">
        <f t="shared" ref="F126:F130" si="9">C126*E126</f>
        <v>0</v>
      </c>
    </row>
    <row r="127" spans="1:6" x14ac:dyDescent="0.25">
      <c r="A127" s="7" t="s">
        <v>16</v>
      </c>
      <c r="B127" s="18" t="s">
        <v>17</v>
      </c>
      <c r="C127" s="11">
        <v>2</v>
      </c>
      <c r="D127" s="9" t="s">
        <v>43</v>
      </c>
      <c r="E127" s="10"/>
      <c r="F127" s="10">
        <f t="shared" si="9"/>
        <v>0</v>
      </c>
    </row>
    <row r="128" spans="1:6" x14ac:dyDescent="0.25">
      <c r="A128" s="7" t="s">
        <v>18</v>
      </c>
      <c r="B128" s="18" t="s">
        <v>19</v>
      </c>
      <c r="C128" s="11">
        <v>1</v>
      </c>
      <c r="D128" s="9" t="s">
        <v>43</v>
      </c>
      <c r="E128" s="10"/>
      <c r="F128" s="10">
        <f t="shared" si="9"/>
        <v>0</v>
      </c>
    </row>
    <row r="129" spans="1:6" x14ac:dyDescent="0.25">
      <c r="A129" s="7" t="s">
        <v>20</v>
      </c>
      <c r="B129" s="18" t="s">
        <v>21</v>
      </c>
      <c r="C129" s="11">
        <v>1</v>
      </c>
      <c r="D129" s="9" t="s">
        <v>43</v>
      </c>
      <c r="E129" s="10"/>
      <c r="F129" s="10">
        <f t="shared" si="9"/>
        <v>0</v>
      </c>
    </row>
    <row r="130" spans="1:6" x14ac:dyDescent="0.25">
      <c r="A130" s="7" t="s">
        <v>22</v>
      </c>
      <c r="B130" s="18" t="s">
        <v>23</v>
      </c>
      <c r="C130" s="11">
        <v>1</v>
      </c>
      <c r="D130" s="9" t="s">
        <v>43</v>
      </c>
      <c r="E130" s="10"/>
      <c r="F130" s="10">
        <f t="shared" si="9"/>
        <v>0</v>
      </c>
    </row>
    <row r="131" spans="1:6" ht="30" x14ac:dyDescent="0.25">
      <c r="A131" s="7" t="s">
        <v>85</v>
      </c>
      <c r="B131" s="18" t="s">
        <v>47</v>
      </c>
      <c r="C131" s="11"/>
      <c r="D131" s="9"/>
      <c r="E131" s="10"/>
      <c r="F131" s="10"/>
    </row>
    <row r="132" spans="1:6" x14ac:dyDescent="0.25">
      <c r="A132" s="7" t="s">
        <v>14</v>
      </c>
      <c r="B132" s="18" t="s">
        <v>15</v>
      </c>
      <c r="C132" s="11">
        <v>1</v>
      </c>
      <c r="D132" s="9" t="s">
        <v>43</v>
      </c>
      <c r="E132" s="10"/>
      <c r="F132" s="10">
        <f t="shared" ref="F132:F136" si="10">C132*E132</f>
        <v>0</v>
      </c>
    </row>
    <row r="133" spans="1:6" x14ac:dyDescent="0.25">
      <c r="A133" s="7" t="s">
        <v>16</v>
      </c>
      <c r="B133" s="18" t="s">
        <v>17</v>
      </c>
      <c r="C133" s="11">
        <v>1</v>
      </c>
      <c r="D133" s="9" t="s">
        <v>43</v>
      </c>
      <c r="E133" s="10"/>
      <c r="F133" s="10">
        <f t="shared" si="10"/>
        <v>0</v>
      </c>
    </row>
    <row r="134" spans="1:6" x14ac:dyDescent="0.25">
      <c r="A134" s="7" t="s">
        <v>18</v>
      </c>
      <c r="B134" s="18" t="s">
        <v>19</v>
      </c>
      <c r="C134" s="11">
        <v>1</v>
      </c>
      <c r="D134" s="9" t="s">
        <v>43</v>
      </c>
      <c r="E134" s="10"/>
      <c r="F134" s="10">
        <f t="shared" si="10"/>
        <v>0</v>
      </c>
    </row>
    <row r="135" spans="1:6" x14ac:dyDescent="0.25">
      <c r="A135" s="7" t="s">
        <v>20</v>
      </c>
      <c r="B135" s="18" t="s">
        <v>21</v>
      </c>
      <c r="C135" s="11">
        <v>1</v>
      </c>
      <c r="D135" s="9" t="s">
        <v>43</v>
      </c>
      <c r="E135" s="10"/>
      <c r="F135" s="10">
        <f t="shared" si="10"/>
        <v>0</v>
      </c>
    </row>
    <row r="136" spans="1:6" x14ac:dyDescent="0.25">
      <c r="A136" s="7" t="s">
        <v>22</v>
      </c>
      <c r="B136" s="18" t="s">
        <v>23</v>
      </c>
      <c r="C136" s="11">
        <v>1</v>
      </c>
      <c r="D136" s="9" t="s">
        <v>43</v>
      </c>
      <c r="E136" s="10"/>
      <c r="F136" s="10">
        <f t="shared" si="10"/>
        <v>0</v>
      </c>
    </row>
    <row r="137" spans="1:6" ht="30" x14ac:dyDescent="0.25">
      <c r="A137" s="7" t="s">
        <v>86</v>
      </c>
      <c r="B137" s="18" t="s">
        <v>49</v>
      </c>
      <c r="C137" s="11"/>
      <c r="D137" s="9"/>
      <c r="E137" s="10"/>
      <c r="F137" s="10"/>
    </row>
    <row r="138" spans="1:6" x14ac:dyDescent="0.25">
      <c r="A138" s="7" t="s">
        <v>14</v>
      </c>
      <c r="B138" s="18" t="s">
        <v>15</v>
      </c>
      <c r="C138" s="11">
        <v>2</v>
      </c>
      <c r="D138" s="9" t="s">
        <v>43</v>
      </c>
      <c r="E138" s="10"/>
      <c r="F138" s="10">
        <f t="shared" ref="F138:F142" si="11">C138*E138</f>
        <v>0</v>
      </c>
    </row>
    <row r="139" spans="1:6" x14ac:dyDescent="0.25">
      <c r="A139" s="7" t="s">
        <v>16</v>
      </c>
      <c r="B139" s="18" t="s">
        <v>17</v>
      </c>
      <c r="C139" s="11">
        <v>3</v>
      </c>
      <c r="D139" s="9" t="s">
        <v>43</v>
      </c>
      <c r="E139" s="10"/>
      <c r="F139" s="10">
        <f t="shared" si="11"/>
        <v>0</v>
      </c>
    </row>
    <row r="140" spans="1:6" x14ac:dyDescent="0.25">
      <c r="A140" s="7" t="s">
        <v>18</v>
      </c>
      <c r="B140" s="18" t="s">
        <v>19</v>
      </c>
      <c r="C140" s="11">
        <v>2</v>
      </c>
      <c r="D140" s="9" t="s">
        <v>43</v>
      </c>
      <c r="E140" s="10"/>
      <c r="F140" s="10">
        <f t="shared" si="11"/>
        <v>0</v>
      </c>
    </row>
    <row r="141" spans="1:6" x14ac:dyDescent="0.25">
      <c r="A141" s="7" t="s">
        <v>20</v>
      </c>
      <c r="B141" s="18" t="s">
        <v>21</v>
      </c>
      <c r="C141" s="11">
        <v>2</v>
      </c>
      <c r="D141" s="9" t="s">
        <v>43</v>
      </c>
      <c r="E141" s="10"/>
      <c r="F141" s="10">
        <f t="shared" si="11"/>
        <v>0</v>
      </c>
    </row>
    <row r="142" spans="1:6" x14ac:dyDescent="0.25">
      <c r="A142" s="7" t="s">
        <v>22</v>
      </c>
      <c r="B142" s="18" t="s">
        <v>23</v>
      </c>
      <c r="C142" s="11">
        <v>2</v>
      </c>
      <c r="D142" s="9" t="s">
        <v>43</v>
      </c>
      <c r="E142" s="10"/>
      <c r="F142" s="10">
        <f t="shared" si="11"/>
        <v>0</v>
      </c>
    </row>
    <row r="143" spans="1:6" ht="30" x14ac:dyDescent="0.25">
      <c r="A143" s="7" t="s">
        <v>87</v>
      </c>
      <c r="B143" s="18" t="s">
        <v>51</v>
      </c>
      <c r="C143" s="11"/>
      <c r="D143" s="9"/>
      <c r="E143" s="10"/>
      <c r="F143" s="10"/>
    </row>
    <row r="144" spans="1:6" x14ac:dyDescent="0.25">
      <c r="A144" s="7" t="s">
        <v>14</v>
      </c>
      <c r="B144" s="18" t="s">
        <v>15</v>
      </c>
      <c r="C144" s="11">
        <v>4</v>
      </c>
      <c r="D144" s="9" t="s">
        <v>43</v>
      </c>
      <c r="E144" s="10"/>
      <c r="F144" s="10">
        <f t="shared" ref="F144:F148" si="12">C144*E144</f>
        <v>0</v>
      </c>
    </row>
    <row r="145" spans="1:7" x14ac:dyDescent="0.25">
      <c r="A145" s="7" t="s">
        <v>16</v>
      </c>
      <c r="B145" s="18" t="s">
        <v>17</v>
      </c>
      <c r="C145" s="11">
        <v>4</v>
      </c>
      <c r="D145" s="9" t="s">
        <v>43</v>
      </c>
      <c r="E145" s="10"/>
      <c r="F145" s="10">
        <f t="shared" si="12"/>
        <v>0</v>
      </c>
    </row>
    <row r="146" spans="1:7" x14ac:dyDescent="0.25">
      <c r="A146" s="7" t="s">
        <v>18</v>
      </c>
      <c r="B146" s="18" t="s">
        <v>19</v>
      </c>
      <c r="C146" s="11">
        <v>3</v>
      </c>
      <c r="D146" s="9" t="s">
        <v>43</v>
      </c>
      <c r="E146" s="10"/>
      <c r="F146" s="10">
        <f t="shared" si="12"/>
        <v>0</v>
      </c>
    </row>
    <row r="147" spans="1:7" x14ac:dyDescent="0.25">
      <c r="A147" s="7" t="s">
        <v>20</v>
      </c>
      <c r="B147" s="18" t="s">
        <v>21</v>
      </c>
      <c r="C147" s="11">
        <v>4</v>
      </c>
      <c r="D147" s="9" t="s">
        <v>43</v>
      </c>
      <c r="E147" s="10"/>
      <c r="F147" s="10">
        <f t="shared" si="12"/>
        <v>0</v>
      </c>
    </row>
    <row r="148" spans="1:7" x14ac:dyDescent="0.25">
      <c r="A148" s="7" t="s">
        <v>22</v>
      </c>
      <c r="B148" s="8" t="s">
        <v>23</v>
      </c>
      <c r="C148" s="21">
        <v>3</v>
      </c>
      <c r="D148" s="9" t="s">
        <v>43</v>
      </c>
      <c r="E148" s="10"/>
      <c r="F148" s="10">
        <f t="shared" si="12"/>
        <v>0</v>
      </c>
    </row>
    <row r="149" spans="1:7" x14ac:dyDescent="0.25">
      <c r="A149" s="30"/>
      <c r="B149" s="26"/>
      <c r="C149" s="27"/>
      <c r="D149" s="28"/>
      <c r="E149" s="25"/>
      <c r="F149" s="25"/>
      <c r="G149" s="31">
        <f>SUM(F103:F148)</f>
        <v>0</v>
      </c>
    </row>
    <row r="150" spans="1:7" x14ac:dyDescent="0.25">
      <c r="A150" s="3" t="s">
        <v>5</v>
      </c>
      <c r="B150" s="4" t="s">
        <v>54</v>
      </c>
      <c r="C150" s="5"/>
      <c r="D150" s="5"/>
      <c r="E150" s="6"/>
      <c r="F150" s="4"/>
    </row>
    <row r="151" spans="1:7" x14ac:dyDescent="0.25">
      <c r="A151" s="7"/>
      <c r="B151" s="8"/>
      <c r="C151" s="9"/>
      <c r="D151" s="9"/>
      <c r="E151" s="10"/>
      <c r="F151" s="8"/>
    </row>
    <row r="152" spans="1:7" x14ac:dyDescent="0.25">
      <c r="A152" s="7" t="s">
        <v>88</v>
      </c>
      <c r="B152" s="8" t="s">
        <v>8</v>
      </c>
      <c r="C152" s="11">
        <f t="shared" ref="C152:C173" si="13">C103</f>
        <v>2776.25</v>
      </c>
      <c r="D152" s="9" t="s">
        <v>9</v>
      </c>
      <c r="E152" s="10"/>
      <c r="F152" s="10">
        <f>C152*E152</f>
        <v>0</v>
      </c>
    </row>
    <row r="153" spans="1:7" x14ac:dyDescent="0.25">
      <c r="A153" s="7" t="s">
        <v>89</v>
      </c>
      <c r="B153" s="8" t="s">
        <v>11</v>
      </c>
      <c r="C153" s="9">
        <f t="shared" si="13"/>
        <v>245</v>
      </c>
      <c r="D153" s="9" t="s">
        <v>9</v>
      </c>
      <c r="E153" s="10"/>
      <c r="F153" s="10">
        <f t="shared" ref="F153:F173" si="14">C153*E153</f>
        <v>0</v>
      </c>
    </row>
    <row r="154" spans="1:7" x14ac:dyDescent="0.25">
      <c r="A154" s="12" t="s">
        <v>90</v>
      </c>
      <c r="B154" s="13" t="s">
        <v>13</v>
      </c>
      <c r="C154" s="14">
        <f t="shared" si="13"/>
        <v>0</v>
      </c>
      <c r="D154" s="14"/>
      <c r="E154" s="15"/>
      <c r="F154" s="15">
        <f t="shared" si="14"/>
        <v>0</v>
      </c>
    </row>
    <row r="155" spans="1:7" x14ac:dyDescent="0.25">
      <c r="A155" s="16" t="s">
        <v>14</v>
      </c>
      <c r="B155" s="8" t="s">
        <v>15</v>
      </c>
      <c r="C155" s="9">
        <f t="shared" si="13"/>
        <v>20</v>
      </c>
      <c r="D155" s="9" t="s">
        <v>9</v>
      </c>
      <c r="E155" s="10"/>
      <c r="F155" s="10">
        <f t="shared" si="14"/>
        <v>0</v>
      </c>
    </row>
    <row r="156" spans="1:7" x14ac:dyDescent="0.25">
      <c r="A156" s="16" t="s">
        <v>16</v>
      </c>
      <c r="B156" s="8" t="s">
        <v>17</v>
      </c>
      <c r="C156" s="9">
        <f t="shared" si="13"/>
        <v>220</v>
      </c>
      <c r="D156" s="9" t="s">
        <v>9</v>
      </c>
      <c r="E156" s="10"/>
      <c r="F156" s="10">
        <f t="shared" si="14"/>
        <v>0</v>
      </c>
    </row>
    <row r="157" spans="1:7" x14ac:dyDescent="0.25">
      <c r="A157" s="16" t="s">
        <v>18</v>
      </c>
      <c r="B157" s="8" t="s">
        <v>19</v>
      </c>
      <c r="C157" s="9">
        <f t="shared" si="13"/>
        <v>25</v>
      </c>
      <c r="D157" s="9" t="s">
        <v>9</v>
      </c>
      <c r="E157" s="10"/>
      <c r="F157" s="10">
        <f t="shared" si="14"/>
        <v>0</v>
      </c>
    </row>
    <row r="158" spans="1:7" x14ac:dyDescent="0.25">
      <c r="A158" s="16" t="s">
        <v>20</v>
      </c>
      <c r="B158" s="8" t="s">
        <v>21</v>
      </c>
      <c r="C158" s="9">
        <f t="shared" si="13"/>
        <v>1158</v>
      </c>
      <c r="D158" s="9" t="s">
        <v>9</v>
      </c>
      <c r="E158" s="10"/>
      <c r="F158" s="10">
        <f t="shared" si="14"/>
        <v>0</v>
      </c>
    </row>
    <row r="159" spans="1:7" x14ac:dyDescent="0.25">
      <c r="A159" s="16" t="s">
        <v>22</v>
      </c>
      <c r="B159" s="8" t="s">
        <v>23</v>
      </c>
      <c r="C159" s="11">
        <f t="shared" si="13"/>
        <v>355.75</v>
      </c>
      <c r="D159" s="9" t="s">
        <v>9</v>
      </c>
      <c r="E159" s="10"/>
      <c r="F159" s="10">
        <f t="shared" si="14"/>
        <v>0</v>
      </c>
    </row>
    <row r="160" spans="1:7" x14ac:dyDescent="0.25">
      <c r="A160" s="12" t="s">
        <v>91</v>
      </c>
      <c r="B160" s="13" t="s">
        <v>25</v>
      </c>
      <c r="C160" s="14">
        <f t="shared" si="13"/>
        <v>0</v>
      </c>
      <c r="D160" s="14"/>
      <c r="E160" s="15"/>
      <c r="F160" s="15">
        <f t="shared" si="14"/>
        <v>0</v>
      </c>
    </row>
    <row r="161" spans="1:7" x14ac:dyDescent="0.25">
      <c r="A161" s="16" t="s">
        <v>14</v>
      </c>
      <c r="B161" s="8" t="s">
        <v>15</v>
      </c>
      <c r="C161" s="9">
        <f t="shared" si="13"/>
        <v>7</v>
      </c>
      <c r="D161" s="9" t="s">
        <v>9</v>
      </c>
      <c r="E161" s="10"/>
      <c r="F161" s="10">
        <f t="shared" si="14"/>
        <v>0</v>
      </c>
    </row>
    <row r="162" spans="1:7" x14ac:dyDescent="0.25">
      <c r="A162" s="16" t="s">
        <v>16</v>
      </c>
      <c r="B162" s="8" t="s">
        <v>17</v>
      </c>
      <c r="C162" s="9">
        <f t="shared" si="13"/>
        <v>20</v>
      </c>
      <c r="D162" s="9" t="s">
        <v>9</v>
      </c>
      <c r="E162" s="10"/>
      <c r="F162" s="10">
        <f t="shared" si="14"/>
        <v>0</v>
      </c>
    </row>
    <row r="163" spans="1:7" x14ac:dyDescent="0.25">
      <c r="A163" s="16" t="s">
        <v>18</v>
      </c>
      <c r="B163" s="8" t="s">
        <v>19</v>
      </c>
      <c r="C163" s="9">
        <f t="shared" si="13"/>
        <v>6</v>
      </c>
      <c r="D163" s="9" t="s">
        <v>9</v>
      </c>
      <c r="E163" s="10"/>
      <c r="F163" s="10">
        <f t="shared" si="14"/>
        <v>0</v>
      </c>
    </row>
    <row r="164" spans="1:7" x14ac:dyDescent="0.25">
      <c r="A164" s="16" t="s">
        <v>20</v>
      </c>
      <c r="B164" s="8" t="s">
        <v>21</v>
      </c>
      <c r="C164" s="9">
        <f t="shared" si="13"/>
        <v>0</v>
      </c>
      <c r="D164" s="9" t="s">
        <v>9</v>
      </c>
      <c r="E164" s="10"/>
      <c r="F164" s="10">
        <f t="shared" si="14"/>
        <v>0</v>
      </c>
    </row>
    <row r="165" spans="1:7" x14ac:dyDescent="0.25">
      <c r="A165" s="16" t="s">
        <v>22</v>
      </c>
      <c r="B165" s="8" t="s">
        <v>23</v>
      </c>
      <c r="C165" s="11">
        <f t="shared" si="13"/>
        <v>8.25</v>
      </c>
      <c r="D165" s="9" t="s">
        <v>9</v>
      </c>
      <c r="E165" s="10"/>
      <c r="F165" s="10">
        <f t="shared" si="14"/>
        <v>0</v>
      </c>
    </row>
    <row r="166" spans="1:7" x14ac:dyDescent="0.25">
      <c r="A166" s="7" t="s">
        <v>92</v>
      </c>
      <c r="B166" s="8" t="s">
        <v>27</v>
      </c>
      <c r="C166" s="11">
        <f t="shared" si="13"/>
        <v>18865</v>
      </c>
      <c r="D166" s="17" t="s">
        <v>28</v>
      </c>
      <c r="E166" s="10"/>
      <c r="F166" s="10">
        <f t="shared" si="14"/>
        <v>0</v>
      </c>
    </row>
    <row r="167" spans="1:7" x14ac:dyDescent="0.25">
      <c r="A167" s="7" t="s">
        <v>93</v>
      </c>
      <c r="B167" s="8" t="s">
        <v>30</v>
      </c>
      <c r="C167" s="11">
        <f t="shared" si="13"/>
        <v>26161.25</v>
      </c>
      <c r="D167" s="17" t="s">
        <v>28</v>
      </c>
      <c r="E167" s="10"/>
      <c r="F167" s="10">
        <f t="shared" si="14"/>
        <v>0</v>
      </c>
    </row>
    <row r="168" spans="1:7" x14ac:dyDescent="0.25">
      <c r="A168" s="7" t="s">
        <v>94</v>
      </c>
      <c r="B168" s="8" t="s">
        <v>32</v>
      </c>
      <c r="C168" s="11">
        <f t="shared" si="13"/>
        <v>43317.5</v>
      </c>
      <c r="D168" s="17" t="s">
        <v>28</v>
      </c>
      <c r="E168" s="10"/>
      <c r="F168" s="10">
        <f t="shared" si="14"/>
        <v>0</v>
      </c>
    </row>
    <row r="169" spans="1:7" x14ac:dyDescent="0.25">
      <c r="A169" s="7" t="s">
        <v>95</v>
      </c>
      <c r="B169" s="8" t="s">
        <v>34</v>
      </c>
      <c r="C169" s="11">
        <f t="shared" si="13"/>
        <v>61286.25</v>
      </c>
      <c r="D169" s="17" t="s">
        <v>28</v>
      </c>
      <c r="E169" s="10"/>
      <c r="F169" s="10">
        <f t="shared" si="14"/>
        <v>0</v>
      </c>
    </row>
    <row r="170" spans="1:7" x14ac:dyDescent="0.25">
      <c r="A170" s="7" t="s">
        <v>96</v>
      </c>
      <c r="B170" s="8" t="s">
        <v>36</v>
      </c>
      <c r="C170" s="11">
        <f t="shared" si="13"/>
        <v>38396.25</v>
      </c>
      <c r="D170" s="17" t="s">
        <v>28</v>
      </c>
      <c r="E170" s="10"/>
      <c r="F170" s="10">
        <f t="shared" si="14"/>
        <v>0</v>
      </c>
    </row>
    <row r="171" spans="1:7" x14ac:dyDescent="0.25">
      <c r="A171" s="7" t="s">
        <v>97</v>
      </c>
      <c r="B171" s="8" t="s">
        <v>38</v>
      </c>
      <c r="C171" s="11">
        <f t="shared" si="13"/>
        <v>17141.25</v>
      </c>
      <c r="D171" s="17" t="s">
        <v>28</v>
      </c>
      <c r="E171" s="10"/>
      <c r="F171" s="10">
        <f t="shared" si="14"/>
        <v>0</v>
      </c>
    </row>
    <row r="172" spans="1:7" x14ac:dyDescent="0.25">
      <c r="A172" s="7" t="s">
        <v>98</v>
      </c>
      <c r="B172" s="8" t="s">
        <v>40</v>
      </c>
      <c r="C172" s="11">
        <f t="shared" si="13"/>
        <v>0</v>
      </c>
      <c r="D172" s="17" t="s">
        <v>28</v>
      </c>
      <c r="E172" s="10"/>
      <c r="F172" s="10">
        <f t="shared" si="14"/>
        <v>0</v>
      </c>
    </row>
    <row r="173" spans="1:7" x14ac:dyDescent="0.25">
      <c r="A173" s="7" t="s">
        <v>99</v>
      </c>
      <c r="B173" s="8" t="s">
        <v>42</v>
      </c>
      <c r="C173" s="11">
        <f t="shared" si="13"/>
        <v>80</v>
      </c>
      <c r="D173" s="9" t="s">
        <v>43</v>
      </c>
      <c r="E173" s="10"/>
      <c r="F173" s="10">
        <f t="shared" si="14"/>
        <v>0</v>
      </c>
      <c r="G173" s="32"/>
    </row>
    <row r="174" spans="1:7" ht="30" x14ac:dyDescent="0.25">
      <c r="A174" s="7" t="s">
        <v>100</v>
      </c>
      <c r="B174" s="18" t="s">
        <v>45</v>
      </c>
      <c r="C174" s="11"/>
      <c r="D174" s="9"/>
      <c r="E174" s="10"/>
      <c r="F174" s="10"/>
      <c r="G174" s="32"/>
    </row>
    <row r="175" spans="1:7" x14ac:dyDescent="0.25">
      <c r="A175" s="7" t="s">
        <v>14</v>
      </c>
      <c r="B175" s="18" t="s">
        <v>15</v>
      </c>
      <c r="C175" s="11">
        <v>1</v>
      </c>
      <c r="D175" s="9" t="s">
        <v>43</v>
      </c>
      <c r="E175" s="10"/>
      <c r="F175" s="10">
        <f t="shared" ref="F175:F179" si="15">C175*E175</f>
        <v>0</v>
      </c>
      <c r="G175" s="32"/>
    </row>
    <row r="176" spans="1:7" x14ac:dyDescent="0.25">
      <c r="A176" s="7" t="s">
        <v>16</v>
      </c>
      <c r="B176" s="18" t="s">
        <v>17</v>
      </c>
      <c r="C176" s="11">
        <v>2</v>
      </c>
      <c r="D176" s="9" t="s">
        <v>43</v>
      </c>
      <c r="E176" s="10"/>
      <c r="F176" s="10">
        <f t="shared" si="15"/>
        <v>0</v>
      </c>
      <c r="G176" s="32"/>
    </row>
    <row r="177" spans="1:7" x14ac:dyDescent="0.25">
      <c r="A177" s="7" t="s">
        <v>18</v>
      </c>
      <c r="B177" s="18" t="s">
        <v>19</v>
      </c>
      <c r="C177" s="11">
        <v>1</v>
      </c>
      <c r="D177" s="9" t="s">
        <v>43</v>
      </c>
      <c r="E177" s="10"/>
      <c r="F177" s="10">
        <f t="shared" si="15"/>
        <v>0</v>
      </c>
      <c r="G177" s="32"/>
    </row>
    <row r="178" spans="1:7" x14ac:dyDescent="0.25">
      <c r="A178" s="7" t="s">
        <v>20</v>
      </c>
      <c r="B178" s="18" t="s">
        <v>21</v>
      </c>
      <c r="C178" s="11">
        <v>1</v>
      </c>
      <c r="D178" s="9" t="s">
        <v>43</v>
      </c>
      <c r="E178" s="10"/>
      <c r="F178" s="10">
        <f t="shared" si="15"/>
        <v>0</v>
      </c>
      <c r="G178" s="32"/>
    </row>
    <row r="179" spans="1:7" x14ac:dyDescent="0.25">
      <c r="A179" s="7" t="s">
        <v>22</v>
      </c>
      <c r="B179" s="18" t="s">
        <v>23</v>
      </c>
      <c r="C179" s="11">
        <v>1</v>
      </c>
      <c r="D179" s="9" t="s">
        <v>43</v>
      </c>
      <c r="E179" s="10"/>
      <c r="F179" s="10">
        <f t="shared" si="15"/>
        <v>0</v>
      </c>
      <c r="G179" s="32"/>
    </row>
    <row r="180" spans="1:7" ht="30" x14ac:dyDescent="0.25">
      <c r="A180" s="7" t="s">
        <v>101</v>
      </c>
      <c r="B180" s="18" t="s">
        <v>47</v>
      </c>
      <c r="C180" s="11"/>
      <c r="D180" s="9"/>
      <c r="E180" s="10"/>
      <c r="F180" s="10"/>
      <c r="G180" s="32"/>
    </row>
    <row r="181" spans="1:7" x14ac:dyDescent="0.25">
      <c r="A181" s="7" t="s">
        <v>14</v>
      </c>
      <c r="B181" s="18" t="s">
        <v>15</v>
      </c>
      <c r="C181" s="11">
        <v>1</v>
      </c>
      <c r="D181" s="9" t="s">
        <v>43</v>
      </c>
      <c r="E181" s="10"/>
      <c r="F181" s="10">
        <f t="shared" ref="F181:F185" si="16">C181*E181</f>
        <v>0</v>
      </c>
      <c r="G181" s="32"/>
    </row>
    <row r="182" spans="1:7" x14ac:dyDescent="0.25">
      <c r="A182" s="7" t="s">
        <v>16</v>
      </c>
      <c r="B182" s="18" t="s">
        <v>17</v>
      </c>
      <c r="C182" s="11">
        <v>1</v>
      </c>
      <c r="D182" s="9" t="s">
        <v>43</v>
      </c>
      <c r="E182" s="10"/>
      <c r="F182" s="10">
        <f t="shared" si="16"/>
        <v>0</v>
      </c>
      <c r="G182" s="32"/>
    </row>
    <row r="183" spans="1:7" x14ac:dyDescent="0.25">
      <c r="A183" s="7" t="s">
        <v>18</v>
      </c>
      <c r="B183" s="18" t="s">
        <v>19</v>
      </c>
      <c r="C183" s="11">
        <v>1</v>
      </c>
      <c r="D183" s="9" t="s">
        <v>43</v>
      </c>
      <c r="E183" s="10"/>
      <c r="F183" s="10">
        <f t="shared" si="16"/>
        <v>0</v>
      </c>
      <c r="G183" s="32"/>
    </row>
    <row r="184" spans="1:7" x14ac:dyDescent="0.25">
      <c r="A184" s="7" t="s">
        <v>20</v>
      </c>
      <c r="B184" s="18" t="s">
        <v>21</v>
      </c>
      <c r="C184" s="11">
        <v>1</v>
      </c>
      <c r="D184" s="9" t="s">
        <v>43</v>
      </c>
      <c r="E184" s="10"/>
      <c r="F184" s="10">
        <f t="shared" si="16"/>
        <v>0</v>
      </c>
      <c r="G184" s="32"/>
    </row>
    <row r="185" spans="1:7" x14ac:dyDescent="0.25">
      <c r="A185" s="7" t="s">
        <v>22</v>
      </c>
      <c r="B185" s="18" t="s">
        <v>23</v>
      </c>
      <c r="C185" s="11">
        <v>1</v>
      </c>
      <c r="D185" s="9" t="s">
        <v>43</v>
      </c>
      <c r="E185" s="10"/>
      <c r="F185" s="10">
        <f t="shared" si="16"/>
        <v>0</v>
      </c>
      <c r="G185" s="32"/>
    </row>
    <row r="186" spans="1:7" ht="30" x14ac:dyDescent="0.25">
      <c r="A186" s="7" t="s">
        <v>102</v>
      </c>
      <c r="B186" s="18" t="s">
        <v>49</v>
      </c>
      <c r="C186" s="11"/>
      <c r="D186" s="9"/>
      <c r="E186" s="10"/>
      <c r="F186" s="10"/>
      <c r="G186" s="32"/>
    </row>
    <row r="187" spans="1:7" x14ac:dyDescent="0.25">
      <c r="A187" s="7" t="s">
        <v>14</v>
      </c>
      <c r="B187" s="18" t="s">
        <v>15</v>
      </c>
      <c r="C187" s="11">
        <v>2</v>
      </c>
      <c r="D187" s="9" t="s">
        <v>43</v>
      </c>
      <c r="E187" s="10"/>
      <c r="F187" s="10">
        <v>0</v>
      </c>
      <c r="G187" s="32"/>
    </row>
    <row r="188" spans="1:7" x14ac:dyDescent="0.25">
      <c r="A188" s="7" t="s">
        <v>16</v>
      </c>
      <c r="B188" s="18" t="s">
        <v>17</v>
      </c>
      <c r="C188" s="11">
        <v>3</v>
      </c>
      <c r="D188" s="9" t="s">
        <v>43</v>
      </c>
      <c r="E188" s="10"/>
      <c r="F188" s="10">
        <v>0</v>
      </c>
      <c r="G188" s="32"/>
    </row>
    <row r="189" spans="1:7" x14ac:dyDescent="0.25">
      <c r="A189" s="7" t="s">
        <v>18</v>
      </c>
      <c r="B189" s="18" t="s">
        <v>19</v>
      </c>
      <c r="C189" s="11">
        <v>2</v>
      </c>
      <c r="D189" s="9" t="s">
        <v>43</v>
      </c>
      <c r="E189" s="10"/>
      <c r="F189" s="10">
        <v>0</v>
      </c>
      <c r="G189" s="32"/>
    </row>
    <row r="190" spans="1:7" x14ac:dyDescent="0.25">
      <c r="A190" s="7" t="s">
        <v>20</v>
      </c>
      <c r="B190" s="18" t="s">
        <v>21</v>
      </c>
      <c r="C190" s="11">
        <v>2</v>
      </c>
      <c r="D190" s="9" t="s">
        <v>43</v>
      </c>
      <c r="E190" s="10"/>
      <c r="F190" s="10">
        <v>0</v>
      </c>
      <c r="G190" s="32"/>
    </row>
    <row r="191" spans="1:7" x14ac:dyDescent="0.25">
      <c r="A191" s="7" t="s">
        <v>22</v>
      </c>
      <c r="B191" s="18" t="s">
        <v>23</v>
      </c>
      <c r="C191" s="11">
        <v>2</v>
      </c>
      <c r="D191" s="9" t="s">
        <v>43</v>
      </c>
      <c r="E191" s="10"/>
      <c r="F191" s="10">
        <v>0</v>
      </c>
      <c r="G191" s="32"/>
    </row>
    <row r="192" spans="1:7" ht="30" x14ac:dyDescent="0.25">
      <c r="A192" s="7" t="s">
        <v>103</v>
      </c>
      <c r="B192" s="18" t="s">
        <v>51</v>
      </c>
      <c r="C192" s="11"/>
      <c r="D192" s="9"/>
      <c r="E192" s="10"/>
      <c r="F192" s="10"/>
      <c r="G192" s="32"/>
    </row>
    <row r="193" spans="1:7" x14ac:dyDescent="0.25">
      <c r="A193" s="7" t="s">
        <v>14</v>
      </c>
      <c r="B193" s="18" t="s">
        <v>15</v>
      </c>
      <c r="C193" s="11">
        <v>4</v>
      </c>
      <c r="D193" s="9" t="s">
        <v>43</v>
      </c>
      <c r="E193" s="10"/>
      <c r="F193" s="10">
        <v>0</v>
      </c>
      <c r="G193" s="32"/>
    </row>
    <row r="194" spans="1:7" x14ac:dyDescent="0.25">
      <c r="A194" s="7" t="s">
        <v>16</v>
      </c>
      <c r="B194" s="18" t="s">
        <v>17</v>
      </c>
      <c r="C194" s="11">
        <v>4</v>
      </c>
      <c r="D194" s="9" t="s">
        <v>43</v>
      </c>
      <c r="E194" s="10"/>
      <c r="F194" s="10">
        <v>0</v>
      </c>
      <c r="G194" s="32"/>
    </row>
    <row r="195" spans="1:7" x14ac:dyDescent="0.25">
      <c r="A195" s="7" t="s">
        <v>18</v>
      </c>
      <c r="B195" s="18" t="s">
        <v>19</v>
      </c>
      <c r="C195" s="11">
        <v>3</v>
      </c>
      <c r="D195" s="9" t="s">
        <v>43</v>
      </c>
      <c r="E195" s="10"/>
      <c r="F195" s="10">
        <v>0</v>
      </c>
      <c r="G195" s="32"/>
    </row>
    <row r="196" spans="1:7" x14ac:dyDescent="0.25">
      <c r="A196" s="7" t="s">
        <v>20</v>
      </c>
      <c r="B196" s="18" t="s">
        <v>21</v>
      </c>
      <c r="C196" s="11">
        <v>4</v>
      </c>
      <c r="D196" s="9" t="s">
        <v>43</v>
      </c>
      <c r="E196" s="10"/>
      <c r="F196" s="10">
        <v>0</v>
      </c>
      <c r="G196" s="32"/>
    </row>
    <row r="197" spans="1:7" x14ac:dyDescent="0.25">
      <c r="A197" s="7" t="s">
        <v>22</v>
      </c>
      <c r="B197" s="8" t="s">
        <v>23</v>
      </c>
      <c r="C197" s="21">
        <v>3</v>
      </c>
      <c r="D197" s="9" t="s">
        <v>43</v>
      </c>
      <c r="E197" s="10"/>
      <c r="F197" s="10">
        <v>0</v>
      </c>
      <c r="G197" s="32"/>
    </row>
    <row r="198" spans="1:7" x14ac:dyDescent="0.25">
      <c r="A198" s="30"/>
      <c r="B198" s="26"/>
      <c r="C198" s="27"/>
      <c r="D198" s="28"/>
      <c r="E198" s="25"/>
      <c r="F198" s="25"/>
      <c r="G198" s="31">
        <f>SUM(F152:F197)</f>
        <v>0</v>
      </c>
    </row>
    <row r="199" spans="1:7" x14ac:dyDescent="0.25">
      <c r="A199" s="3" t="s">
        <v>5</v>
      </c>
      <c r="B199" s="4" t="s">
        <v>55</v>
      </c>
      <c r="C199" s="5"/>
      <c r="D199" s="5"/>
      <c r="E199" s="6"/>
      <c r="F199" s="4"/>
    </row>
    <row r="200" spans="1:7" x14ac:dyDescent="0.25">
      <c r="A200" s="7"/>
      <c r="B200" s="8"/>
      <c r="C200" s="9"/>
      <c r="D200" s="9"/>
      <c r="E200" s="10"/>
      <c r="F200" s="8"/>
    </row>
    <row r="201" spans="1:7" x14ac:dyDescent="0.25">
      <c r="A201" s="7" t="s">
        <v>104</v>
      </c>
      <c r="B201" s="8" t="s">
        <v>8</v>
      </c>
      <c r="C201" s="11">
        <f t="shared" ref="C201:C222" si="17">C152</f>
        <v>2776.25</v>
      </c>
      <c r="D201" s="9" t="s">
        <v>9</v>
      </c>
      <c r="E201" s="10"/>
      <c r="F201" s="10">
        <f>C201*E201</f>
        <v>0</v>
      </c>
    </row>
    <row r="202" spans="1:7" x14ac:dyDescent="0.25">
      <c r="A202" s="7" t="s">
        <v>105</v>
      </c>
      <c r="B202" s="8" t="s">
        <v>11</v>
      </c>
      <c r="C202" s="9">
        <f t="shared" si="17"/>
        <v>245</v>
      </c>
      <c r="D202" s="9" t="s">
        <v>9</v>
      </c>
      <c r="E202" s="10"/>
      <c r="F202" s="10">
        <f t="shared" ref="F202:F222" si="18">C202*E202</f>
        <v>0</v>
      </c>
    </row>
    <row r="203" spans="1:7" x14ac:dyDescent="0.25">
      <c r="A203" s="12" t="s">
        <v>106</v>
      </c>
      <c r="B203" s="13" t="s">
        <v>13</v>
      </c>
      <c r="C203" s="14">
        <f t="shared" si="17"/>
        <v>0</v>
      </c>
      <c r="D203" s="14"/>
      <c r="E203" s="15"/>
      <c r="F203" s="15">
        <f t="shared" si="18"/>
        <v>0</v>
      </c>
    </row>
    <row r="204" spans="1:7" x14ac:dyDescent="0.25">
      <c r="A204" s="16" t="s">
        <v>14</v>
      </c>
      <c r="B204" s="8" t="s">
        <v>15</v>
      </c>
      <c r="C204" s="9">
        <f t="shared" si="17"/>
        <v>20</v>
      </c>
      <c r="D204" s="9" t="s">
        <v>9</v>
      </c>
      <c r="E204" s="10"/>
      <c r="F204" s="10">
        <f t="shared" si="18"/>
        <v>0</v>
      </c>
    </row>
    <row r="205" spans="1:7" x14ac:dyDescent="0.25">
      <c r="A205" s="16" t="s">
        <v>16</v>
      </c>
      <c r="B205" s="8" t="s">
        <v>17</v>
      </c>
      <c r="C205" s="9">
        <f t="shared" si="17"/>
        <v>220</v>
      </c>
      <c r="D205" s="9" t="s">
        <v>9</v>
      </c>
      <c r="E205" s="10"/>
      <c r="F205" s="10">
        <f t="shared" si="18"/>
        <v>0</v>
      </c>
    </row>
    <row r="206" spans="1:7" x14ac:dyDescent="0.25">
      <c r="A206" s="16" t="s">
        <v>18</v>
      </c>
      <c r="B206" s="8" t="s">
        <v>19</v>
      </c>
      <c r="C206" s="9">
        <f t="shared" si="17"/>
        <v>25</v>
      </c>
      <c r="D206" s="9" t="s">
        <v>9</v>
      </c>
      <c r="E206" s="10"/>
      <c r="F206" s="10">
        <f t="shared" si="18"/>
        <v>0</v>
      </c>
    </row>
    <row r="207" spans="1:7" x14ac:dyDescent="0.25">
      <c r="A207" s="16" t="s">
        <v>20</v>
      </c>
      <c r="B207" s="8" t="s">
        <v>21</v>
      </c>
      <c r="C207" s="9">
        <f t="shared" si="17"/>
        <v>1158</v>
      </c>
      <c r="D207" s="9" t="s">
        <v>9</v>
      </c>
      <c r="E207" s="10"/>
      <c r="F207" s="10">
        <f t="shared" si="18"/>
        <v>0</v>
      </c>
    </row>
    <row r="208" spans="1:7" x14ac:dyDescent="0.25">
      <c r="A208" s="16" t="s">
        <v>22</v>
      </c>
      <c r="B208" s="8" t="s">
        <v>23</v>
      </c>
      <c r="C208" s="11">
        <f t="shared" si="17"/>
        <v>355.75</v>
      </c>
      <c r="D208" s="9" t="s">
        <v>9</v>
      </c>
      <c r="E208" s="10"/>
      <c r="F208" s="10">
        <f t="shared" si="18"/>
        <v>0</v>
      </c>
    </row>
    <row r="209" spans="1:6" x14ac:dyDescent="0.25">
      <c r="A209" s="12" t="s">
        <v>107</v>
      </c>
      <c r="B209" s="13" t="s">
        <v>25</v>
      </c>
      <c r="C209" s="14">
        <f t="shared" si="17"/>
        <v>0</v>
      </c>
      <c r="D209" s="14"/>
      <c r="E209" s="15"/>
      <c r="F209" s="15">
        <f t="shared" si="18"/>
        <v>0</v>
      </c>
    </row>
    <row r="210" spans="1:6" x14ac:dyDescent="0.25">
      <c r="A210" s="16" t="s">
        <v>14</v>
      </c>
      <c r="B210" s="8" t="s">
        <v>15</v>
      </c>
      <c r="C210" s="9">
        <f t="shared" si="17"/>
        <v>7</v>
      </c>
      <c r="D210" s="9" t="s">
        <v>9</v>
      </c>
      <c r="E210" s="10"/>
      <c r="F210" s="10">
        <f t="shared" si="18"/>
        <v>0</v>
      </c>
    </row>
    <row r="211" spans="1:6" x14ac:dyDescent="0.25">
      <c r="A211" s="16" t="s">
        <v>16</v>
      </c>
      <c r="B211" s="8" t="s">
        <v>17</v>
      </c>
      <c r="C211" s="9">
        <f t="shared" si="17"/>
        <v>20</v>
      </c>
      <c r="D211" s="9" t="s">
        <v>9</v>
      </c>
      <c r="E211" s="10"/>
      <c r="F211" s="10">
        <f t="shared" si="18"/>
        <v>0</v>
      </c>
    </row>
    <row r="212" spans="1:6" x14ac:dyDescent="0.25">
      <c r="A212" s="16" t="s">
        <v>18</v>
      </c>
      <c r="B212" s="8" t="s">
        <v>19</v>
      </c>
      <c r="C212" s="9">
        <f t="shared" si="17"/>
        <v>6</v>
      </c>
      <c r="D212" s="9" t="s">
        <v>9</v>
      </c>
      <c r="E212" s="10"/>
      <c r="F212" s="10">
        <f t="shared" si="18"/>
        <v>0</v>
      </c>
    </row>
    <row r="213" spans="1:6" x14ac:dyDescent="0.25">
      <c r="A213" s="16" t="s">
        <v>20</v>
      </c>
      <c r="B213" s="8" t="s">
        <v>21</v>
      </c>
      <c r="C213" s="9">
        <f t="shared" si="17"/>
        <v>0</v>
      </c>
      <c r="D213" s="9" t="s">
        <v>9</v>
      </c>
      <c r="E213" s="10"/>
      <c r="F213" s="10">
        <f t="shared" si="18"/>
        <v>0</v>
      </c>
    </row>
    <row r="214" spans="1:6" x14ac:dyDescent="0.25">
      <c r="A214" s="16" t="s">
        <v>22</v>
      </c>
      <c r="B214" s="8" t="s">
        <v>23</v>
      </c>
      <c r="C214" s="11">
        <f t="shared" si="17"/>
        <v>8.25</v>
      </c>
      <c r="D214" s="9" t="s">
        <v>9</v>
      </c>
      <c r="E214" s="10"/>
      <c r="F214" s="10">
        <f t="shared" si="18"/>
        <v>0</v>
      </c>
    </row>
    <row r="215" spans="1:6" x14ac:dyDescent="0.25">
      <c r="A215" s="7" t="s">
        <v>108</v>
      </c>
      <c r="B215" s="8" t="s">
        <v>27</v>
      </c>
      <c r="C215" s="11">
        <f t="shared" si="17"/>
        <v>18865</v>
      </c>
      <c r="D215" s="17" t="s">
        <v>28</v>
      </c>
      <c r="E215" s="10"/>
      <c r="F215" s="10">
        <f t="shared" si="18"/>
        <v>0</v>
      </c>
    </row>
    <row r="216" spans="1:6" x14ac:dyDescent="0.25">
      <c r="A216" s="7" t="s">
        <v>109</v>
      </c>
      <c r="B216" s="8" t="s">
        <v>30</v>
      </c>
      <c r="C216" s="11">
        <f t="shared" si="17"/>
        <v>26161.25</v>
      </c>
      <c r="D216" s="17" t="s">
        <v>28</v>
      </c>
      <c r="E216" s="10"/>
      <c r="F216" s="10">
        <f t="shared" si="18"/>
        <v>0</v>
      </c>
    </row>
    <row r="217" spans="1:6" x14ac:dyDescent="0.25">
      <c r="A217" s="7" t="s">
        <v>110</v>
      </c>
      <c r="B217" s="8" t="s">
        <v>32</v>
      </c>
      <c r="C217" s="11">
        <f t="shared" si="17"/>
        <v>43317.5</v>
      </c>
      <c r="D217" s="17" t="s">
        <v>28</v>
      </c>
      <c r="E217" s="10"/>
      <c r="F217" s="10">
        <f t="shared" si="18"/>
        <v>0</v>
      </c>
    </row>
    <row r="218" spans="1:6" x14ac:dyDescent="0.25">
      <c r="A218" s="7" t="s">
        <v>111</v>
      </c>
      <c r="B218" s="8" t="s">
        <v>34</v>
      </c>
      <c r="C218" s="11">
        <f t="shared" si="17"/>
        <v>61286.25</v>
      </c>
      <c r="D218" s="17" t="s">
        <v>28</v>
      </c>
      <c r="E218" s="10"/>
      <c r="F218" s="10">
        <f t="shared" si="18"/>
        <v>0</v>
      </c>
    </row>
    <row r="219" spans="1:6" x14ac:dyDescent="0.25">
      <c r="A219" s="7" t="s">
        <v>112</v>
      </c>
      <c r="B219" s="8" t="s">
        <v>36</v>
      </c>
      <c r="C219" s="11">
        <f t="shared" si="17"/>
        <v>38396.25</v>
      </c>
      <c r="D219" s="17" t="s">
        <v>28</v>
      </c>
      <c r="E219" s="10"/>
      <c r="F219" s="10">
        <f t="shared" si="18"/>
        <v>0</v>
      </c>
    </row>
    <row r="220" spans="1:6" x14ac:dyDescent="0.25">
      <c r="A220" s="7" t="s">
        <v>113</v>
      </c>
      <c r="B220" s="8" t="s">
        <v>38</v>
      </c>
      <c r="C220" s="11">
        <f t="shared" si="17"/>
        <v>17141.25</v>
      </c>
      <c r="D220" s="17" t="s">
        <v>28</v>
      </c>
      <c r="E220" s="10"/>
      <c r="F220" s="10">
        <f t="shared" si="18"/>
        <v>0</v>
      </c>
    </row>
    <row r="221" spans="1:6" x14ac:dyDescent="0.25">
      <c r="A221" s="7" t="s">
        <v>114</v>
      </c>
      <c r="B221" s="8" t="s">
        <v>40</v>
      </c>
      <c r="C221" s="11">
        <f t="shared" si="17"/>
        <v>0</v>
      </c>
      <c r="D221" s="17" t="s">
        <v>28</v>
      </c>
      <c r="E221" s="10"/>
      <c r="F221" s="10">
        <f t="shared" si="18"/>
        <v>0</v>
      </c>
    </row>
    <row r="222" spans="1:6" x14ac:dyDescent="0.25">
      <c r="A222" s="7" t="s">
        <v>115</v>
      </c>
      <c r="B222" s="8" t="s">
        <v>42</v>
      </c>
      <c r="C222" s="11">
        <f t="shared" si="17"/>
        <v>80</v>
      </c>
      <c r="D222" s="9" t="s">
        <v>43</v>
      </c>
      <c r="E222" s="10"/>
      <c r="F222" s="10">
        <f t="shared" si="18"/>
        <v>0</v>
      </c>
    </row>
    <row r="223" spans="1:6" ht="30" x14ac:dyDescent="0.25">
      <c r="A223" s="7" t="s">
        <v>116</v>
      </c>
      <c r="B223" s="18" t="s">
        <v>45</v>
      </c>
      <c r="C223" s="11"/>
      <c r="D223" s="9"/>
      <c r="E223" s="10"/>
      <c r="F223" s="10"/>
    </row>
    <row r="224" spans="1:6" x14ac:dyDescent="0.25">
      <c r="A224" s="7" t="s">
        <v>14</v>
      </c>
      <c r="B224" s="18" t="s">
        <v>15</v>
      </c>
      <c r="C224" s="11">
        <v>1</v>
      </c>
      <c r="D224" s="9" t="s">
        <v>43</v>
      </c>
      <c r="E224" s="10"/>
      <c r="F224" s="10">
        <v>0</v>
      </c>
    </row>
    <row r="225" spans="1:6" x14ac:dyDescent="0.25">
      <c r="A225" s="7" t="s">
        <v>16</v>
      </c>
      <c r="B225" s="18" t="s">
        <v>17</v>
      </c>
      <c r="C225" s="11">
        <v>2</v>
      </c>
      <c r="D225" s="9" t="s">
        <v>43</v>
      </c>
      <c r="E225" s="10"/>
      <c r="F225" s="10">
        <v>0</v>
      </c>
    </row>
    <row r="226" spans="1:6" x14ac:dyDescent="0.25">
      <c r="A226" s="7" t="s">
        <v>18</v>
      </c>
      <c r="B226" s="18" t="s">
        <v>19</v>
      </c>
      <c r="C226" s="11">
        <v>1</v>
      </c>
      <c r="D226" s="9" t="s">
        <v>43</v>
      </c>
      <c r="E226" s="10"/>
      <c r="F226" s="10">
        <v>0</v>
      </c>
    </row>
    <row r="227" spans="1:6" x14ac:dyDescent="0.25">
      <c r="A227" s="7" t="s">
        <v>20</v>
      </c>
      <c r="B227" s="18" t="s">
        <v>21</v>
      </c>
      <c r="C227" s="11">
        <v>1</v>
      </c>
      <c r="D227" s="9" t="s">
        <v>43</v>
      </c>
      <c r="E227" s="10"/>
      <c r="F227" s="10">
        <v>0</v>
      </c>
    </row>
    <row r="228" spans="1:6" x14ac:dyDescent="0.25">
      <c r="A228" s="7" t="s">
        <v>22</v>
      </c>
      <c r="B228" s="18" t="s">
        <v>23</v>
      </c>
      <c r="C228" s="11">
        <v>1</v>
      </c>
      <c r="D228" s="9" t="s">
        <v>43</v>
      </c>
      <c r="E228" s="10"/>
      <c r="F228" s="10">
        <v>0</v>
      </c>
    </row>
    <row r="229" spans="1:6" ht="30" x14ac:dyDescent="0.25">
      <c r="A229" s="7" t="s">
        <v>117</v>
      </c>
      <c r="B229" s="18" t="s">
        <v>47</v>
      </c>
      <c r="C229" s="11"/>
      <c r="D229" s="9"/>
      <c r="E229" s="10"/>
      <c r="F229" s="10"/>
    </row>
    <row r="230" spans="1:6" x14ac:dyDescent="0.25">
      <c r="A230" s="7" t="s">
        <v>14</v>
      </c>
      <c r="B230" s="18" t="s">
        <v>15</v>
      </c>
      <c r="C230" s="11">
        <v>1</v>
      </c>
      <c r="D230" s="9" t="s">
        <v>43</v>
      </c>
      <c r="E230" s="10"/>
      <c r="F230" s="10">
        <v>0</v>
      </c>
    </row>
    <row r="231" spans="1:6" x14ac:dyDescent="0.25">
      <c r="A231" s="7" t="s">
        <v>16</v>
      </c>
      <c r="B231" s="18" t="s">
        <v>17</v>
      </c>
      <c r="C231" s="11">
        <v>1</v>
      </c>
      <c r="D231" s="9" t="s">
        <v>43</v>
      </c>
      <c r="E231" s="10"/>
      <c r="F231" s="10">
        <v>0</v>
      </c>
    </row>
    <row r="232" spans="1:6" x14ac:dyDescent="0.25">
      <c r="A232" s="7" t="s">
        <v>18</v>
      </c>
      <c r="B232" s="18" t="s">
        <v>19</v>
      </c>
      <c r="C232" s="11">
        <v>1</v>
      </c>
      <c r="D232" s="9" t="s">
        <v>43</v>
      </c>
      <c r="E232" s="10"/>
      <c r="F232" s="10">
        <v>0</v>
      </c>
    </row>
    <row r="233" spans="1:6" x14ac:dyDescent="0.25">
      <c r="A233" s="7" t="s">
        <v>20</v>
      </c>
      <c r="B233" s="18" t="s">
        <v>21</v>
      </c>
      <c r="C233" s="11">
        <v>1</v>
      </c>
      <c r="D233" s="9" t="s">
        <v>43</v>
      </c>
      <c r="E233" s="10"/>
      <c r="F233" s="10">
        <v>0</v>
      </c>
    </row>
    <row r="234" spans="1:6" x14ac:dyDescent="0.25">
      <c r="A234" s="7" t="s">
        <v>22</v>
      </c>
      <c r="B234" s="18" t="s">
        <v>23</v>
      </c>
      <c r="C234" s="11">
        <v>1</v>
      </c>
      <c r="D234" s="9" t="s">
        <v>43</v>
      </c>
      <c r="E234" s="10"/>
      <c r="F234" s="10">
        <v>0</v>
      </c>
    </row>
    <row r="235" spans="1:6" ht="30" x14ac:dyDescent="0.25">
      <c r="A235" s="7" t="s">
        <v>118</v>
      </c>
      <c r="B235" s="18" t="s">
        <v>49</v>
      </c>
      <c r="C235" s="11"/>
      <c r="D235" s="9"/>
      <c r="E235" s="10"/>
      <c r="F235" s="10"/>
    </row>
    <row r="236" spans="1:6" x14ac:dyDescent="0.25">
      <c r="A236" s="7" t="s">
        <v>14</v>
      </c>
      <c r="B236" s="18" t="s">
        <v>15</v>
      </c>
      <c r="C236" s="11">
        <v>2</v>
      </c>
      <c r="D236" s="9" t="s">
        <v>43</v>
      </c>
      <c r="E236" s="10"/>
      <c r="F236" s="10">
        <v>0</v>
      </c>
    </row>
    <row r="237" spans="1:6" x14ac:dyDescent="0.25">
      <c r="A237" s="7" t="s">
        <v>16</v>
      </c>
      <c r="B237" s="18" t="s">
        <v>17</v>
      </c>
      <c r="C237" s="11">
        <v>3</v>
      </c>
      <c r="D237" s="9" t="s">
        <v>43</v>
      </c>
      <c r="E237" s="10"/>
      <c r="F237" s="10">
        <v>0</v>
      </c>
    </row>
    <row r="238" spans="1:6" x14ac:dyDescent="0.25">
      <c r="A238" s="7" t="s">
        <v>18</v>
      </c>
      <c r="B238" s="18" t="s">
        <v>19</v>
      </c>
      <c r="C238" s="11">
        <v>2</v>
      </c>
      <c r="D238" s="9" t="s">
        <v>43</v>
      </c>
      <c r="E238" s="10"/>
      <c r="F238" s="10">
        <v>0</v>
      </c>
    </row>
    <row r="239" spans="1:6" x14ac:dyDescent="0.25">
      <c r="A239" s="7" t="s">
        <v>20</v>
      </c>
      <c r="B239" s="18" t="s">
        <v>21</v>
      </c>
      <c r="C239" s="11">
        <v>2</v>
      </c>
      <c r="D239" s="9" t="s">
        <v>43</v>
      </c>
      <c r="E239" s="10"/>
      <c r="F239" s="10">
        <v>0</v>
      </c>
    </row>
    <row r="240" spans="1:6" x14ac:dyDescent="0.25">
      <c r="A240" s="7" t="s">
        <v>22</v>
      </c>
      <c r="B240" s="18" t="s">
        <v>23</v>
      </c>
      <c r="C240" s="11">
        <v>2</v>
      </c>
      <c r="D240" s="9" t="s">
        <v>43</v>
      </c>
      <c r="E240" s="10"/>
      <c r="F240" s="10">
        <v>0</v>
      </c>
    </row>
    <row r="241" spans="1:7" ht="30" x14ac:dyDescent="0.25">
      <c r="A241" s="7" t="s">
        <v>119</v>
      </c>
      <c r="B241" s="18" t="s">
        <v>51</v>
      </c>
      <c r="C241" s="11"/>
      <c r="D241" s="9"/>
      <c r="E241" s="10"/>
      <c r="F241" s="10"/>
    </row>
    <row r="242" spans="1:7" x14ac:dyDescent="0.25">
      <c r="A242" s="7" t="s">
        <v>14</v>
      </c>
      <c r="B242" s="18" t="s">
        <v>15</v>
      </c>
      <c r="C242" s="11">
        <v>4</v>
      </c>
      <c r="D242" s="9" t="s">
        <v>43</v>
      </c>
      <c r="E242" s="10"/>
      <c r="F242" s="10">
        <v>0</v>
      </c>
    </row>
    <row r="243" spans="1:7" x14ac:dyDescent="0.25">
      <c r="A243" s="7" t="s">
        <v>16</v>
      </c>
      <c r="B243" s="18" t="s">
        <v>17</v>
      </c>
      <c r="C243" s="11">
        <v>4</v>
      </c>
      <c r="D243" s="9" t="s">
        <v>43</v>
      </c>
      <c r="E243" s="10"/>
      <c r="F243" s="10">
        <v>0</v>
      </c>
    </row>
    <row r="244" spans="1:7" x14ac:dyDescent="0.25">
      <c r="A244" s="7" t="s">
        <v>18</v>
      </c>
      <c r="B244" s="18" t="s">
        <v>19</v>
      </c>
      <c r="C244" s="11">
        <v>3</v>
      </c>
      <c r="D244" s="9" t="s">
        <v>43</v>
      </c>
      <c r="E244" s="10"/>
      <c r="F244" s="10">
        <v>0</v>
      </c>
    </row>
    <row r="245" spans="1:7" x14ac:dyDescent="0.25">
      <c r="A245" s="7" t="s">
        <v>20</v>
      </c>
      <c r="B245" s="18" t="s">
        <v>21</v>
      </c>
      <c r="C245" s="11">
        <v>4</v>
      </c>
      <c r="D245" s="9" t="s">
        <v>43</v>
      </c>
      <c r="E245" s="10"/>
      <c r="F245" s="10">
        <v>0</v>
      </c>
    </row>
    <row r="246" spans="1:7" x14ac:dyDescent="0.25">
      <c r="A246" s="7" t="s">
        <v>22</v>
      </c>
      <c r="B246" s="8" t="s">
        <v>23</v>
      </c>
      <c r="C246" s="21">
        <v>3</v>
      </c>
      <c r="D246" s="9" t="s">
        <v>43</v>
      </c>
      <c r="E246" s="10"/>
      <c r="F246" s="10">
        <v>0</v>
      </c>
    </row>
    <row r="247" spans="1:7" x14ac:dyDescent="0.25">
      <c r="A247" s="23"/>
      <c r="B247" s="23"/>
      <c r="C247" s="24"/>
      <c r="D247" s="24"/>
      <c r="E247" s="23"/>
      <c r="F247" s="23"/>
      <c r="G247" s="31">
        <f>SUM(F201:F246)</f>
        <v>0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Daly, Timothy G. VHAV10</dc:creator>
  <cp:lastModifiedBy>Flagg, Lenny L. (VHACLE)</cp:lastModifiedBy>
  <dcterms:created xsi:type="dcterms:W3CDTF">2026-04-02T20:05:50Z</dcterms:created>
  <dcterms:modified xsi:type="dcterms:W3CDTF">2026-04-03T02:44:12Z</dcterms:modified>
</cp:coreProperties>
</file>