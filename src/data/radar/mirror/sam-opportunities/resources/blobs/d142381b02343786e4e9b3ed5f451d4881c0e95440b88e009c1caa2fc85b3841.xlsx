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 filterPrivacy="1" defaultThemeVersion="124226"/>
  <xr:revisionPtr revIDLastSave="0" documentId="8_{4F88AA73-3D0E-4CDF-8C04-87AE40140E3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nstruction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F14" i="3"/>
  <c r="J14" i="3"/>
  <c r="N14" i="3"/>
  <c r="R14" i="3"/>
  <c r="V14" i="3"/>
  <c r="C13" i="3"/>
  <c r="C12" i="3"/>
  <c r="C11" i="3"/>
  <c r="C10" i="3"/>
  <c r="C6" i="3"/>
  <c r="C14" i="3" l="1"/>
  <c r="C9" i="3" l="1"/>
  <c r="C8" i="3"/>
  <c r="C7" i="3"/>
</calcChain>
</file>

<file path=xl/sharedStrings.xml><?xml version="1.0" encoding="utf-8"?>
<sst xmlns="http://schemas.openxmlformats.org/spreadsheetml/2006/main" count="40" uniqueCount="21">
  <si>
    <t>INSTRUCTIONS TO OFFERORS</t>
  </si>
  <si>
    <t xml:space="preserve">Offerors have the latitude to propose the labor mix they believe is best to accomplish the requirements identified within the SOW in a high quality, efficient, and cost effective manner. Nevertheless, the Government has provided the below labor mix estimate to serve as a reference for prospective Offerors to better understand the overall distribution of skills throughout this effort. </t>
  </si>
  <si>
    <t>Year 1</t>
  </si>
  <si>
    <t>Year 2</t>
  </si>
  <si>
    <t>Year 3</t>
  </si>
  <si>
    <t>Year 4</t>
  </si>
  <si>
    <t>Year 5</t>
  </si>
  <si>
    <t>Labor Category</t>
  </si>
  <si>
    <t>Cumulative Hours</t>
  </si>
  <si>
    <t>Gov Site Reg. Hours</t>
  </si>
  <si>
    <t>Gov Site OT Hours</t>
  </si>
  <si>
    <t>Contractor Site Reg. Hours</t>
  </si>
  <si>
    <t>Contractor Site OT Hours</t>
  </si>
  <si>
    <t>Phase 1</t>
  </si>
  <si>
    <t>ENGINEERING TECHNICIAN III - 30083 (KTR Site)</t>
  </si>
  <si>
    <t>ENGINEERING TECHNICIAN V - 30085</t>
  </si>
  <si>
    <t>MANAGER, PROGRAM/PROJECT II - MANP2</t>
  </si>
  <si>
    <t>LOGISTICIAN II - LGT2</t>
  </si>
  <si>
    <t>Phase 2</t>
  </si>
  <si>
    <t>ENGINEERING TECHNICIAN III - 30083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</si>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</sst>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$-409]#,##0.00_);\([$$-409]#,##0.00\)"/>
    <numFmt numFmtId="165" formatCode="&quot;$&quot;#,##0.00"/>
    <numFmt numFmtId="166" formatCode="_(* #,##0_);_(* \(#,##0\);_(* &quot;-&quot;??_);_(@_)"/>
  </numFmts>
  <fonts count="9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333C8"/>
        <bgColor indexed="64"/>
      </patternFill>
    </fill>
    <fill>
      <patternFill patternType="solid">
        <fgColor rgb="FF3333C8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/>
    <xf numFmtId="43" fontId="4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3" fontId="0" fillId="6" borderId="1" xfId="0" applyNumberForma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3" fontId="0" fillId="6" borderId="6" xfId="0" applyNumberFormat="1" applyFill="1" applyBorder="1" applyAlignment="1">
      <alignment horizontal="center" vertical="center"/>
    </xf>
    <xf numFmtId="3" fontId="0" fillId="6" borderId="7" xfId="0" applyNumberFormat="1" applyFill="1" applyBorder="1" applyAlignment="1">
      <alignment horizontal="center" vertical="center"/>
    </xf>
    <xf numFmtId="3" fontId="0" fillId="7" borderId="6" xfId="0" applyNumberFormat="1" applyFill="1" applyBorder="1" applyAlignment="1">
      <alignment horizontal="center" vertical="center"/>
    </xf>
    <xf numFmtId="3" fontId="0" fillId="7" borderId="7" xfId="0" applyNumberFormat="1" applyFill="1" applyBorder="1" applyAlignment="1">
      <alignment horizontal="center" vertical="center"/>
    </xf>
    <xf numFmtId="0" fontId="0" fillId="6" borderId="12" xfId="0" applyFill="1" applyBorder="1" applyAlignment="1" applyProtection="1">
      <alignment vertical="center" wrapText="1"/>
      <protection locked="0"/>
    </xf>
    <xf numFmtId="0" fontId="0" fillId="0" borderId="14" xfId="0" applyBorder="1" applyAlignment="1">
      <alignment vertical="center"/>
    </xf>
    <xf numFmtId="3" fontId="0" fillId="6" borderId="18" xfId="0" applyNumberFormat="1" applyFill="1" applyBorder="1" applyAlignment="1">
      <alignment horizontal="center" vertical="center"/>
    </xf>
    <xf numFmtId="3" fontId="0" fillId="6" borderId="19" xfId="0" applyNumberFormat="1" applyFill="1" applyBorder="1" applyAlignment="1">
      <alignment horizontal="center" vertical="center"/>
    </xf>
    <xf numFmtId="3" fontId="0" fillId="6" borderId="20" xfId="0" applyNumberFormat="1" applyFill="1" applyBorder="1" applyAlignment="1">
      <alignment horizontal="center" vertical="center"/>
    </xf>
    <xf numFmtId="3" fontId="0" fillId="7" borderId="18" xfId="0" applyNumberFormat="1" applyFill="1" applyBorder="1" applyAlignment="1">
      <alignment horizontal="center" vertical="center"/>
    </xf>
    <xf numFmtId="3" fontId="0" fillId="7" borderId="19" xfId="0" applyNumberFormat="1" applyFill="1" applyBorder="1" applyAlignment="1">
      <alignment horizontal="center" vertical="center"/>
    </xf>
    <xf numFmtId="3" fontId="0" fillId="7" borderId="20" xfId="0" applyNumberForma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0" fillId="6" borderId="11" xfId="0" applyFill="1" applyBorder="1" applyAlignment="1" applyProtection="1">
      <alignment vertical="center" wrapText="1"/>
      <protection locked="0"/>
    </xf>
    <xf numFmtId="3" fontId="0" fillId="6" borderId="21" xfId="0" applyNumberFormat="1" applyFill="1" applyBorder="1" applyAlignment="1">
      <alignment horizontal="center" vertical="center"/>
    </xf>
    <xf numFmtId="3" fontId="0" fillId="6" borderId="22" xfId="0" applyNumberFormat="1" applyFill="1" applyBorder="1" applyAlignment="1">
      <alignment horizontal="center" vertical="center"/>
    </xf>
    <xf numFmtId="3" fontId="0" fillId="6" borderId="23" xfId="0" applyNumberFormat="1" applyFill="1" applyBorder="1" applyAlignment="1">
      <alignment horizontal="center" vertical="center"/>
    </xf>
    <xf numFmtId="3" fontId="0" fillId="7" borderId="21" xfId="0" applyNumberFormat="1" applyFill="1" applyBorder="1" applyAlignment="1">
      <alignment horizontal="center" vertical="center"/>
    </xf>
    <xf numFmtId="3" fontId="0" fillId="7" borderId="22" xfId="0" applyNumberFormat="1" applyFill="1" applyBorder="1" applyAlignment="1">
      <alignment horizontal="center" vertical="center"/>
    </xf>
    <xf numFmtId="3" fontId="0" fillId="7" borderId="23" xfId="0" applyNumberFormat="1" applyFill="1" applyBorder="1" applyAlignment="1">
      <alignment horizontal="center" vertical="center"/>
    </xf>
    <xf numFmtId="0" fontId="0" fillId="6" borderId="13" xfId="0" applyFill="1" applyBorder="1" applyAlignment="1" applyProtection="1">
      <alignment vertical="center" wrapText="1"/>
      <protection locked="0"/>
    </xf>
    <xf numFmtId="3" fontId="0" fillId="6" borderId="8" xfId="0" applyNumberFormat="1" applyFill="1" applyBorder="1" applyAlignment="1">
      <alignment horizontal="center" vertical="center"/>
    </xf>
    <xf numFmtId="3" fontId="0" fillId="6" borderId="9" xfId="0" applyNumberFormat="1" applyFill="1" applyBorder="1" applyAlignment="1">
      <alignment horizontal="center" vertical="center"/>
    </xf>
    <xf numFmtId="3" fontId="0" fillId="6" borderId="10" xfId="0" applyNumberFormat="1" applyFill="1" applyBorder="1" applyAlignment="1">
      <alignment horizontal="center" vertical="center"/>
    </xf>
    <xf numFmtId="3" fontId="0" fillId="7" borderId="8" xfId="0" applyNumberFormat="1" applyFill="1" applyBorder="1" applyAlignment="1">
      <alignment horizontal="center" vertical="center"/>
    </xf>
    <xf numFmtId="3" fontId="0" fillId="7" borderId="9" xfId="0" applyNumberFormat="1" applyFill="1" applyBorder="1" applyAlignment="1">
      <alignment horizontal="center" vertical="center"/>
    </xf>
    <xf numFmtId="3" fontId="0" fillId="7" borderId="10" xfId="0" applyNumberFormat="1" applyFill="1" applyBorder="1" applyAlignment="1">
      <alignment horizontal="center" vertical="center"/>
    </xf>
    <xf numFmtId="0" fontId="6" fillId="0" borderId="24" xfId="0" applyFont="1" applyBorder="1"/>
    <xf numFmtId="3" fontId="3" fillId="0" borderId="25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3" fontId="3" fillId="7" borderId="25" xfId="0" applyNumberFormat="1" applyFont="1" applyFill="1" applyBorder="1" applyAlignment="1">
      <alignment horizontal="center"/>
    </xf>
    <xf numFmtId="3" fontId="3" fillId="7" borderId="26" xfId="0" applyNumberFormat="1" applyFont="1" applyFill="1" applyBorder="1" applyAlignment="1">
      <alignment horizontal="center"/>
    </xf>
    <xf numFmtId="3" fontId="3" fillId="7" borderId="27" xfId="0" applyNumberFormat="1" applyFont="1" applyFill="1" applyBorder="1" applyAlignment="1">
      <alignment horizontal="center"/>
    </xf>
    <xf numFmtId="3" fontId="0" fillId="6" borderId="28" xfId="0" applyNumberFormat="1" applyFill="1" applyBorder="1" applyAlignment="1">
      <alignment horizontal="center" vertical="center"/>
    </xf>
    <xf numFmtId="3" fontId="0" fillId="6" borderId="29" xfId="0" applyNumberFormat="1" applyFill="1" applyBorder="1" applyAlignment="1">
      <alignment horizontal="center" vertical="center"/>
    </xf>
    <xf numFmtId="3" fontId="0" fillId="6" borderId="30" xfId="0" applyNumberFormat="1" applyFill="1" applyBorder="1" applyAlignment="1">
      <alignment horizontal="center" vertical="center"/>
    </xf>
    <xf numFmtId="3" fontId="0" fillId="7" borderId="28" xfId="0" applyNumberFormat="1" applyFill="1" applyBorder="1" applyAlignment="1">
      <alignment horizontal="center" vertical="center"/>
    </xf>
    <xf numFmtId="3" fontId="0" fillId="7" borderId="29" xfId="0" applyNumberFormat="1" applyFill="1" applyBorder="1" applyAlignment="1">
      <alignment horizontal="center" vertical="center"/>
    </xf>
    <xf numFmtId="3" fontId="0" fillId="7" borderId="30" xfId="0" applyNumberFormat="1" applyFill="1" applyBorder="1" applyAlignment="1">
      <alignment horizontal="center" vertical="center"/>
    </xf>
    <xf numFmtId="166" fontId="0" fillId="4" borderId="12" xfId="2" applyNumberFormat="1" applyFont="1" applyFill="1" applyBorder="1" applyAlignment="1" applyProtection="1">
      <alignment horizontal="center" vertical="center" wrapText="1"/>
    </xf>
    <xf numFmtId="0" fontId="3" fillId="5" borderId="31" xfId="0" applyFont="1" applyFill="1" applyBorder="1" applyAlignment="1">
      <alignment horizontal="center" vertical="center" wrapText="1"/>
    </xf>
    <xf numFmtId="3" fontId="0" fillId="7" borderId="32" xfId="0" applyNumberFormat="1" applyFill="1" applyBorder="1" applyAlignment="1">
      <alignment horizontal="center" vertical="center"/>
    </xf>
    <xf numFmtId="3" fontId="0" fillId="7" borderId="33" xfId="0" applyNumberFormat="1" applyFill="1" applyBorder="1" applyAlignment="1">
      <alignment horizontal="center" vertical="center"/>
    </xf>
    <xf numFmtId="3" fontId="0" fillId="7" borderId="34" xfId="0" applyNumberFormat="1" applyFill="1" applyBorder="1" applyAlignment="1">
      <alignment horizontal="center" vertical="center"/>
    </xf>
    <xf numFmtId="3" fontId="0" fillId="7" borderId="31" xfId="0" applyNumberFormat="1" applyFill="1" applyBorder="1" applyAlignment="1">
      <alignment horizontal="center" vertical="center"/>
    </xf>
    <xf numFmtId="3" fontId="3" fillId="7" borderId="35" xfId="0" applyNumberFormat="1" applyFont="1" applyFill="1" applyBorder="1" applyAlignment="1">
      <alignment horizontal="center"/>
    </xf>
    <xf numFmtId="166" fontId="0" fillId="4" borderId="11" xfId="2" applyNumberFormat="1" applyFont="1" applyFill="1" applyBorder="1" applyAlignment="1" applyProtection="1">
      <alignment horizontal="center" vertical="center" wrapText="1"/>
    </xf>
    <xf numFmtId="3" fontId="3" fillId="0" borderId="24" xfId="0" applyNumberFormat="1" applyFont="1" applyBorder="1" applyAlignment="1">
      <alignment horizontal="right" vertical="center"/>
    </xf>
    <xf numFmtId="0" fontId="3" fillId="5" borderId="36" xfId="0" applyFont="1" applyFill="1" applyBorder="1" applyAlignment="1">
      <alignment horizontal="center" vertical="center" wrapText="1"/>
    </xf>
    <xf numFmtId="166" fontId="0" fillId="4" borderId="13" xfId="2" applyNumberFormat="1" applyFont="1" applyFill="1" applyBorder="1" applyAlignment="1" applyProtection="1">
      <alignment horizontal="center" vertical="center" wrapText="1"/>
    </xf>
    <xf numFmtId="3" fontId="0" fillId="7" borderId="42" xfId="0" applyNumberFormat="1" applyFill="1" applyBorder="1" applyAlignment="1">
      <alignment horizontal="center" vertical="center"/>
    </xf>
    <xf numFmtId="3" fontId="0" fillId="6" borderId="37" xfId="0" applyNumberFormat="1" applyFill="1" applyBorder="1" applyAlignment="1">
      <alignment horizontal="center" vertical="center"/>
    </xf>
    <xf numFmtId="3" fontId="0" fillId="6" borderId="38" xfId="0" applyNumberFormat="1" applyFill="1" applyBorder="1" applyAlignment="1">
      <alignment horizontal="center" vertical="center"/>
    </xf>
    <xf numFmtId="3" fontId="0" fillId="6" borderId="39" xfId="0" applyNumberFormat="1" applyFill="1" applyBorder="1" applyAlignment="1">
      <alignment horizontal="center" vertical="center"/>
    </xf>
    <xf numFmtId="3" fontId="0" fillId="6" borderId="36" xfId="0" applyNumberFormat="1" applyFill="1" applyBorder="1" applyAlignment="1">
      <alignment horizontal="center" vertical="center"/>
    </xf>
    <xf numFmtId="3" fontId="0" fillId="6" borderId="41" xfId="0" applyNumberFormat="1" applyFill="1" applyBorder="1" applyAlignment="1">
      <alignment horizontal="center" vertical="center"/>
    </xf>
    <xf numFmtId="3" fontId="3" fillId="0" borderId="40" xfId="0" applyNumberFormat="1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7" fillId="3" borderId="2" xfId="0" applyFont="1" applyFill="1" applyBorder="1" applyAlignment="1">
      <alignment horizontal="center" wrapText="1"/>
    </xf>
    <xf numFmtId="0" fontId="7" fillId="3" borderId="0" xfId="0" applyFont="1" applyFill="1" applyBorder="1" applyAlignment="1">
      <alignment horizontal="center" wrapText="1"/>
    </xf>
    <xf numFmtId="0" fontId="8" fillId="0" borderId="0" xfId="0" applyFont="1" applyAlignment="1">
      <alignment horizontal="left" vertical="top" wrapText="1"/>
    </xf>
    <xf numFmtId="165" fontId="5" fillId="2" borderId="4" xfId="0" applyNumberFormat="1" applyFont="1" applyFill="1" applyBorder="1" applyAlignment="1">
      <alignment horizontal="center" vertical="center"/>
    </xf>
    <xf numFmtId="165" fontId="5" fillId="2" borderId="5" xfId="0" applyNumberFormat="1" applyFont="1" applyFill="1" applyBorder="1" applyAlignment="1">
      <alignment horizontal="center" vertical="center"/>
    </xf>
    <xf numFmtId="165" fontId="5" fillId="2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wrapText="1"/>
    </xf>
  </cellXfs>
  <cellStyles count="3">
    <cellStyle name="Comma" xfId="2" builtinId="3"/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colors>
    <mruColors>
      <color rgb="FF3333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2400300</xdr:colOff>
      <xdr:row>20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96F70A5-BB42-0730-6759-E150BDD224C2}"/>
            </a:ext>
          </a:extLst>
        </xdr:cNvPr>
        <xdr:cNvSpPr txBox="1"/>
      </xdr:nvSpPr>
      <xdr:spPr>
        <a:xfrm>
          <a:off x="3714750" y="4829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138DC-3185-4F5F-8299-F741F5C5D97C}">
  <dimension ref="A1:W15"/>
  <sheetViews>
    <sheetView tabSelected="1" workbookViewId="0">
      <selection activeCell="N20" sqref="N20"/>
    </sheetView>
  </sheetViews>
  <sheetFormatPr defaultRowHeight="15"/>
  <cols>
    <col min="1" max="1" width="7.7109375" bestFit="1" customWidth="1"/>
    <col min="2" max="2" width="31.28515625" customWidth="1"/>
    <col min="3" max="3" width="11.140625" customWidth="1"/>
    <col min="4" max="22" width="10.7109375" customWidth="1"/>
  </cols>
  <sheetData>
    <row r="1" spans="1:23" ht="15.75" customHeight="1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</row>
    <row r="2" spans="1:23" ht="15" customHeight="1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</row>
    <row r="3" spans="1:23" ht="17.25" customHeight="1" thickBot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</row>
    <row r="4" spans="1:23" ht="15.75" thickBot="1">
      <c r="B4" s="1"/>
      <c r="C4" s="1"/>
      <c r="D4" s="74" t="s">
        <v>2</v>
      </c>
      <c r="E4" s="72"/>
      <c r="F4" s="72"/>
      <c r="G4" s="73"/>
      <c r="H4" s="74" t="s">
        <v>3</v>
      </c>
      <c r="I4" s="72"/>
      <c r="J4" s="72"/>
      <c r="K4" s="73"/>
      <c r="L4" s="72" t="s">
        <v>4</v>
      </c>
      <c r="M4" s="72"/>
      <c r="N4" s="72"/>
      <c r="O4" s="73"/>
      <c r="P4" s="74" t="s">
        <v>5</v>
      </c>
      <c r="Q4" s="72"/>
      <c r="R4" s="72"/>
      <c r="S4" s="72"/>
      <c r="T4" s="74" t="s">
        <v>6</v>
      </c>
      <c r="U4" s="72"/>
      <c r="V4" s="72"/>
      <c r="W4" s="73"/>
    </row>
    <row r="5" spans="1:23" s="2" customFormat="1" ht="45.75" thickBot="1">
      <c r="B5" s="17" t="s">
        <v>7</v>
      </c>
      <c r="C5" s="17" t="s">
        <v>8</v>
      </c>
      <c r="D5" s="18" t="s">
        <v>9</v>
      </c>
      <c r="E5" s="19" t="s">
        <v>10</v>
      </c>
      <c r="F5" s="19" t="s">
        <v>11</v>
      </c>
      <c r="G5" s="20" t="s">
        <v>12</v>
      </c>
      <c r="H5" s="18" t="s">
        <v>9</v>
      </c>
      <c r="I5" s="19" t="s">
        <v>10</v>
      </c>
      <c r="J5" s="19" t="s">
        <v>11</v>
      </c>
      <c r="K5" s="20" t="s">
        <v>12</v>
      </c>
      <c r="L5" s="57" t="s">
        <v>9</v>
      </c>
      <c r="M5" s="19" t="s">
        <v>10</v>
      </c>
      <c r="N5" s="19" t="s">
        <v>11</v>
      </c>
      <c r="O5" s="20" t="s">
        <v>12</v>
      </c>
      <c r="P5" s="18" t="s">
        <v>9</v>
      </c>
      <c r="Q5" s="19" t="s">
        <v>10</v>
      </c>
      <c r="R5" s="19" t="s">
        <v>11</v>
      </c>
      <c r="S5" s="49" t="s">
        <v>12</v>
      </c>
      <c r="T5" s="18" t="s">
        <v>9</v>
      </c>
      <c r="U5" s="19" t="s">
        <v>10</v>
      </c>
      <c r="V5" s="19" t="s">
        <v>11</v>
      </c>
      <c r="W5" s="20" t="s">
        <v>12</v>
      </c>
    </row>
    <row r="6" spans="1:23" ht="30">
      <c r="A6" s="66" t="s">
        <v>13</v>
      </c>
      <c r="B6" s="21" t="s">
        <v>14</v>
      </c>
      <c r="C6" s="55">
        <f>SUM(D6:W6)</f>
        <v>28416</v>
      </c>
      <c r="D6" s="22">
        <v>960</v>
      </c>
      <c r="E6" s="23"/>
      <c r="F6" s="23">
        <v>2880</v>
      </c>
      <c r="G6" s="24"/>
      <c r="H6" s="25"/>
      <c r="I6" s="26"/>
      <c r="J6" s="26">
        <v>7680</v>
      </c>
      <c r="K6" s="27"/>
      <c r="L6" s="60"/>
      <c r="M6" s="23"/>
      <c r="N6" s="23">
        <v>5376</v>
      </c>
      <c r="O6" s="24"/>
      <c r="P6" s="25"/>
      <c r="Q6" s="26"/>
      <c r="R6" s="26">
        <v>5760</v>
      </c>
      <c r="S6" s="50"/>
      <c r="T6" s="22"/>
      <c r="U6" s="23"/>
      <c r="V6" s="23">
        <v>5760</v>
      </c>
      <c r="W6" s="24"/>
    </row>
    <row r="7" spans="1:23" ht="30">
      <c r="A7" s="67"/>
      <c r="B7" s="9" t="s">
        <v>15</v>
      </c>
      <c r="C7" s="48">
        <f>SUM(D7:W7)</f>
        <v>28416</v>
      </c>
      <c r="D7" s="5">
        <v>960</v>
      </c>
      <c r="E7" s="3"/>
      <c r="F7" s="3">
        <v>2880</v>
      </c>
      <c r="G7" s="6"/>
      <c r="H7" s="7"/>
      <c r="I7" s="4"/>
      <c r="J7" s="4">
        <v>7680</v>
      </c>
      <c r="K7" s="8"/>
      <c r="L7" s="61"/>
      <c r="M7" s="3"/>
      <c r="N7" s="3">
        <v>5376</v>
      </c>
      <c r="O7" s="6"/>
      <c r="P7" s="7"/>
      <c r="Q7" s="4"/>
      <c r="R7" s="4">
        <v>5760</v>
      </c>
      <c r="S7" s="51"/>
      <c r="T7" s="5"/>
      <c r="U7" s="3"/>
      <c r="V7" s="3">
        <v>5760</v>
      </c>
      <c r="W7" s="6"/>
    </row>
    <row r="8" spans="1:23" ht="30">
      <c r="A8" s="67"/>
      <c r="B8" s="9" t="s">
        <v>16</v>
      </c>
      <c r="C8" s="48">
        <f t="shared" ref="C8:C9" si="0">SUM(D8:W8)</f>
        <v>1872</v>
      </c>
      <c r="D8" s="5"/>
      <c r="E8" s="3"/>
      <c r="F8" s="3">
        <v>480</v>
      </c>
      <c r="G8" s="6"/>
      <c r="H8" s="7"/>
      <c r="I8" s="4"/>
      <c r="J8" s="4">
        <v>480</v>
      </c>
      <c r="K8" s="8"/>
      <c r="L8" s="61"/>
      <c r="M8" s="3"/>
      <c r="N8" s="3">
        <v>336</v>
      </c>
      <c r="O8" s="6"/>
      <c r="P8" s="7"/>
      <c r="Q8" s="4"/>
      <c r="R8" s="4">
        <v>288</v>
      </c>
      <c r="S8" s="51"/>
      <c r="T8" s="5"/>
      <c r="U8" s="3"/>
      <c r="V8" s="3">
        <v>288</v>
      </c>
      <c r="W8" s="6"/>
    </row>
    <row r="9" spans="1:23" ht="15.75" thickBot="1">
      <c r="A9" s="67"/>
      <c r="B9" s="9" t="s">
        <v>17</v>
      </c>
      <c r="C9" s="48">
        <f t="shared" si="0"/>
        <v>1872</v>
      </c>
      <c r="D9" s="5"/>
      <c r="E9" s="3"/>
      <c r="F9" s="3">
        <v>480</v>
      </c>
      <c r="G9" s="6"/>
      <c r="H9" s="7"/>
      <c r="I9" s="4"/>
      <c r="J9" s="4">
        <v>480</v>
      </c>
      <c r="K9" s="8"/>
      <c r="L9" s="61"/>
      <c r="M9" s="3"/>
      <c r="N9" s="3">
        <v>336</v>
      </c>
      <c r="O9" s="6"/>
      <c r="P9" s="7"/>
      <c r="Q9" s="4"/>
      <c r="R9" s="4">
        <v>288</v>
      </c>
      <c r="S9" s="51"/>
      <c r="T9" s="5"/>
      <c r="U9" s="3"/>
      <c r="V9" s="3">
        <v>288</v>
      </c>
      <c r="W9" s="6"/>
    </row>
    <row r="10" spans="1:23" ht="30">
      <c r="A10" s="66" t="s">
        <v>18</v>
      </c>
      <c r="B10" s="21" t="s">
        <v>19</v>
      </c>
      <c r="C10" s="55">
        <f>SUM(D10:W10)</f>
        <v>9984</v>
      </c>
      <c r="D10" s="42"/>
      <c r="E10" s="43"/>
      <c r="F10" s="43"/>
      <c r="G10" s="44"/>
      <c r="H10" s="45"/>
      <c r="I10" s="46"/>
      <c r="J10" s="46"/>
      <c r="K10" s="47"/>
      <c r="L10" s="62"/>
      <c r="M10" s="43"/>
      <c r="N10" s="43">
        <v>2304</v>
      </c>
      <c r="O10" s="44"/>
      <c r="P10" s="45"/>
      <c r="Q10" s="46"/>
      <c r="R10" s="46">
        <v>3840</v>
      </c>
      <c r="S10" s="52"/>
      <c r="T10" s="42"/>
      <c r="U10" s="43"/>
      <c r="V10" s="43">
        <v>3840</v>
      </c>
      <c r="W10" s="44"/>
    </row>
    <row r="11" spans="1:23" ht="30">
      <c r="A11" s="67"/>
      <c r="B11" s="9" t="s">
        <v>15</v>
      </c>
      <c r="C11" s="48">
        <f t="shared" ref="C11:C13" si="1">SUM(D11:W11)</f>
        <v>9984</v>
      </c>
      <c r="D11" s="11"/>
      <c r="E11" s="12"/>
      <c r="F11" s="12"/>
      <c r="G11" s="13"/>
      <c r="H11" s="14"/>
      <c r="I11" s="15"/>
      <c r="J11" s="15"/>
      <c r="K11" s="16"/>
      <c r="L11" s="63"/>
      <c r="M11" s="12"/>
      <c r="N11" s="12">
        <v>2304</v>
      </c>
      <c r="O11" s="13"/>
      <c r="P11" s="14"/>
      <c r="Q11" s="15"/>
      <c r="R11" s="15">
        <v>3840</v>
      </c>
      <c r="S11" s="53"/>
      <c r="T11" s="11"/>
      <c r="U11" s="12"/>
      <c r="V11" s="12">
        <v>3840</v>
      </c>
      <c r="W11" s="13"/>
    </row>
    <row r="12" spans="1:23" ht="30">
      <c r="A12" s="67"/>
      <c r="B12" s="9" t="s">
        <v>16</v>
      </c>
      <c r="C12" s="48">
        <f t="shared" si="1"/>
        <v>528</v>
      </c>
      <c r="D12" s="11"/>
      <c r="E12" s="12"/>
      <c r="F12" s="12"/>
      <c r="G12" s="13"/>
      <c r="H12" s="14"/>
      <c r="I12" s="15"/>
      <c r="J12" s="15"/>
      <c r="K12" s="16"/>
      <c r="L12" s="63"/>
      <c r="M12" s="12"/>
      <c r="N12" s="12">
        <v>144</v>
      </c>
      <c r="O12" s="13"/>
      <c r="P12" s="14"/>
      <c r="Q12" s="15"/>
      <c r="R12" s="15">
        <v>192</v>
      </c>
      <c r="S12" s="53"/>
      <c r="T12" s="11"/>
      <c r="U12" s="12"/>
      <c r="V12" s="12">
        <v>192</v>
      </c>
      <c r="W12" s="13"/>
    </row>
    <row r="13" spans="1:23" ht="15.75" thickBot="1">
      <c r="A13" s="68"/>
      <c r="B13" s="28" t="s">
        <v>17</v>
      </c>
      <c r="C13" s="58">
        <f t="shared" si="1"/>
        <v>528</v>
      </c>
      <c r="D13" s="29"/>
      <c r="E13" s="30"/>
      <c r="F13" s="30"/>
      <c r="G13" s="31"/>
      <c r="H13" s="32"/>
      <c r="I13" s="33"/>
      <c r="J13" s="33"/>
      <c r="K13" s="34"/>
      <c r="L13" s="64"/>
      <c r="M13" s="30"/>
      <c r="N13" s="30">
        <v>144</v>
      </c>
      <c r="O13" s="30"/>
      <c r="P13" s="33"/>
      <c r="Q13" s="33"/>
      <c r="R13" s="33">
        <v>192</v>
      </c>
      <c r="S13" s="59"/>
      <c r="T13" s="29"/>
      <c r="U13" s="30"/>
      <c r="V13" s="30">
        <v>192</v>
      </c>
      <c r="W13" s="31"/>
    </row>
    <row r="14" spans="1:23" ht="15.75" thickBot="1">
      <c r="A14" s="10"/>
      <c r="B14" s="35" t="s">
        <v>20</v>
      </c>
      <c r="C14" s="56">
        <f>SUM(D14:W14)</f>
        <v>81600</v>
      </c>
      <c r="D14" s="37">
        <f>SUM(D6:D13)</f>
        <v>1920</v>
      </c>
      <c r="E14" s="37"/>
      <c r="F14" s="37">
        <f>SUM(F6:F13)</f>
        <v>6720</v>
      </c>
      <c r="G14" s="38"/>
      <c r="H14" s="39"/>
      <c r="I14" s="40"/>
      <c r="J14" s="40">
        <f>SUM(J6:J13)</f>
        <v>16320</v>
      </c>
      <c r="K14" s="41"/>
      <c r="L14" s="65"/>
      <c r="M14" s="37"/>
      <c r="N14" s="37">
        <f>SUM(N6:N13)</f>
        <v>16320</v>
      </c>
      <c r="O14" s="38"/>
      <c r="P14" s="39"/>
      <c r="Q14" s="40"/>
      <c r="R14" s="40">
        <f>SUM(R6:R13)</f>
        <v>20160</v>
      </c>
      <c r="S14" s="54"/>
      <c r="T14" s="36"/>
      <c r="U14" s="37"/>
      <c r="V14" s="37">
        <f>SUM(V6:V13)</f>
        <v>20160</v>
      </c>
      <c r="W14" s="38"/>
    </row>
    <row r="15" spans="1:23" ht="15.75">
      <c r="A15" s="75"/>
      <c r="B15" s="75"/>
    </row>
  </sheetData>
  <mergeCells count="10">
    <mergeCell ref="A15:B15"/>
    <mergeCell ref="D4:G4"/>
    <mergeCell ref="H4:K4"/>
    <mergeCell ref="A6:A9"/>
    <mergeCell ref="A10:A13"/>
    <mergeCell ref="A1:W1"/>
    <mergeCell ref="A2:W3"/>
    <mergeCell ref="L4:O4"/>
    <mergeCell ref="P4:S4"/>
    <mergeCell ref="T4:W4"/>
  </mergeCells>
  <dataValidations count="1">
    <dataValidation allowBlank="1" showInputMessage="1" showErrorMessage="1" promptTitle="Enter eCRAFT Labor Category" prompt="eCRAFT labor categories and description are delineated at: _x000a__x000a_http://www.navsea.navy.mil/Home/Warfare-Centers/NUWC-Newport/Partnerships/Commercial-Contracts/Labor-Categories/ " sqref="B6:B13" xr:uid="{60A8CDBD-70B6-41C6-87E4-08137D6D4932}"/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C58A0140723D4B90DC3A56A13D1C37" ma:contentTypeVersion="14" ma:contentTypeDescription="Create a new document." ma:contentTypeScope="" ma:versionID="d55155726e17859504c8e74aadd694fb">
  <xsd:schema xmlns:xsd="http://www.w3.org/2001/XMLSchema" xmlns:xs="http://www.w3.org/2001/XMLSchema" xmlns:p="http://schemas.microsoft.com/office/2006/metadata/properties" xmlns:ns2="ff0c660c-3c86-4c17-8125-3ce264386e7a" xmlns:ns3="98c57cd6-b3a5-49c8-9019-aee4a3803f37" targetNamespace="http://schemas.microsoft.com/office/2006/metadata/properties" ma:root="true" ma:fieldsID="ae15ae3b6f9658c124fda42461d3e4a7" ns2:_="" ns3:_="">
    <xsd:import namespace="ff0c660c-3c86-4c17-8125-3ce264386e7a"/>
    <xsd:import namespace="98c57cd6-b3a5-49c8-9019-aee4a3803f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Comment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0c660c-3c86-4c17-8125-3ce264386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57cd6-b3a5-49c8-9019-aee4a3803f3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b496dd5-8ca6-41c6-a3a9-88065832a793}" ma:internalName="TaxCatchAll" ma:showField="CatchAllData" ma:web="98c57cd6-b3a5-49c8-9019-aee4a3803f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c57cd6-b3a5-49c8-9019-aee4a3803f37" xsi:nil="true"/>
    <lcf76f155ced4ddcb4097134ff3c332f xmlns="ff0c660c-3c86-4c17-8125-3ce264386e7a">
      <Terms xmlns="http://schemas.microsoft.com/office/infopath/2007/PartnerControls"/>
    </lcf76f155ced4ddcb4097134ff3c332f>
    <Comments xmlns="ff0c660c-3c86-4c17-8125-3ce264386e7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7D34DF-33ED-4A66-A7DE-D8C99B8DD363}"/>
</file>

<file path=customXml/itemProps2.xml><?xml version="1.0" encoding="utf-8"?>
<ds:datastoreItem xmlns:ds="http://schemas.openxmlformats.org/officeDocument/2006/customXml" ds:itemID="{668DFDB0-35C2-4C95-94E0-16DDB1CB751F}"/>
</file>

<file path=customXml/itemProps3.xml><?xml version="1.0" encoding="utf-8"?>
<ds:datastoreItem xmlns:ds="http://schemas.openxmlformats.org/officeDocument/2006/customXml" ds:itemID="{095194CE-5705-4259-A56E-ADC40732A4D3}"/>
</file>

<file path=docMetadata/LabelInfo.xml><?xml version="1.0" encoding="utf-8"?>
<clbl:labelList xmlns:clbl="http://schemas.microsoft.com/office/2020/mipLabelMetadata">
  <clbl:label id="{4cab87e7-ddd1-4f76-bd4a-59a91eabc62f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2026-03-05T19:06:24Z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0x0101009EC58A0140723D4B90DC3A56A13D1C37</vt:lpwstr>
  </property>
  <property fmtid="{D5CDD505-2E9C-101B-9397-08002B2CF9AE}" pid="3" name="ComplianceAssetId">
    <vt:lpwstr/>
  </property>
  <property fmtid="{D5CDD505-2E9C-101B-9397-08002B2CF9AE}" pid="4" name="_ExtendedDescription">
    <vt:lpwstr/>
  </property>
</Properties>
</file>