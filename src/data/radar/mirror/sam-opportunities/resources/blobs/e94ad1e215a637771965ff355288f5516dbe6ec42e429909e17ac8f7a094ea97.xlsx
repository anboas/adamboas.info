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https://armyeitaas-my.sharepoint-mil.us/personal/jessica_l_fields_civ_army_mil/Documents/Taskers/"/>
    </mc:Choice>
  </mc:AlternateContent>
  <xr:revisionPtr revIDLastSave="134" documentId="8_{1221F204-2993-42E8-A031-0A17C2FE684C}" xr6:coauthVersionLast="47" xr6:coauthVersionMax="47" xr10:uidLastSave="{6F0FE9B5-F144-4798-A054-0BA8BB2166DD}"/>
  <bookViews>
    <workbookView xWindow="-57720" yWindow="-5940" windowWidth="29040" windowHeight="15660" xr2:uid="{00000000-000D-0000-FFFF-FFFF00000000}"/>
  </bookViews>
  <sheets>
    <sheet name="Huachuca Division Opportunities" sheetId="2" r:id="rId1"/>
    <sheet name="Legend" sheetId="3" r:id="rId2"/>
  </sheets>
  <definedNames>
    <definedName name="_xlnm._FilterDatabase" localSheetId="0" hidden="1">'Huachuca Division Opportunities'!$A$3:$M$3</definedName>
    <definedName name="StatusCategories">Legend!$A$2:$A$7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<sst xmlns="http://schemas.openxmlformats.org/spreadsheetml/2006/main" count="185" uniqueCount="116">
  <si>
    <t>ACC-APG Huachuca Division - Opportunities</t>
  </si>
  <si>
    <t>As of:    December 2025</t>
  </si>
  <si>
    <t>RFP/TOR/PCF Identifier #</t>
  </si>
  <si>
    <t>Customer/Mission Partner</t>
  </si>
  <si>
    <t>Requirement</t>
  </si>
  <si>
    <t>History New/Recompete</t>
  </si>
  <si>
    <t>Incumbent Contractor</t>
  </si>
  <si>
    <t>Tentative Award Date</t>
  </si>
  <si>
    <t>Estimated POP</t>
  </si>
  <si>
    <t>Contract Type</t>
  </si>
  <si>
    <t>KO/KS</t>
  </si>
  <si>
    <t>Status (see legend)</t>
  </si>
  <si>
    <t>Estimated/Actual Solicitation Release</t>
  </si>
  <si>
    <t>Sole Source or Competitive Acquisition</t>
  </si>
  <si>
    <t>Title and Short Description of Effort</t>
  </si>
  <si>
    <t>W91RUS-25-R-ADC1</t>
  </si>
  <si>
    <t>NETCOM</t>
  </si>
  <si>
    <t>Army Department of Defense Information Network (DoDIN-A) Cybersecurity and Network Operations Mission Support (ADCNOMS)</t>
  </si>
  <si>
    <t>W91RUS19F0174- Task Order Awarded through GSA</t>
  </si>
  <si>
    <t>General Dynamics</t>
  </si>
  <si>
    <t>18 March 2026 through 17 March 207 Plus 4- Option Years (Will be updated based on new Award)</t>
  </si>
  <si>
    <t>CPFF</t>
  </si>
  <si>
    <t>Tamrah Pehrson/Mark Guevara</t>
  </si>
  <si>
    <t>Evaluation</t>
  </si>
  <si>
    <t xml:space="preserve">Competitive </t>
  </si>
  <si>
    <t>Contractor shall provide professional Internet Technology (IT) services that incorporate all aspects and activities required to operate and manage the consolidated Army infostructure at the enterprise level in support of DoDIN-A operations, enterprise systems management, and operational engineering. Basic services required include system and services architectural design, IT project management, IT requirements analysis, testing, security engineering, systems engineering, infrastructure configuration, process development, IT planning, converged data services and collaboration services, continuous monitoring, problem resolution, change management and process improvement, Risk Management Framework, service design, DoDIN-A compliance, technical document management, and all supporting technical services. Infrastructure interfaces include NIPRNET, SIPRNET, Defense Research and Engineering Network (DREN), Joint Worldwide Intelligence Communications System (JWICS), Black Core, tactical, coalition, commercial carrier, cloud access points, public and private cloud, and hybrid cloud.</t>
  </si>
  <si>
    <t>W91RUS-25-R-EGA1</t>
  </si>
  <si>
    <t>INFORMATION TECHNOLOGY SERVICES (ITS) SOUTH ATLANTIC REGIONAL NETWORK ENTERPRISE CENTER (RNEC) FORT EUSTIS/FORT STORY/FORT GREGG-ADAMS, VIRGINIA</t>
  </si>
  <si>
    <t>W91RUS21C0009- Contract Awarded through SBA 8(a)</t>
  </si>
  <si>
    <t xml:space="preserve">Kupono Governmnet Services LLC. </t>
  </si>
  <si>
    <t>March 2026 through March 2027 plus 4-option periods</t>
  </si>
  <si>
    <t>FFP</t>
  </si>
  <si>
    <t>Walter Carbajal/Cailee Huish</t>
  </si>
  <si>
    <t>Pre-Award/Package Development</t>
  </si>
  <si>
    <t>8(a) Sole Source</t>
  </si>
  <si>
    <t xml:space="preserve">Contractor shall provide non-personal Information Technology Services (ITS) support to the South Atlantic Regional Network Enterprise Center (RNEC) located on Fort Eustis/Fort Story, Virginia (VA) and Fort Gregg-Adams, VA. The Contractor shall deliver comprehensive, integrated, end-to-end ITS including, but are not limited to Network Administration, Systems Administration, Systems Integration and Testing, Configuration Management (CM), Infrastructure Management, End-User Support and Training, Hardware/Software Fielding, Quality Control (QC), Information Assurance (IA) and Compliance, Network Security Services, Webmaster, Video Teleconference (VTC) and Database Support. </t>
  </si>
  <si>
    <t>W91RUS-26-R-HOOD</t>
  </si>
  <si>
    <t>Information Technology Services (ITS) Ft. Hood, TX.</t>
  </si>
  <si>
    <t>W91RUS22C0021- Contract awarded through 8(a) SB</t>
  </si>
  <si>
    <t>Kaihonua</t>
  </si>
  <si>
    <t>01 March 2027-28 February 2028 Plus 4-option periods</t>
  </si>
  <si>
    <t>Tamrah Pehrson/Brittany Saffo</t>
  </si>
  <si>
    <t>8(a) set-aside</t>
  </si>
  <si>
    <t>The Contractor shall support the SANEC in improving the functionality of the overall delivery of ITS on Fort Hood as well as any future locations based on this, contractor shall also provide C4/IT and AITP Services for U.S. Army modernization efforts. Support may include, but is not limited to, Transformation and Training Command (T2COM), T2COM Cross Functional Teams (CFT), and other modernization efforts resulting from Army Directives and Initiatives. The Contractor shall deliver comprehensive, integrated, end-to-end IT services that include network and switch operations; system administration; systems integration and testing; configuration management (hardware and software); infrastructure management; network administration; end-user support and training; fielding of hardware and software, installs, moves, adds, and changes support: information and network security services; and support for Commercial off-the-shelf (COTS) and Government off-the-shelf (GOTS) products and local unique software and databases.</t>
  </si>
  <si>
    <t>FDED 602</t>
  </si>
  <si>
    <t>ISEC</t>
  </si>
  <si>
    <t>Site Survey &amp; Engineer Dafting</t>
  </si>
  <si>
    <t>New</t>
  </si>
  <si>
    <t>Base and 4 Option Years</t>
  </si>
  <si>
    <t>Ana Brear/Maren Marcy</t>
  </si>
  <si>
    <t>TEIS IV only</t>
  </si>
  <si>
    <t>Contractor shall provide IT services in the form of site surveys, engineering, and drafting in the Continental United States (CONUS).</t>
  </si>
  <si>
    <t>FDED603</t>
  </si>
  <si>
    <t>QAQC Installation &amp; Decommission</t>
  </si>
  <si>
    <t>Ana Brear/Scott Layden</t>
  </si>
  <si>
    <t>Contractor shall provide IT services in the form of QA/QC and TDM decommissioning and removal in the Continental United States (CONUS)</t>
  </si>
  <si>
    <t>NCRED 601</t>
  </si>
  <si>
    <t>Noian Building Phsae 4</t>
  </si>
  <si>
    <t>Adelle Kostur/Angela Taylor</t>
  </si>
  <si>
    <t>Contractor shall provide  Command, Control, Computers, Communications, Cyber-Defense (C5), Intelligence, Surveillance, and Reconnaissance (ISR) (C5ISR) Systems Engineering Support for the INSCOM Fort Belvoir VA.</t>
  </si>
  <si>
    <t>TBD</t>
  </si>
  <si>
    <t>Joint Base Meyer Henderson Hall</t>
  </si>
  <si>
    <t>W91RUS21C0027 &amp; C0017</t>
  </si>
  <si>
    <t>GC&amp;E</t>
  </si>
  <si>
    <t>Charles Friend/Neena Spina</t>
  </si>
  <si>
    <t xml:space="preserve">Computer system support services in the areas of system analysis and computer hardware and software troubleshooting for the daily operational support services for users and their desktop devices </t>
  </si>
  <si>
    <t>Regional Cyber Center Europe</t>
  </si>
  <si>
    <t>W91RUS23F0373</t>
  </si>
  <si>
    <t>Peraton</t>
  </si>
  <si>
    <t>Charles Friend /Claudia Blackwell</t>
  </si>
  <si>
    <t>CHESS IT Services</t>
  </si>
  <si>
    <t xml:space="preserve">Information technology (IT) services for classified and unclassified systems, 24 hours per day, seven (7) days per week, including federal holidays for the United States Army Regional Cyber Center - Europe (RCC-E) </t>
  </si>
  <si>
    <t>OMDAC-SWACA III</t>
  </si>
  <si>
    <t>W91RUS21C0001</t>
  </si>
  <si>
    <t>V2X</t>
  </si>
  <si>
    <t>Audrey Hammonds/Tammy Brewer</t>
  </si>
  <si>
    <t>Full and Open</t>
  </si>
  <si>
    <t>IT support for the 160th Signal Brigade is to maintain a forward-stationed, theater strategic signal brigade for the Operation, Maintenance, and Defense of Army Communications (OMDAC), which supports the Army Operational Base Communications Information Systems and infrastructure in support of USCENTCOM forces. The contract supports the 160th Signal Brigade and its subordinate battalions' missions in support of the US Army Central (ARCENT) and U.S. Central Command (CENTCOM) mission for their areas of responsibility.</t>
  </si>
  <si>
    <t>FDED 601</t>
  </si>
  <si>
    <t>OSP &amp; DataCenter Modernization - Camp Fertterd</t>
  </si>
  <si>
    <t>Base and 1 Option Year</t>
  </si>
  <si>
    <t>Ana Brear/Craig Meztger</t>
  </si>
  <si>
    <t>furnish, install, test, and document a turnkey solution to upgrade the existing Data Center and OSP infrastructure using Government and commercial standards at Camp Fretterd, MD.</t>
  </si>
  <si>
    <t>FDED 603</t>
  </si>
  <si>
    <t>Senior National Leadership Communications(SNLC)</t>
  </si>
  <si>
    <t>W91RUS21F0070</t>
  </si>
  <si>
    <t>Teksynap</t>
  </si>
  <si>
    <t>provide senior level systems engineering support to the US Army Information Systems Engineering Command (USAISEC), Transmission Systems Directorate (TSD) for the Senior National Leadership Communications modernization, upgrade, and sustainment efforts.</t>
  </si>
  <si>
    <t>DESD 601</t>
  </si>
  <si>
    <t>USMA Lincoln Hall AV Engineering &amp; Installation</t>
  </si>
  <si>
    <t>Contractor shall provide  Command, Control, Computers, Communications, Cyber-Defense (C5), Intelligence, Surveillance, and Reconnaissance (ISR) (C5ISR) Systems Engineering Support for the West Point</t>
  </si>
  <si>
    <t>FDED 604</t>
  </si>
  <si>
    <t>DHA</t>
  </si>
  <si>
    <t>W9128Z22D0003- W91RUS24F0418</t>
  </si>
  <si>
    <t>Empower AI</t>
  </si>
  <si>
    <t>provides Local Area Network/Wireless Local Area Network (LAN/WLAN) modernization provides support to the Defense Health Agency (DHA) including infrastructure and electronics upgrades.</t>
  </si>
  <si>
    <t>CSD 601</t>
  </si>
  <si>
    <t xml:space="preserve">CSD IT Services Support </t>
  </si>
  <si>
    <t>W15P7T19D0010- W91RUS21F0184</t>
  </si>
  <si>
    <t>Avenge Incorporated</t>
  </si>
  <si>
    <t>Adelle Kostur/Maren Marcy</t>
  </si>
  <si>
    <t>assist with ongoing enhancements of and maintenance to Information Systems Security Program Application (ISSPA), Army Cryptographic Modernization Database (ACMD), CSLA Internet Private/COMSEC Automated Registration System (CARS), and CSLA Mission Applications (CSLAMissionApps)</t>
  </si>
  <si>
    <t>Status</t>
  </si>
  <si>
    <t>Definition</t>
  </si>
  <si>
    <t>This status applies from the time a mission partner/customer and ACC-APG begin talking about the requirement through the mission partner/customer submission of a complete and accurate acquisition requirements package.</t>
  </si>
  <si>
    <t>Package Received</t>
  </si>
  <si>
    <t>This status applies from the time the Contracting Officer accepts a complete, accurate, and actionable requirements package through the development and preparation of the solicitation.</t>
  </si>
  <si>
    <t>Solicitation</t>
  </si>
  <si>
    <t>This status applies when the solicitation has been released to industry through to the receipt of proposals.</t>
  </si>
  <si>
    <t>This status applies from the receipt of proposals through the development and preparation of award.</t>
  </si>
  <si>
    <t>Awarded</t>
  </si>
  <si>
    <t>The award has been made.</t>
  </si>
  <si>
    <t>Cancelled</t>
  </si>
  <si>
    <t>The action/requirement has been cancelled.</t>
  </si>
  <si>
    <t>New Requirement</t>
  </si>
  <si>
    <t>There is no incumbent/current contract for this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</si>
</sst>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font>
      <sz val="11"/>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rial"/>
    </font>
    <font>
      <sz val="11"/>
      <color theme="1"/>
      <name val="Arial"/>
    </font>
    <font>
      <b/>
      <u/>
      <sz val="11"/>
      <color theme="1"/>
      <name val="Arial"/>
    </font>
    <font>
      <sz val="12"/>
      <color theme="1"/>
      <name val="Arial"/>
      <family val="2"/>
      <charset val="1"/>
    </font>
    <font>
      <sz val="12"/>
      <color theme="1"/>
      <name val="Times New Roman"/>
      <family val="1"/>
      <charset val="1"/>
    </font>
  </fonts>
  <fills count="5">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s>
  <borders count="1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164" fontId="1" fillId="0" borderId="0"/>
  </cellStyleXfs>
  <cellXfs count="42">
    <xf numFmtId="0" fontId="0" fillId="0" borderId="0" xfId="0"/>
    <xf numFmtId="0" fontId="3" fillId="2" borderId="11" xfId="0" applyFont="1" applyFill="1" applyBorder="1" applyAlignment="1">
      <alignment horizontal="center"/>
    </xf>
    <xf numFmtId="0" fontId="3" fillId="2" borderId="12" xfId="0" applyFont="1" applyFill="1" applyBorder="1" applyAlignment="1">
      <alignment horizontal="center"/>
    </xf>
    <xf numFmtId="0" fontId="2" fillId="2" borderId="7" xfId="0" applyFont="1" applyFill="1" applyBorder="1"/>
    <xf numFmtId="0" fontId="2" fillId="2" borderId="9" xfId="0" applyFont="1" applyFill="1" applyBorder="1"/>
    <xf numFmtId="0" fontId="2" fillId="2" borderId="13" xfId="0" applyFont="1" applyFill="1" applyBorder="1"/>
    <xf numFmtId="0" fontId="2" fillId="3" borderId="8" xfId="0" applyFont="1" applyFill="1" applyBorder="1" applyAlignment="1">
      <alignment vertical="top" wrapText="1"/>
    </xf>
    <xf numFmtId="0" fontId="2" fillId="3" borderId="10" xfId="0" applyFont="1" applyFill="1" applyBorder="1" applyAlignment="1">
      <alignment vertical="top" wrapText="1"/>
    </xf>
    <xf numFmtId="0" fontId="2" fillId="3" borderId="10" xfId="0" applyFont="1" applyFill="1" applyBorder="1" applyAlignment="1">
      <alignment wrapText="1"/>
    </xf>
    <xf numFmtId="0" fontId="2" fillId="3" borderId="10" xfId="0" applyFont="1" applyFill="1" applyBorder="1"/>
    <xf numFmtId="0" fontId="2" fillId="3" borderId="14" xfId="0" applyFont="1" applyFill="1" applyBorder="1"/>
    <xf numFmtId="0" fontId="4" fillId="2" borderId="1" xfId="0" applyFont="1" applyFill="1" applyBorder="1" applyAlignment="1">
      <alignment horizontal="center"/>
    </xf>
    <xf numFmtId="0" fontId="4" fillId="2" borderId="2" xfId="0" applyFont="1" applyFill="1" applyBorder="1"/>
    <xf numFmtId="0" fontId="4" fillId="2" borderId="2" xfId="0" applyFont="1" applyFill="1" applyBorder="1" applyAlignment="1">
      <alignment horizontal="center"/>
    </xf>
    <xf numFmtId="0" fontId="4" fillId="2" borderId="3" xfId="0" applyFont="1" applyFill="1" applyBorder="1"/>
    <xf numFmtId="0" fontId="5" fillId="2" borderId="0" xfId="0" applyFont="1" applyFill="1"/>
    <xf numFmtId="14" fontId="4" fillId="0" borderId="4" xfId="0" applyNumberFormat="1" applyFont="1" applyBorder="1" applyAlignment="1">
      <alignment horizontal="center"/>
    </xf>
    <xf numFmtId="14" fontId="4" fillId="0" borderId="5" xfId="0" applyNumberFormat="1" applyFont="1" applyBorder="1"/>
    <xf numFmtId="14" fontId="4" fillId="0" borderId="5" xfId="0" applyNumberFormat="1" applyFont="1" applyBorder="1" applyAlignment="1">
      <alignment horizontal="center"/>
    </xf>
    <xf numFmtId="14" fontId="4" fillId="0" borderId="6" xfId="0" applyNumberFormat="1" applyFont="1" applyBorder="1"/>
    <xf numFmtId="0" fontId="5" fillId="0" borderId="0" xfId="0" applyFont="1"/>
    <xf numFmtId="0" fontId="6" fillId="2" borderId="15" xfId="0" applyFont="1" applyFill="1" applyBorder="1" applyAlignment="1">
      <alignment horizontal="center"/>
    </xf>
    <xf numFmtId="0" fontId="6" fillId="2" borderId="15" xfId="0" applyFont="1" applyFill="1" applyBorder="1" applyAlignment="1">
      <alignment horizontal="center" wrapText="1"/>
    </xf>
    <xf numFmtId="0" fontId="5" fillId="0" borderId="16" xfId="0" applyFont="1" applyBorder="1" applyAlignment="1">
      <alignment horizontal="center"/>
    </xf>
    <xf numFmtId="0" fontId="5" fillId="0" borderId="16" xfId="0" applyFont="1" applyBorder="1" applyAlignment="1">
      <alignment horizontal="center" wrapText="1"/>
    </xf>
    <xf numFmtId="16" fontId="5" fillId="0" borderId="16" xfId="0" applyNumberFormat="1" applyFont="1" applyBorder="1" applyAlignment="1">
      <alignment horizontal="center"/>
    </xf>
    <xf numFmtId="17" fontId="5" fillId="0" borderId="16" xfId="0" applyNumberFormat="1" applyFont="1" applyBorder="1" applyAlignment="1">
      <alignment horizontal="center"/>
    </xf>
    <xf numFmtId="0" fontId="5" fillId="0" borderId="16" xfId="0" applyFont="1" applyBorder="1" applyAlignment="1">
      <alignment wrapText="1"/>
    </xf>
    <xf numFmtId="0" fontId="5" fillId="0" borderId="17" xfId="0" applyFont="1" applyBorder="1" applyAlignment="1">
      <alignment horizontal="center"/>
    </xf>
    <xf numFmtId="0" fontId="5" fillId="0" borderId="17" xfId="0" applyFont="1" applyBorder="1" applyAlignment="1">
      <alignment horizontal="center" wrapText="1"/>
    </xf>
    <xf numFmtId="0" fontId="5" fillId="0" borderId="17" xfId="0" applyFont="1" applyBorder="1" applyAlignment="1">
      <alignment wrapText="1"/>
    </xf>
    <xf numFmtId="0" fontId="5" fillId="0" borderId="16" xfId="0" applyFont="1" applyFill="1" applyBorder="1" applyAlignment="1">
      <alignment horizontal="center"/>
    </xf>
    <xf numFmtId="0" fontId="5" fillId="0" borderId="16" xfId="0" applyFont="1" applyFill="1" applyBorder="1" applyAlignment="1">
      <alignment horizontal="center" wrapText="1"/>
    </xf>
    <xf numFmtId="0" fontId="5" fillId="0" borderId="16" xfId="0" applyFont="1" applyFill="1" applyBorder="1" applyAlignment="1">
      <alignment wrapText="1"/>
    </xf>
    <xf numFmtId="0" fontId="5" fillId="0" borderId="0" xfId="0" applyFont="1" applyAlignment="1">
      <alignment horizontal="center"/>
    </xf>
    <xf numFmtId="0" fontId="5" fillId="0" borderId="0" xfId="0" applyFont="1" applyAlignment="1">
      <alignment horizontal="center" wrapText="1"/>
    </xf>
    <xf numFmtId="0" fontId="5" fillId="0" borderId="17" xfId="0" applyFont="1" applyFill="1" applyBorder="1" applyAlignment="1">
      <alignment horizontal="center"/>
    </xf>
    <xf numFmtId="0" fontId="7" fillId="0" borderId="0" xfId="0" applyFont="1" applyAlignment="1">
      <alignment wrapText="1"/>
    </xf>
    <xf numFmtId="16" fontId="5" fillId="0" borderId="16" xfId="0" applyNumberFormat="1" applyFont="1" applyFill="1" applyBorder="1" applyAlignment="1">
      <alignment horizontal="center"/>
    </xf>
    <xf numFmtId="17" fontId="5" fillId="4" borderId="16" xfId="0" applyNumberFormat="1" applyFont="1" applyFill="1" applyBorder="1" applyAlignment="1">
      <alignment horizontal="center"/>
    </xf>
    <xf numFmtId="17" fontId="5" fillId="0" borderId="17" xfId="0" applyNumberFormat="1" applyFont="1" applyFill="1" applyBorder="1" applyAlignment="1">
      <alignment horizontal="center"/>
    </xf>
    <xf numFmtId="0" fontId="8" fillId="0" borderId="0" xfId="0" applyFont="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
  <sheetViews>
    <sheetView tabSelected="1" zoomScale="80" zoomScaleNormal="80" workbookViewId="0">
      <pane ySplit="3" topLeftCell="A4" activePane="bottomLeft" state="frozen"/>
      <selection pane="bottomLeft" activeCell="B14" sqref="B14"/>
    </sheetView>
  </sheetViews>
  <sheetFormatPr defaultColWidth="9.140625" defaultRowHeight="13.9"/>
  <cols>
    <col min="1" max="1" width="40.140625" style="34" customWidth="1"/>
    <col min="2" max="2" width="27.42578125" style="34" customWidth="1"/>
    <col min="3" max="3" width="61.5703125" style="34" customWidth="1"/>
    <col min="4" max="4" width="39.5703125" style="34" bestFit="1" customWidth="1"/>
    <col min="5" max="5" width="25" style="34" bestFit="1" customWidth="1"/>
    <col min="6" max="6" width="24.7109375" style="34" customWidth="1"/>
    <col min="7" max="7" width="29.5703125" style="34" bestFit="1" customWidth="1"/>
    <col min="8" max="8" width="17.7109375" style="35" bestFit="1" customWidth="1"/>
    <col min="9" max="9" width="33.140625" style="34" bestFit="1" customWidth="1"/>
    <col min="10" max="10" width="48.28515625" style="34" customWidth="1"/>
    <col min="11" max="11" width="39.5703125" style="34" customWidth="1"/>
    <col min="12" max="12" width="40.85546875" style="34" bestFit="1" customWidth="1"/>
    <col min="13" max="13" width="129.42578125" style="20" bestFit="1" customWidth="1"/>
    <col min="14" max="18" width="9.140625" style="20" customWidth="1"/>
    <col min="19" max="16384" width="9.140625" style="20"/>
  </cols>
  <sheetData>
    <row r="1" spans="1:17" s="15" customFormat="1" ht="15.75" customHeight="1">
      <c r="A1" s="11" t="s">
        <v>0</v>
      </c>
      <c r="B1" s="12"/>
      <c r="C1" s="13"/>
      <c r="D1" s="12"/>
      <c r="E1" s="12"/>
      <c r="F1" s="12"/>
      <c r="G1" s="12"/>
      <c r="H1" s="12"/>
      <c r="I1" s="12"/>
      <c r="J1" s="12"/>
      <c r="K1" s="12"/>
      <c r="L1" s="12"/>
      <c r="M1" s="14"/>
    </row>
    <row r="2" spans="1:17" ht="15.75" customHeight="1">
      <c r="A2" s="16" t="s">
        <v>1</v>
      </c>
      <c r="B2" s="17"/>
      <c r="C2" s="18"/>
      <c r="D2" s="17"/>
      <c r="E2" s="17"/>
      <c r="F2" s="17"/>
      <c r="G2" s="17"/>
      <c r="H2" s="17"/>
      <c r="I2" s="17"/>
      <c r="J2" s="17"/>
      <c r="K2" s="17"/>
      <c r="L2" s="17"/>
      <c r="M2" s="19"/>
    </row>
    <row r="3" spans="1:17" s="15" customFormat="1">
      <c r="A3" s="21" t="s">
        <v>2</v>
      </c>
      <c r="B3" s="21" t="s">
        <v>3</v>
      </c>
      <c r="C3" s="21" t="s">
        <v>4</v>
      </c>
      <c r="D3" s="21" t="s">
        <v>5</v>
      </c>
      <c r="E3" s="21" t="s">
        <v>6</v>
      </c>
      <c r="F3" s="21" t="s">
        <v>7</v>
      </c>
      <c r="G3" s="21" t="s">
        <v>8</v>
      </c>
      <c r="H3" s="22" t="s">
        <v>9</v>
      </c>
      <c r="I3" s="21" t="s">
        <v>10</v>
      </c>
      <c r="J3" s="21" t="s">
        <v>11</v>
      </c>
      <c r="K3" s="21" t="s">
        <v>12</v>
      </c>
      <c r="L3" s="21" t="s">
        <v>13</v>
      </c>
      <c r="M3" s="21" t="s">
        <v>14</v>
      </c>
    </row>
    <row r="4" spans="1:17" ht="124.15">
      <c r="A4" s="23" t="s">
        <v>15</v>
      </c>
      <c r="B4" s="23" t="s">
        <v>16</v>
      </c>
      <c r="C4" s="24" t="s">
        <v>17</v>
      </c>
      <c r="D4" s="24" t="s">
        <v>18</v>
      </c>
      <c r="E4" s="23" t="s">
        <v>19</v>
      </c>
      <c r="F4" s="25">
        <v>46098</v>
      </c>
      <c r="G4" s="24" t="s">
        <v>20</v>
      </c>
      <c r="H4" s="23" t="s">
        <v>21</v>
      </c>
      <c r="I4" s="23" t="s">
        <v>22</v>
      </c>
      <c r="J4" s="23" t="s">
        <v>23</v>
      </c>
      <c r="K4" s="26">
        <v>46072</v>
      </c>
      <c r="L4" s="23" t="s">
        <v>24</v>
      </c>
      <c r="M4" s="27" t="s">
        <v>25</v>
      </c>
    </row>
    <row r="5" spans="1:17" ht="86.25">
      <c r="A5" s="23" t="s">
        <v>26</v>
      </c>
      <c r="B5" s="23" t="s">
        <v>16</v>
      </c>
      <c r="C5" s="24" t="s">
        <v>27</v>
      </c>
      <c r="D5" s="24" t="s">
        <v>28</v>
      </c>
      <c r="E5" s="24" t="s">
        <v>29</v>
      </c>
      <c r="F5" s="25">
        <v>46097</v>
      </c>
      <c r="G5" s="24" t="s">
        <v>30</v>
      </c>
      <c r="H5" s="23" t="s">
        <v>31</v>
      </c>
      <c r="I5" s="23" t="s">
        <v>32</v>
      </c>
      <c r="J5" s="23" t="s">
        <v>33</v>
      </c>
      <c r="K5" s="26">
        <v>46082</v>
      </c>
      <c r="L5" s="23" t="s">
        <v>34</v>
      </c>
      <c r="M5" s="27" t="s">
        <v>35</v>
      </c>
    </row>
    <row r="6" spans="1:17" ht="121.5">
      <c r="A6" s="23" t="s">
        <v>36</v>
      </c>
      <c r="B6" s="23" t="s">
        <v>16</v>
      </c>
      <c r="C6" s="24" t="s">
        <v>37</v>
      </c>
      <c r="D6" s="24" t="s">
        <v>38</v>
      </c>
      <c r="E6" s="24" t="s">
        <v>39</v>
      </c>
      <c r="F6" s="25">
        <v>46447</v>
      </c>
      <c r="G6" s="24" t="s">
        <v>40</v>
      </c>
      <c r="H6" s="23" t="s">
        <v>31</v>
      </c>
      <c r="I6" s="23" t="s">
        <v>41</v>
      </c>
      <c r="J6" s="23" t="s">
        <v>33</v>
      </c>
      <c r="K6" s="26">
        <v>46357</v>
      </c>
      <c r="L6" s="23" t="s">
        <v>42</v>
      </c>
      <c r="M6" s="41" t="s">
        <v>43</v>
      </c>
    </row>
    <row r="7" spans="1:17" ht="34.5" customHeight="1">
      <c r="A7" s="23" t="s">
        <v>44</v>
      </c>
      <c r="B7" s="23" t="s">
        <v>45</v>
      </c>
      <c r="C7" s="23" t="s">
        <v>46</v>
      </c>
      <c r="D7" s="23" t="s">
        <v>47</v>
      </c>
      <c r="E7" s="23"/>
      <c r="F7" s="25">
        <v>46295</v>
      </c>
      <c r="G7" s="23" t="s">
        <v>48</v>
      </c>
      <c r="H7" s="23" t="s">
        <v>31</v>
      </c>
      <c r="I7" s="23" t="s">
        <v>49</v>
      </c>
      <c r="J7" s="23" t="s">
        <v>33</v>
      </c>
      <c r="K7" s="26">
        <v>46174</v>
      </c>
      <c r="L7" s="23" t="s">
        <v>50</v>
      </c>
      <c r="M7" s="27" t="s">
        <v>51</v>
      </c>
    </row>
    <row r="8" spans="1:17" ht="31.5" customHeight="1">
      <c r="A8" s="23" t="s">
        <v>52</v>
      </c>
      <c r="B8" s="23" t="s">
        <v>45</v>
      </c>
      <c r="C8" s="23" t="s">
        <v>53</v>
      </c>
      <c r="D8" s="23" t="s">
        <v>47</v>
      </c>
      <c r="E8" s="23"/>
      <c r="F8" s="25">
        <v>46295</v>
      </c>
      <c r="G8" s="23" t="s">
        <v>48</v>
      </c>
      <c r="H8" s="23" t="s">
        <v>31</v>
      </c>
      <c r="I8" s="23" t="s">
        <v>54</v>
      </c>
      <c r="J8" s="23" t="s">
        <v>33</v>
      </c>
      <c r="K8" s="26">
        <v>46174</v>
      </c>
      <c r="L8" s="23" t="s">
        <v>50</v>
      </c>
      <c r="M8" s="27" t="s">
        <v>55</v>
      </c>
    </row>
    <row r="9" spans="1:17" ht="27.6">
      <c r="A9" s="23" t="s">
        <v>56</v>
      </c>
      <c r="B9" s="23" t="s">
        <v>45</v>
      </c>
      <c r="C9" s="23" t="s">
        <v>57</v>
      </c>
      <c r="D9" s="23" t="s">
        <v>47</v>
      </c>
      <c r="E9" s="23"/>
      <c r="F9" s="25">
        <v>46295</v>
      </c>
      <c r="G9" s="23" t="s">
        <v>48</v>
      </c>
      <c r="H9" s="23" t="s">
        <v>21</v>
      </c>
      <c r="I9" s="23" t="s">
        <v>58</v>
      </c>
      <c r="J9" s="23" t="s">
        <v>33</v>
      </c>
      <c r="K9" s="26">
        <v>46174</v>
      </c>
      <c r="L9" s="23" t="s">
        <v>50</v>
      </c>
      <c r="M9" s="27" t="s">
        <v>59</v>
      </c>
    </row>
    <row r="10" spans="1:17" ht="27.6">
      <c r="A10" s="23" t="s">
        <v>60</v>
      </c>
      <c r="B10" s="23" t="s">
        <v>16</v>
      </c>
      <c r="C10" s="23" t="s">
        <v>61</v>
      </c>
      <c r="D10" s="24" t="s">
        <v>62</v>
      </c>
      <c r="E10" s="23" t="s">
        <v>63</v>
      </c>
      <c r="F10" s="39">
        <v>46143</v>
      </c>
      <c r="G10" s="23" t="s">
        <v>48</v>
      </c>
      <c r="H10" s="24" t="s">
        <v>31</v>
      </c>
      <c r="I10" s="31" t="s">
        <v>64</v>
      </c>
      <c r="J10" s="23" t="s">
        <v>33</v>
      </c>
      <c r="K10" s="39">
        <v>46113</v>
      </c>
      <c r="L10" s="23" t="s">
        <v>42</v>
      </c>
      <c r="M10" s="27" t="s">
        <v>65</v>
      </c>
    </row>
    <row r="11" spans="1:17" ht="27.6">
      <c r="A11" s="28" t="s">
        <v>60</v>
      </c>
      <c r="B11" s="28" t="s">
        <v>16</v>
      </c>
      <c r="C11" s="28" t="s">
        <v>66</v>
      </c>
      <c r="D11" s="28" t="s">
        <v>67</v>
      </c>
      <c r="E11" s="28" t="s">
        <v>68</v>
      </c>
      <c r="F11" s="40">
        <v>46266</v>
      </c>
      <c r="G11" s="28" t="s">
        <v>48</v>
      </c>
      <c r="H11" s="29" t="s">
        <v>21</v>
      </c>
      <c r="I11" s="36" t="s">
        <v>69</v>
      </c>
      <c r="J11" s="28" t="s">
        <v>33</v>
      </c>
      <c r="K11" s="40">
        <v>46054</v>
      </c>
      <c r="L11" s="28" t="s">
        <v>70</v>
      </c>
      <c r="M11" s="30" t="s">
        <v>71</v>
      </c>
    </row>
    <row r="12" spans="1:17" ht="56.25" customHeight="1">
      <c r="A12" s="34" t="s">
        <v>60</v>
      </c>
      <c r="B12" s="31" t="s">
        <v>16</v>
      </c>
      <c r="C12" s="31" t="s">
        <v>72</v>
      </c>
      <c r="D12" s="31" t="s">
        <v>73</v>
      </c>
      <c r="E12" s="31" t="s">
        <v>74</v>
      </c>
      <c r="F12" s="31" t="s">
        <v>60</v>
      </c>
      <c r="G12" s="31" t="s">
        <v>48</v>
      </c>
      <c r="H12" s="32" t="s">
        <v>21</v>
      </c>
      <c r="I12" s="31" t="s">
        <v>75</v>
      </c>
      <c r="J12" s="28" t="s">
        <v>33</v>
      </c>
      <c r="K12" s="31" t="s">
        <v>60</v>
      </c>
      <c r="L12" s="31" t="s">
        <v>76</v>
      </c>
      <c r="M12" s="33" t="s">
        <v>77</v>
      </c>
      <c r="N12" s="33"/>
      <c r="O12" s="33"/>
      <c r="P12" s="33"/>
      <c r="Q12" s="33"/>
    </row>
    <row r="13" spans="1:17" ht="36.75" customHeight="1">
      <c r="A13" s="31" t="s">
        <v>78</v>
      </c>
      <c r="B13" s="23" t="s">
        <v>45</v>
      </c>
      <c r="C13" s="23" t="s">
        <v>79</v>
      </c>
      <c r="D13" s="23" t="s">
        <v>47</v>
      </c>
      <c r="E13" s="31"/>
      <c r="F13" s="25">
        <v>46143</v>
      </c>
      <c r="G13" s="31" t="s">
        <v>80</v>
      </c>
      <c r="H13" s="23" t="s">
        <v>21</v>
      </c>
      <c r="I13" s="23" t="s">
        <v>81</v>
      </c>
      <c r="J13" s="23" t="s">
        <v>33</v>
      </c>
      <c r="K13" s="38">
        <v>45772</v>
      </c>
      <c r="L13" s="23" t="s">
        <v>50</v>
      </c>
      <c r="M13" s="37" t="s">
        <v>82</v>
      </c>
    </row>
    <row r="14" spans="1:17" ht="45.75">
      <c r="A14" s="31" t="s">
        <v>83</v>
      </c>
      <c r="B14" s="31" t="s">
        <v>45</v>
      </c>
      <c r="C14" s="31" t="s">
        <v>84</v>
      </c>
      <c r="D14" s="31" t="s">
        <v>85</v>
      </c>
      <c r="E14" s="31" t="s">
        <v>86</v>
      </c>
      <c r="F14" s="25">
        <v>46143</v>
      </c>
      <c r="G14" s="31" t="s">
        <v>48</v>
      </c>
      <c r="H14" s="23" t="s">
        <v>21</v>
      </c>
      <c r="I14" s="31" t="s">
        <v>58</v>
      </c>
      <c r="J14" s="23" t="s">
        <v>33</v>
      </c>
      <c r="K14" s="38">
        <v>45772</v>
      </c>
      <c r="L14" s="23" t="s">
        <v>50</v>
      </c>
      <c r="M14" s="37" t="s">
        <v>87</v>
      </c>
      <c r="N14" s="33"/>
      <c r="O14" s="33"/>
      <c r="P14" s="33"/>
      <c r="Q14" s="33"/>
    </row>
    <row r="15" spans="1:17" ht="28.5">
      <c r="A15" s="31" t="s">
        <v>88</v>
      </c>
      <c r="B15" s="31" t="s">
        <v>45</v>
      </c>
      <c r="C15" s="31" t="s">
        <v>89</v>
      </c>
      <c r="D15" s="31" t="s">
        <v>47</v>
      </c>
      <c r="E15" s="31"/>
      <c r="F15" s="38">
        <v>46143</v>
      </c>
      <c r="G15" s="31" t="s">
        <v>80</v>
      </c>
      <c r="H15" s="32" t="s">
        <v>21</v>
      </c>
      <c r="I15" s="31" t="s">
        <v>58</v>
      </c>
      <c r="J15" s="28" t="s">
        <v>33</v>
      </c>
      <c r="K15" s="31" t="s">
        <v>60</v>
      </c>
      <c r="L15" s="31" t="s">
        <v>50</v>
      </c>
      <c r="M15" s="33" t="s">
        <v>90</v>
      </c>
      <c r="N15" s="33"/>
      <c r="O15" s="33"/>
      <c r="P15" s="33"/>
      <c r="Q15" s="33"/>
    </row>
    <row r="16" spans="1:17" ht="28.5">
      <c r="A16" s="31" t="s">
        <v>91</v>
      </c>
      <c r="B16" s="31" t="s">
        <v>45</v>
      </c>
      <c r="C16" s="31" t="s">
        <v>92</v>
      </c>
      <c r="D16" s="31" t="s">
        <v>93</v>
      </c>
      <c r="E16" s="31" t="s">
        <v>94</v>
      </c>
      <c r="F16" s="38">
        <v>46143</v>
      </c>
      <c r="G16" s="31" t="s">
        <v>48</v>
      </c>
      <c r="H16" s="32" t="s">
        <v>21</v>
      </c>
      <c r="I16" s="31" t="s">
        <v>54</v>
      </c>
      <c r="J16" s="28" t="s">
        <v>33</v>
      </c>
      <c r="K16" s="31" t="s">
        <v>60</v>
      </c>
      <c r="L16" s="31" t="s">
        <v>50</v>
      </c>
      <c r="M16" s="33" t="s">
        <v>95</v>
      </c>
      <c r="N16" s="33"/>
      <c r="O16" s="33"/>
      <c r="P16" s="33"/>
      <c r="Q16" s="33"/>
    </row>
    <row r="17" spans="1:17" ht="43.5">
      <c r="A17" s="31" t="s">
        <v>96</v>
      </c>
      <c r="B17" s="31" t="s">
        <v>45</v>
      </c>
      <c r="C17" s="31" t="s">
        <v>97</v>
      </c>
      <c r="D17" s="31" t="s">
        <v>98</v>
      </c>
      <c r="E17" s="31" t="s">
        <v>99</v>
      </c>
      <c r="F17" s="38">
        <v>46143</v>
      </c>
      <c r="G17" s="31" t="s">
        <v>48</v>
      </c>
      <c r="H17" s="32" t="s">
        <v>21</v>
      </c>
      <c r="I17" s="31" t="s">
        <v>100</v>
      </c>
      <c r="J17" s="28" t="s">
        <v>33</v>
      </c>
      <c r="K17" s="31" t="s">
        <v>60</v>
      </c>
      <c r="L17" s="31" t="s">
        <v>50</v>
      </c>
      <c r="M17" s="33" t="s">
        <v>101</v>
      </c>
      <c r="N17" s="33"/>
      <c r="O17" s="33"/>
      <c r="P17" s="33"/>
      <c r="Q17" s="33"/>
    </row>
    <row r="18" spans="1:17" ht="14.25"/>
    <row r="19" spans="1:17" ht="14.25"/>
  </sheetData>
  <autoFilter ref="A3:M13" xr:uid="{00000000-0009-0000-0000-000000000000}">
    <sortState xmlns:xlrd2="http://schemas.microsoft.com/office/spreadsheetml/2017/richdata2" ref="A4:M4">
      <sortCondition ref="F3"/>
    </sortState>
  </autoFilter>
  <dataValidations count="1">
    <dataValidation type="list" allowBlank="1" showErrorMessage="1" sqref="J4:J157"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8"/>
  <sheetViews>
    <sheetView workbookViewId="0">
      <selection activeCell="B22" sqref="B22"/>
    </sheetView>
  </sheetViews>
  <sheetFormatPr defaultRowHeight="14.45"/>
  <cols>
    <col min="1" max="1" width="36" customWidth="1"/>
    <col min="2" max="2" width="112.5703125" customWidth="1"/>
  </cols>
  <sheetData>
    <row r="1" spans="1:2" ht="25.5" customHeight="1" thickBot="1">
      <c r="A1" s="1" t="s">
        <v>102</v>
      </c>
      <c r="B1" s="2" t="s">
        <v>103</v>
      </c>
    </row>
    <row r="2" spans="1:2" ht="30" customHeight="1">
      <c r="A2" s="3" t="s">
        <v>33</v>
      </c>
      <c r="B2" s="6" t="s">
        <v>104</v>
      </c>
    </row>
    <row r="3" spans="1:2" ht="30" customHeight="1">
      <c r="A3" s="4" t="s">
        <v>105</v>
      </c>
      <c r="B3" s="7" t="s">
        <v>106</v>
      </c>
    </row>
    <row r="4" spans="1:2" ht="15.6">
      <c r="A4" s="4" t="s">
        <v>107</v>
      </c>
      <c r="B4" s="7" t="s">
        <v>108</v>
      </c>
    </row>
    <row r="5" spans="1:2" ht="15.6">
      <c r="A5" s="4" t="s">
        <v>23</v>
      </c>
      <c r="B5" s="8" t="s">
        <v>109</v>
      </c>
    </row>
    <row r="6" spans="1:2" ht="30" customHeight="1">
      <c r="A6" s="4" t="s">
        <v>110</v>
      </c>
      <c r="B6" s="9" t="s">
        <v>111</v>
      </c>
    </row>
    <row r="7" spans="1:2" ht="30" customHeight="1" thickBot="1">
      <c r="A7" s="5" t="s">
        <v>112</v>
      </c>
      <c r="B7" s="10" t="s">
        <v>113</v>
      </c>
    </row>
    <row r="8" spans="1:2" ht="30" customHeight="1" thickBot="1">
      <c r="A8" s="5" t="s">
        <v>114</v>
      </c>
      <c r="B8" s="10" t="s">
        <v>115</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35E08096145F429EB8A1A61069AF12" ma:contentTypeVersion="13" ma:contentTypeDescription="Create a new document." ma:contentTypeScope="" ma:versionID="e87b72966fbabf6e0ad2edb87f7466ea">
  <xsd:schema xmlns:xsd="http://www.w3.org/2001/XMLSchema" xmlns:xs="http://www.w3.org/2001/XMLSchema" xmlns:p="http://schemas.microsoft.com/office/2006/metadata/properties" xmlns:ns1="http://schemas.microsoft.com/sharepoint/v3" xmlns:ns2="ea12915a-4525-4bf8-a26d-f40bb7e666c6" xmlns:ns3="17f7d562-d96a-4d57-9a09-1b42430b8cd0" targetNamespace="http://schemas.microsoft.com/office/2006/metadata/properties" ma:root="true" ma:fieldsID="31b38d9ce0faa731da9bb7d08d9c9df3" ns1:_="" ns2:_="" ns3:_="">
    <xsd:import namespace="http://schemas.microsoft.com/sharepoint/v3"/>
    <xsd:import namespace="ea12915a-4525-4bf8-a26d-f40bb7e666c6"/>
    <xsd:import namespace="17f7d562-d96a-4d57-9a09-1b42430b8c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12915a-4525-4bf8-a26d-f40bb7e66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f7d562-d96a-4d57-9a09-1b42430b8c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1229ebb-a389-4f96-b20b-5136e31b1700}" ma:internalName="TaxCatchAll" ma:showField="CatchAllData" ma:web="17f7d562-d96a-4d57-9a09-1b42430b8c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12915a-4525-4bf8-a26d-f40bb7e666c6">
      <Terms xmlns="http://schemas.microsoft.com/office/infopath/2007/PartnerControls"/>
    </lcf76f155ced4ddcb4097134ff3c332f>
    <TaxCatchAll xmlns="17f7d562-d96a-4d57-9a09-1b42430b8cd0"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42460E6-4A91-4A97-BB78-A7D53EDA8C63}"/>
</file>

<file path=customXml/itemProps2.xml><?xml version="1.0" encoding="utf-8"?>
<ds:datastoreItem xmlns:ds="http://schemas.openxmlformats.org/officeDocument/2006/customXml" ds:itemID="{92B1AAF8-D6FE-4533-BBD1-EDD253ADE5AB}"/>
</file>

<file path=customXml/itemProps3.xml><?xml version="1.0" encoding="utf-8"?>
<ds:datastoreItem xmlns:ds="http://schemas.openxmlformats.org/officeDocument/2006/customXml" ds:itemID="{2169A421-D8CE-4D05-8F9D-0EA7E19A20D3}"/>
</file>

<file path=docMetadata/LabelInfo.xml><?xml version="1.0" encoding="utf-8"?>
<clbl:labelList xmlns:clbl="http://schemas.microsoft.com/office/2020/mipLabelMetadata">
  <clbl:label id="{f02d78b0-b74f-43f0-801d-d7d5ec01d625}"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pamela.brannon</dc:creator>
  <cp:keywords/>
  <dc:description/>
  <cp:lastModifiedBy>Fields, Jessica L CIV USARMY ACC (USA)</cp:lastModifiedBy>
  <cp:revision/>
  <dcterms:created xsi:type="dcterms:W3CDTF">2015-04-10T11:19:50Z</dcterms:created>
  <dcterms:modified xsi:type="dcterms:W3CDTF">2026-02-24T19:18:03Z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0x0101004135E08096145F429EB8A1A61069AF12</vt:lpwstr>
  </property>
  <property fmtid="{D5CDD505-2E9C-101B-9397-08002B2CF9AE}" pid="3" name="MediaServiceImageTags">
    <vt:lpwstr/>
  </property>
</Properties>
</file>